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<sst xmlns="http://schemas.openxmlformats.org/spreadsheetml/2006/main" count="170" uniqueCount="59">
  <si>
    <t>./travelbike-max10_user-input-p372-v85</t>
  </si>
  <si>
    <t>./travelbike-max10_user-input-p419-v895</t>
  </si>
  <si>
    <t>./travelbike-max10_user-input-p425-v981</t>
  </si>
  <si>
    <t>./travelbike-max10_user-input-p480-v206</t>
  </si>
  <si>
    <t>./travelbike-max10_user-input-p62-v812</t>
  </si>
  <si>
    <t>./travelbike-max10_user-input-p753-v757</t>
  </si>
  <si>
    <t>./travelbike-max10_user-input-p800-v879</t>
  </si>
  <si>
    <t>./travelbike-max10_user-input-p84-v603</t>
  </si>
  <si>
    <t>./travelbike-max10_user-input-p885-v252</t>
  </si>
  <si>
    <t>./travelbike-max10_user-input-p888-v811</t>
  </si>
  <si>
    <t>./travelbike-max15_user-input-p1161-v435</t>
  </si>
  <si>
    <t>./travelbike-max15_user-input-p175-v424</t>
  </si>
  <si>
    <t>./travelbike-max15_user-input-p231-v999</t>
  </si>
  <si>
    <t>./travelbike-max15_user-input-p358-v446</t>
  </si>
  <si>
    <t>./travelbike-max15_user-input-p501-v682</t>
  </si>
  <si>
    <t>./travelbike-max15_user-input-p581-v854</t>
  </si>
  <si>
    <t>./travelbike-max15_user-input-p697-v1245</t>
  </si>
  <si>
    <t>./travelbike-max15_user-input-p789-v502</t>
  </si>
  <si>
    <t>./travelbike-max15_user-input-p90-v933</t>
  </si>
  <si>
    <t>./travelbike-max15_user-input-p965-v1266</t>
  </si>
  <si>
    <t>./travelbike-max20_user-input-p1416-v1035</t>
  </si>
  <si>
    <t>./travelbike-max20_user-input-p1777-v824</t>
  </si>
  <si>
    <t>./travelbike-max20_user-input-p1862-v1002</t>
  </si>
  <si>
    <t>./travelbike-max20_user-input-p321-v716</t>
  </si>
  <si>
    <t>./travelbike-max20_user-input-p398-v397</t>
  </si>
  <si>
    <t>./travelbike-max20_user-input-p468-v586</t>
  </si>
  <si>
    <t>./travelbike-max20_user-input-p495-v663</t>
  </si>
  <si>
    <t>./travelbike-max20_user-input-p524-v1039</t>
  </si>
  <si>
    <t>./travelbike-max20_user-input-p527-v149</t>
  </si>
  <si>
    <t>./travelbike-max20_user-input-p989-v687</t>
  </si>
  <si>
    <t>./travelbike-max5_user-input-p120-v487</t>
  </si>
  <si>
    <t>./travelbike-max5_user-input-p18-v147</t>
  </si>
  <si>
    <t>./travelbike-max5_user-input-p225-v316</t>
  </si>
  <si>
    <t>./travelbike-max5_user-input-p328-v77</t>
  </si>
  <si>
    <t>./travelbike-max5_user-input-p373-v252</t>
  </si>
  <si>
    <t>./travelbike-max5_user-input-p431-v92</t>
  </si>
  <si>
    <t>./travelbike-max5_user-input-p432-v138</t>
  </si>
  <si>
    <t>./travelbike-max5_user-input-p466-v255</t>
  </si>
  <si>
    <t>./travelbike-max5_user-input-p69-v221</t>
  </si>
  <si>
    <t>./travelbike-max5_user-input-p92-v415</t>
  </si>
  <si>
    <t>SUM</t>
  </si>
  <si>
    <t>AVG</t>
  </si>
  <si>
    <t>DEV</t>
  </si>
  <si>
    <t>DST</t>
  </si>
  <si>
    <t>BEST</t>
  </si>
  <si>
    <t>BETTER</t>
  </si>
  <si>
    <t>WORSE</t>
  </si>
  <si>
    <t>WORST</t>
  </si>
  <si>
    <t>coomsuite-1.0.0/clingo-base</t>
  </si>
  <si>
    <t>time</t>
  </si>
  <si>
    <t>timeout</t>
  </si>
  <si>
    <t>coomsuite-1.0.0/clingo-brave</t>
  </si>
  <si>
    <t>coomsuite-1.0.0/clingo-cautious</t>
  </si>
  <si>
    <t>coomsuite-1.0.0/flingo-base</t>
  </si>
  <si>
    <t>min</t>
  </si>
  <si>
    <t>median</t>
  </si>
  <si>
    <t>max</t>
  </si>
  <si>
    <t>Merge criteria:</t>
  </si>
  <si>
    <t>.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</si>
</sst>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164" fontId="0" fillId="3" borderId="0" xfId="0" applyNumberFormat="1" applyFill="1"/>
    <xf numFmtId="1" fontId="0" fillId="3" borderId="0" xfId="0" applyNumberFormat="1" applyFill="1"/>
    <xf numFmtId="164" fontId="0" fillId="2" borderId="0" xfId="0" applyNumberForma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3" width="13" customWidth="1"/>
    <col min="4" max="5" width="13.42578125" customWidth="1"/>
    <col min="6" max="7" width="14.7109375" customWidth="1"/>
    <col min="8" max="9" width="13" customWidth="1"/>
    <col min="10" max="15" width="11.42578125" customWidth="1"/>
  </cols>
  <sheetData>
    <row r="1" spans="1:15">
      <c r="A1" s="1"/>
      <c r="B1" s="1" t="s">
        <v>48</v>
      </c>
      <c r="C1" s="2"/>
      <c r="D1" s="1" t="s">
        <v>51</v>
      </c>
      <c r="E1" s="2"/>
      <c r="F1" s="1" t="s">
        <v>52</v>
      </c>
      <c r="G1" s="2"/>
      <c r="H1" s="1" t="s">
        <v>53</v>
      </c>
      <c r="I1" s="2"/>
      <c r="J1" s="1" t="s">
        <v>54</v>
      </c>
      <c r="K1" s="1"/>
      <c r="L1" s="1" t="s">
        <v>55</v>
      </c>
      <c r="M1" s="1"/>
      <c r="N1" s="1" t="s">
        <v>56</v>
      </c>
      <c r="O1" s="1"/>
    </row>
    <row r="2" spans="1:15">
      <c r="A2" s="1"/>
      <c r="B2" s="1" t="s">
        <v>49</v>
      </c>
      <c r="C2" s="2" t="s">
        <v>50</v>
      </c>
      <c r="D2" s="1" t="s">
        <v>49</v>
      </c>
      <c r="E2" s="2" t="s">
        <v>50</v>
      </c>
      <c r="F2" s="1" t="s">
        <v>49</v>
      </c>
      <c r="G2" s="2" t="s">
        <v>50</v>
      </c>
      <c r="H2" s="1" t="s">
        <v>49</v>
      </c>
      <c r="I2" s="2" t="s">
        <v>50</v>
      </c>
      <c r="J2" s="1" t="s">
        <v>49</v>
      </c>
      <c r="K2" s="1" t="s">
        <v>50</v>
      </c>
      <c r="L2" s="1" t="s">
        <v>49</v>
      </c>
      <c r="M2" s="1" t="s">
        <v>50</v>
      </c>
      <c r="N2" s="1" t="s">
        <v>49</v>
      </c>
      <c r="O2" s="1" t="s">
        <v>50</v>
      </c>
    </row>
    <row r="3" spans="1:15">
      <c r="A3" s="1" t="s">
        <v>0</v>
      </c>
      <c r="B3" s="1">
        <v>256.95</v>
      </c>
      <c r="C3" s="3">
        <v>0</v>
      </c>
      <c r="D3" s="4">
        <v>1200</v>
      </c>
      <c r="E3" s="5">
        <v>1</v>
      </c>
      <c r="F3" s="6">
        <v>178.7</v>
      </c>
      <c r="G3" s="3">
        <v>0</v>
      </c>
      <c r="H3" s="4">
        <v>1200</v>
      </c>
      <c r="I3" s="5">
        <v>1</v>
      </c>
      <c r="J3" s="1">
        <f>MIN($B3,$D3,$F3,$H3)</f>
        <v>0</v>
      </c>
      <c r="K3" s="1">
        <f>MIN($C3,$E3,$G3,$I3)</f>
        <v>0</v>
      </c>
      <c r="L3" s="1">
        <f>MEDIAN($B3,$D3,$F3,$H3)</f>
        <v>0</v>
      </c>
      <c r="M3" s="1">
        <f>MEDIAN($C3,$E3,$G3,$I3)</f>
        <v>0</v>
      </c>
      <c r="N3" s="1">
        <f>MAX($B3,$D3,$F3,$H3)</f>
        <v>0</v>
      </c>
      <c r="O3" s="1">
        <f>MAX($C3,$E3,$G3,$I3)</f>
        <v>0</v>
      </c>
    </row>
    <row r="4" spans="1:15">
      <c r="A4" s="1" t="s">
        <v>1</v>
      </c>
      <c r="B4" s="1">
        <v>264.25</v>
      </c>
      <c r="C4" s="2">
        <v>0</v>
      </c>
      <c r="D4" s="4">
        <v>1200</v>
      </c>
      <c r="E4" s="5">
        <v>1</v>
      </c>
      <c r="F4" s="1">
        <v>177.93</v>
      </c>
      <c r="G4" s="2">
        <v>0</v>
      </c>
      <c r="H4" s="6">
        <v>7.19</v>
      </c>
      <c r="I4" s="2">
        <v>0</v>
      </c>
      <c r="J4" s="1">
        <f>MIN($B4,$D4,$F4,$H4)</f>
        <v>0</v>
      </c>
      <c r="K4" s="1">
        <f>MIN($C4,$E4,$G4,$I4)</f>
        <v>0</v>
      </c>
      <c r="L4" s="1">
        <f>MEDIAN($B4,$D4,$F4,$H4)</f>
        <v>0</v>
      </c>
      <c r="M4" s="1">
        <f>MEDIAN($C4,$E4,$G4,$I4)</f>
        <v>0</v>
      </c>
      <c r="N4" s="1">
        <f>MAX($B4,$D4,$F4,$H4)</f>
        <v>0</v>
      </c>
      <c r="O4" s="1">
        <f>MAX($C4,$E4,$G4,$I4)</f>
        <v>0</v>
      </c>
    </row>
    <row r="5" spans="1:15">
      <c r="A5" s="1" t="s">
        <v>2</v>
      </c>
      <c r="B5" s="1">
        <v>254.93</v>
      </c>
      <c r="C5" s="2">
        <v>0</v>
      </c>
      <c r="D5" s="1">
        <v>320.86</v>
      </c>
      <c r="E5" s="2">
        <v>0</v>
      </c>
      <c r="F5" s="6">
        <v>180.7</v>
      </c>
      <c r="G5" s="2">
        <v>0</v>
      </c>
      <c r="H5" s="4">
        <v>1200</v>
      </c>
      <c r="I5" s="5">
        <v>1</v>
      </c>
      <c r="J5" s="1">
        <f>MIN($B5,$D5,$F5,$H5)</f>
        <v>0</v>
      </c>
      <c r="K5" s="1">
        <f>MIN($C5,$E5,$G5,$I5)</f>
        <v>0</v>
      </c>
      <c r="L5" s="1">
        <f>MEDIAN($B5,$D5,$F5,$H5)</f>
        <v>0</v>
      </c>
      <c r="M5" s="1">
        <f>MEDIAN($C5,$E5,$G5,$I5)</f>
        <v>0</v>
      </c>
      <c r="N5" s="1">
        <f>MAX($B5,$D5,$F5,$H5)</f>
        <v>0</v>
      </c>
      <c r="O5" s="1">
        <f>MAX($C5,$E5,$G5,$I5)</f>
        <v>0</v>
      </c>
    </row>
    <row r="6" spans="1:15">
      <c r="A6" s="1" t="s">
        <v>3</v>
      </c>
      <c r="B6" s="4">
        <v>1200</v>
      </c>
      <c r="C6" s="5">
        <v>1</v>
      </c>
      <c r="D6" s="1">
        <v>181.32</v>
      </c>
      <c r="E6" s="2">
        <v>0</v>
      </c>
      <c r="F6" s="1">
        <v>262.88</v>
      </c>
      <c r="G6" s="2">
        <v>0</v>
      </c>
      <c r="H6" s="6">
        <v>7.24</v>
      </c>
      <c r="I6" s="2">
        <v>0</v>
      </c>
      <c r="J6" s="1">
        <f>MIN($B6,$D6,$F6,$H6)</f>
        <v>0</v>
      </c>
      <c r="K6" s="1">
        <f>MIN($C6,$E6,$G6,$I6)</f>
        <v>0</v>
      </c>
      <c r="L6" s="1">
        <f>MEDIAN($B6,$D6,$F6,$H6)</f>
        <v>0</v>
      </c>
      <c r="M6" s="1">
        <f>MEDIAN($C6,$E6,$G6,$I6)</f>
        <v>0</v>
      </c>
      <c r="N6" s="1">
        <f>MAX($B6,$D6,$F6,$H6)</f>
        <v>0</v>
      </c>
      <c r="O6" s="1">
        <f>MAX($C6,$E6,$G6,$I6)</f>
        <v>0</v>
      </c>
    </row>
    <row r="7" spans="1:15">
      <c r="A7" s="1" t="s">
        <v>4</v>
      </c>
      <c r="B7" s="4">
        <v>1200</v>
      </c>
      <c r="C7" s="5">
        <v>1</v>
      </c>
      <c r="D7" s="4">
        <v>1200</v>
      </c>
      <c r="E7" s="5">
        <v>1</v>
      </c>
      <c r="F7" s="1">
        <v>260.04</v>
      </c>
      <c r="G7" s="3">
        <v>0</v>
      </c>
      <c r="H7" s="6">
        <v>7.2</v>
      </c>
      <c r="I7" s="3">
        <v>0</v>
      </c>
      <c r="J7" s="1">
        <f>MIN($B7,$D7,$F7,$H7)</f>
        <v>0</v>
      </c>
      <c r="K7" s="1">
        <f>MIN($C7,$E7,$G7,$I7)</f>
        <v>0</v>
      </c>
      <c r="L7" s="1">
        <f>MEDIAN($B7,$D7,$F7,$H7)</f>
        <v>0</v>
      </c>
      <c r="M7" s="1">
        <f>MEDIAN($C7,$E7,$G7,$I7)</f>
        <v>0</v>
      </c>
      <c r="N7" s="1">
        <f>MAX($B7,$D7,$F7,$H7)</f>
        <v>0</v>
      </c>
      <c r="O7" s="1">
        <f>MAX($C7,$E7,$G7,$I7)</f>
        <v>0</v>
      </c>
    </row>
    <row r="8" spans="1:15">
      <c r="A8" s="1" t="s">
        <v>5</v>
      </c>
      <c r="B8" s="1">
        <v>258.02</v>
      </c>
      <c r="C8" s="2">
        <v>0</v>
      </c>
      <c r="D8" s="4">
        <v>1200</v>
      </c>
      <c r="E8" s="5">
        <v>1</v>
      </c>
      <c r="F8" s="1">
        <v>181.11</v>
      </c>
      <c r="G8" s="2">
        <v>0</v>
      </c>
      <c r="H8" s="6">
        <v>8.029999999999999</v>
      </c>
      <c r="I8" s="2">
        <v>0</v>
      </c>
      <c r="J8" s="1">
        <f>MIN($B8,$D8,$F8,$H8)</f>
        <v>0</v>
      </c>
      <c r="K8" s="1">
        <f>MIN($C8,$E8,$G8,$I8)</f>
        <v>0</v>
      </c>
      <c r="L8" s="1">
        <f>MEDIAN($B8,$D8,$F8,$H8)</f>
        <v>0</v>
      </c>
      <c r="M8" s="1">
        <f>MEDIAN($C8,$E8,$G8,$I8)</f>
        <v>0</v>
      </c>
      <c r="N8" s="1">
        <f>MAX($B8,$D8,$F8,$H8)</f>
        <v>0</v>
      </c>
      <c r="O8" s="1">
        <f>MAX($C8,$E8,$G8,$I8)</f>
        <v>0</v>
      </c>
    </row>
    <row r="9" spans="1:15">
      <c r="A9" s="1" t="s">
        <v>6</v>
      </c>
      <c r="B9" s="1">
        <v>214.21</v>
      </c>
      <c r="C9" s="2">
        <v>0</v>
      </c>
      <c r="D9" s="4">
        <v>1200</v>
      </c>
      <c r="E9" s="5">
        <v>1</v>
      </c>
      <c r="F9" s="1">
        <v>256.05</v>
      </c>
      <c r="G9" s="2">
        <v>0</v>
      </c>
      <c r="H9" s="6">
        <v>6.98</v>
      </c>
      <c r="I9" s="2">
        <v>0</v>
      </c>
      <c r="J9" s="1">
        <f>MIN($B9,$D9,$F9,$H9)</f>
        <v>0</v>
      </c>
      <c r="K9" s="1">
        <f>MIN($C9,$E9,$G9,$I9)</f>
        <v>0</v>
      </c>
      <c r="L9" s="1">
        <f>MEDIAN($B9,$D9,$F9,$H9)</f>
        <v>0</v>
      </c>
      <c r="M9" s="1">
        <f>MEDIAN($C9,$E9,$G9,$I9)</f>
        <v>0</v>
      </c>
      <c r="N9" s="1">
        <f>MAX($B9,$D9,$F9,$H9)</f>
        <v>0</v>
      </c>
      <c r="O9" s="1">
        <f>MAX($C9,$E9,$G9,$I9)</f>
        <v>0</v>
      </c>
    </row>
    <row r="10" spans="1:15">
      <c r="A10" s="1" t="s">
        <v>7</v>
      </c>
      <c r="B10" s="1">
        <v>180.27</v>
      </c>
      <c r="C10" s="2">
        <v>0</v>
      </c>
      <c r="D10" s="4">
        <v>1200</v>
      </c>
      <c r="E10" s="5">
        <v>1</v>
      </c>
      <c r="F10" s="1">
        <v>257.37</v>
      </c>
      <c r="G10" s="2">
        <v>0</v>
      </c>
      <c r="H10" s="6">
        <v>7.31</v>
      </c>
      <c r="I10" s="2">
        <v>0</v>
      </c>
      <c r="J10" s="1">
        <f>MIN($B10,$D10,$F10,$H10)</f>
        <v>0</v>
      </c>
      <c r="K10" s="1">
        <f>MIN($C10,$E10,$G10,$I10)</f>
        <v>0</v>
      </c>
      <c r="L10" s="1">
        <f>MEDIAN($B10,$D10,$F10,$H10)</f>
        <v>0</v>
      </c>
      <c r="M10" s="1">
        <f>MEDIAN($C10,$E10,$G10,$I10)</f>
        <v>0</v>
      </c>
      <c r="N10" s="1">
        <f>MAX($B10,$D10,$F10,$H10)</f>
        <v>0</v>
      </c>
      <c r="O10" s="1">
        <f>MAX($C10,$E10,$G10,$I10)</f>
        <v>0</v>
      </c>
    </row>
    <row r="11" spans="1:15">
      <c r="A11" s="1" t="s">
        <v>8</v>
      </c>
      <c r="B11" s="1">
        <v>319.48</v>
      </c>
      <c r="C11" s="3">
        <v>0</v>
      </c>
      <c r="D11" s="4">
        <v>1200</v>
      </c>
      <c r="E11" s="5">
        <v>1</v>
      </c>
      <c r="F11" s="6">
        <v>179.7</v>
      </c>
      <c r="G11" s="3">
        <v>0</v>
      </c>
      <c r="H11" s="4">
        <v>1200</v>
      </c>
      <c r="I11" s="5">
        <v>1</v>
      </c>
      <c r="J11" s="1">
        <f>MIN($B11,$D11,$F11,$H11)</f>
        <v>0</v>
      </c>
      <c r="K11" s="1">
        <f>MIN($C11,$E11,$G11,$I11)</f>
        <v>0</v>
      </c>
      <c r="L11" s="1">
        <f>MEDIAN($B11,$D11,$F11,$H11)</f>
        <v>0</v>
      </c>
      <c r="M11" s="1">
        <f>MEDIAN($C11,$E11,$G11,$I11)</f>
        <v>0</v>
      </c>
      <c r="N11" s="1">
        <f>MAX($B11,$D11,$F11,$H11)</f>
        <v>0</v>
      </c>
      <c r="O11" s="1">
        <f>MAX($C11,$E11,$G11,$I11)</f>
        <v>0</v>
      </c>
    </row>
    <row r="12" spans="1:15">
      <c r="A12" s="1" t="s">
        <v>9</v>
      </c>
      <c r="B12" s="1">
        <v>257.03</v>
      </c>
      <c r="C12" s="2">
        <v>0</v>
      </c>
      <c r="D12" s="1">
        <v>275.03</v>
      </c>
      <c r="E12" s="2">
        <v>0</v>
      </c>
      <c r="F12" s="6">
        <v>179.39</v>
      </c>
      <c r="G12" s="2">
        <v>0</v>
      </c>
      <c r="H12" s="4">
        <v>1200</v>
      </c>
      <c r="I12" s="5">
        <v>1</v>
      </c>
      <c r="J12" s="1">
        <f>MIN($B12,$D12,$F12,$H12)</f>
        <v>0</v>
      </c>
      <c r="K12" s="1">
        <f>MIN($C12,$E12,$G12,$I12)</f>
        <v>0</v>
      </c>
      <c r="L12" s="1">
        <f>MEDIAN($B12,$D12,$F12,$H12)</f>
        <v>0</v>
      </c>
      <c r="M12" s="1">
        <f>MEDIAN($C12,$E12,$G12,$I12)</f>
        <v>0</v>
      </c>
      <c r="N12" s="1">
        <f>MAX($B12,$D12,$F12,$H12)</f>
        <v>0</v>
      </c>
      <c r="O12" s="1">
        <f>MAX($C12,$E12,$G12,$I12)</f>
        <v>0</v>
      </c>
    </row>
    <row r="13" spans="1:15">
      <c r="A13" s="1" t="s">
        <v>10</v>
      </c>
      <c r="B13" s="1">
        <v>910.9400000000001</v>
      </c>
      <c r="C13" s="3">
        <v>0</v>
      </c>
      <c r="D13" s="4">
        <v>1200</v>
      </c>
      <c r="E13" s="5">
        <v>1</v>
      </c>
      <c r="F13" s="6">
        <v>634.66</v>
      </c>
      <c r="G13" s="3">
        <v>0</v>
      </c>
      <c r="H13" s="4">
        <v>1200</v>
      </c>
      <c r="I13" s="5">
        <v>1</v>
      </c>
      <c r="J13" s="1">
        <f>MIN($B13,$D13,$F13,$H13)</f>
        <v>0</v>
      </c>
      <c r="K13" s="1">
        <f>MIN($C13,$E13,$G13,$I13)</f>
        <v>0</v>
      </c>
      <c r="L13" s="1">
        <f>MEDIAN($B13,$D13,$F13,$H13)</f>
        <v>0</v>
      </c>
      <c r="M13" s="1">
        <f>MEDIAN($C13,$E13,$G13,$I13)</f>
        <v>0</v>
      </c>
      <c r="N13" s="1">
        <f>MAX($B13,$D13,$F13,$H13)</f>
        <v>0</v>
      </c>
      <c r="O13" s="1">
        <f>MAX($C13,$E13,$G13,$I13)</f>
        <v>0</v>
      </c>
    </row>
    <row r="14" spans="1:15">
      <c r="A14" s="1" t="s">
        <v>11</v>
      </c>
      <c r="B14" s="1">
        <v>632.66</v>
      </c>
      <c r="C14" s="2">
        <v>0</v>
      </c>
      <c r="D14" s="4">
        <v>1200</v>
      </c>
      <c r="E14" s="5">
        <v>1</v>
      </c>
      <c r="F14" s="1">
        <v>929.27</v>
      </c>
      <c r="G14" s="2">
        <v>0</v>
      </c>
      <c r="H14" s="6">
        <v>9.390000000000001</v>
      </c>
      <c r="I14" s="2">
        <v>0</v>
      </c>
      <c r="J14" s="1">
        <f>MIN($B14,$D14,$F14,$H14)</f>
        <v>0</v>
      </c>
      <c r="K14" s="1">
        <f>MIN($C14,$E14,$G14,$I14)</f>
        <v>0</v>
      </c>
      <c r="L14" s="1">
        <f>MEDIAN($B14,$D14,$F14,$H14)</f>
        <v>0</v>
      </c>
      <c r="M14" s="1">
        <f>MEDIAN($C14,$E14,$G14,$I14)</f>
        <v>0</v>
      </c>
      <c r="N14" s="1">
        <f>MAX($B14,$D14,$F14,$H14)</f>
        <v>0</v>
      </c>
      <c r="O14" s="1">
        <f>MAX($C14,$E14,$G14,$I14)</f>
        <v>0</v>
      </c>
    </row>
    <row r="15" spans="1:15">
      <c r="A15" s="1" t="s">
        <v>12</v>
      </c>
      <c r="B15" s="1">
        <v>944.4299999999999</v>
      </c>
      <c r="C15" s="2">
        <v>0</v>
      </c>
      <c r="D15" s="4">
        <v>1200</v>
      </c>
      <c r="E15" s="5">
        <v>1</v>
      </c>
      <c r="F15" s="1">
        <v>939.0700000000001</v>
      </c>
      <c r="G15" s="2">
        <v>0</v>
      </c>
      <c r="H15" s="6">
        <v>9.26</v>
      </c>
      <c r="I15" s="2">
        <v>0</v>
      </c>
      <c r="J15" s="1">
        <f>MIN($B15,$D15,$F15,$H15)</f>
        <v>0</v>
      </c>
      <c r="K15" s="1">
        <f>MIN($C15,$E15,$G15,$I15)</f>
        <v>0</v>
      </c>
      <c r="L15" s="1">
        <f>MEDIAN($B15,$D15,$F15,$H15)</f>
        <v>0</v>
      </c>
      <c r="M15" s="1">
        <f>MEDIAN($C15,$E15,$G15,$I15)</f>
        <v>0</v>
      </c>
      <c r="N15" s="1">
        <f>MAX($B15,$D15,$F15,$H15)</f>
        <v>0</v>
      </c>
      <c r="O15" s="1">
        <f>MAX($C15,$E15,$G15,$I15)</f>
        <v>0</v>
      </c>
    </row>
    <row r="16" spans="1:15">
      <c r="A16" s="1" t="s">
        <v>13</v>
      </c>
      <c r="B16" s="4">
        <v>1200</v>
      </c>
      <c r="C16" s="5">
        <v>1</v>
      </c>
      <c r="D16" s="1">
        <v>640.58</v>
      </c>
      <c r="E16" s="2">
        <v>0</v>
      </c>
      <c r="F16" s="1">
        <v>837.83</v>
      </c>
      <c r="G16" s="2">
        <v>0</v>
      </c>
      <c r="H16" s="6">
        <v>9.300000000000001</v>
      </c>
      <c r="I16" s="2">
        <v>0</v>
      </c>
      <c r="J16" s="1">
        <f>MIN($B16,$D16,$F16,$H16)</f>
        <v>0</v>
      </c>
      <c r="K16" s="1">
        <f>MIN($C16,$E16,$G16,$I16)</f>
        <v>0</v>
      </c>
      <c r="L16" s="1">
        <f>MEDIAN($B16,$D16,$F16,$H16)</f>
        <v>0</v>
      </c>
      <c r="M16" s="1">
        <f>MEDIAN($C16,$E16,$G16,$I16)</f>
        <v>0</v>
      </c>
      <c r="N16" s="1">
        <f>MAX($B16,$D16,$F16,$H16)</f>
        <v>0</v>
      </c>
      <c r="O16" s="1">
        <f>MAX($C16,$E16,$G16,$I16)</f>
        <v>0</v>
      </c>
    </row>
    <row r="17" spans="1:15">
      <c r="A17" s="1" t="s">
        <v>14</v>
      </c>
      <c r="B17" s="1">
        <v>955.45</v>
      </c>
      <c r="C17" s="2">
        <v>0</v>
      </c>
      <c r="D17" s="1">
        <v>792.09</v>
      </c>
      <c r="E17" s="2">
        <v>0</v>
      </c>
      <c r="F17" s="6">
        <v>635.22</v>
      </c>
      <c r="G17" s="2">
        <v>0</v>
      </c>
      <c r="H17" s="4">
        <v>1200</v>
      </c>
      <c r="I17" s="5">
        <v>1</v>
      </c>
      <c r="J17" s="1">
        <f>MIN($B17,$D17,$F17,$H17)</f>
        <v>0</v>
      </c>
      <c r="K17" s="1">
        <f>MIN($C17,$E17,$G17,$I17)</f>
        <v>0</v>
      </c>
      <c r="L17" s="1">
        <f>MEDIAN($B17,$D17,$F17,$H17)</f>
        <v>0</v>
      </c>
      <c r="M17" s="1">
        <f>MEDIAN($C17,$E17,$G17,$I17)</f>
        <v>0</v>
      </c>
      <c r="N17" s="1">
        <f>MAX($B17,$D17,$F17,$H17)</f>
        <v>0</v>
      </c>
      <c r="O17" s="1">
        <f>MAX($C17,$E17,$G17,$I17)</f>
        <v>0</v>
      </c>
    </row>
    <row r="18" spans="1:15">
      <c r="A18" s="1" t="s">
        <v>15</v>
      </c>
      <c r="B18" s="1">
        <v>906.88</v>
      </c>
      <c r="C18" s="3">
        <v>0</v>
      </c>
      <c r="D18" s="4">
        <v>1200</v>
      </c>
      <c r="E18" s="5">
        <v>1</v>
      </c>
      <c r="F18" s="6">
        <v>624.46</v>
      </c>
      <c r="G18" s="3">
        <v>0</v>
      </c>
      <c r="H18" s="4">
        <v>1200</v>
      </c>
      <c r="I18" s="5">
        <v>1</v>
      </c>
      <c r="J18" s="1">
        <f>MIN($B18,$D18,$F18,$H18)</f>
        <v>0</v>
      </c>
      <c r="K18" s="1">
        <f>MIN($C18,$E18,$G18,$I18)</f>
        <v>0</v>
      </c>
      <c r="L18" s="1">
        <f>MEDIAN($B18,$D18,$F18,$H18)</f>
        <v>0</v>
      </c>
      <c r="M18" s="1">
        <f>MEDIAN($C18,$E18,$G18,$I18)</f>
        <v>0</v>
      </c>
      <c r="N18" s="1">
        <f>MAX($B18,$D18,$F18,$H18)</f>
        <v>0</v>
      </c>
      <c r="O18" s="1">
        <f>MAX($C18,$E18,$G18,$I18)</f>
        <v>0</v>
      </c>
    </row>
    <row r="19" spans="1:15">
      <c r="A19" s="1" t="s">
        <v>16</v>
      </c>
      <c r="B19" s="1">
        <v>934.67</v>
      </c>
      <c r="C19" s="2">
        <v>0</v>
      </c>
      <c r="D19" s="4">
        <v>1200</v>
      </c>
      <c r="E19" s="5">
        <v>1</v>
      </c>
      <c r="F19" s="1">
        <v>863.26</v>
      </c>
      <c r="G19" s="2">
        <v>0</v>
      </c>
      <c r="H19" s="6">
        <v>9.01</v>
      </c>
      <c r="I19" s="2">
        <v>0</v>
      </c>
      <c r="J19" s="1">
        <f>MIN($B19,$D19,$F19,$H19)</f>
        <v>0</v>
      </c>
      <c r="K19" s="1">
        <f>MIN($C19,$E19,$G19,$I19)</f>
        <v>0</v>
      </c>
      <c r="L19" s="1">
        <f>MEDIAN($B19,$D19,$F19,$H19)</f>
        <v>0</v>
      </c>
      <c r="M19" s="1">
        <f>MEDIAN($C19,$E19,$G19,$I19)</f>
        <v>0</v>
      </c>
      <c r="N19" s="1">
        <f>MAX($B19,$D19,$F19,$H19)</f>
        <v>0</v>
      </c>
      <c r="O19" s="1">
        <f>MAX($C19,$E19,$G19,$I19)</f>
        <v>0</v>
      </c>
    </row>
    <row r="20" spans="1:15">
      <c r="A20" s="1" t="s">
        <v>17</v>
      </c>
      <c r="B20" s="1">
        <v>922.89</v>
      </c>
      <c r="C20" s="2">
        <v>0</v>
      </c>
      <c r="D20" s="4">
        <v>1200</v>
      </c>
      <c r="E20" s="5">
        <v>1</v>
      </c>
      <c r="F20" s="1">
        <v>864.61</v>
      </c>
      <c r="G20" s="2">
        <v>0</v>
      </c>
      <c r="H20" s="6">
        <v>9.27</v>
      </c>
      <c r="I20" s="2">
        <v>0</v>
      </c>
      <c r="J20" s="1">
        <f>MIN($B20,$D20,$F20,$H20)</f>
        <v>0</v>
      </c>
      <c r="K20" s="1">
        <f>MIN($C20,$E20,$G20,$I20)</f>
        <v>0</v>
      </c>
      <c r="L20" s="1">
        <f>MEDIAN($B20,$D20,$F20,$H20)</f>
        <v>0</v>
      </c>
      <c r="M20" s="1">
        <f>MEDIAN($C20,$E20,$G20,$I20)</f>
        <v>0</v>
      </c>
      <c r="N20" s="1">
        <f>MAX($B20,$D20,$F20,$H20)</f>
        <v>0</v>
      </c>
      <c r="O20" s="1">
        <f>MAX($C20,$E20,$G20,$I20)</f>
        <v>0</v>
      </c>
    </row>
    <row r="21" spans="1:15">
      <c r="A21" s="1" t="s">
        <v>18</v>
      </c>
      <c r="B21" s="4">
        <v>1200</v>
      </c>
      <c r="C21" s="5">
        <v>1</v>
      </c>
      <c r="D21" s="1">
        <v>637.0700000000001</v>
      </c>
      <c r="E21" s="2">
        <v>0</v>
      </c>
      <c r="F21" s="1">
        <v>815.8200000000001</v>
      </c>
      <c r="G21" s="2">
        <v>0</v>
      </c>
      <c r="H21" s="6">
        <v>9.289999999999999</v>
      </c>
      <c r="I21" s="2">
        <v>0</v>
      </c>
      <c r="J21" s="1">
        <f>MIN($B21,$D21,$F21,$H21)</f>
        <v>0</v>
      </c>
      <c r="K21" s="1">
        <f>MIN($C21,$E21,$G21,$I21)</f>
        <v>0</v>
      </c>
      <c r="L21" s="1">
        <f>MEDIAN($B21,$D21,$F21,$H21)</f>
        <v>0</v>
      </c>
      <c r="M21" s="1">
        <f>MEDIAN($C21,$E21,$G21,$I21)</f>
        <v>0</v>
      </c>
      <c r="N21" s="1">
        <f>MAX($B21,$D21,$F21,$H21)</f>
        <v>0</v>
      </c>
      <c r="O21" s="1">
        <f>MAX($C21,$E21,$G21,$I21)</f>
        <v>0</v>
      </c>
    </row>
    <row r="22" spans="1:15">
      <c r="A22" s="1" t="s">
        <v>19</v>
      </c>
      <c r="B22" s="1">
        <v>883.13</v>
      </c>
      <c r="C22" s="2">
        <v>0</v>
      </c>
      <c r="D22" s="1">
        <v>741.92</v>
      </c>
      <c r="E22" s="2">
        <v>0</v>
      </c>
      <c r="F22" s="6">
        <v>624.63</v>
      </c>
      <c r="G22" s="2">
        <v>0</v>
      </c>
      <c r="H22" s="4">
        <v>1200</v>
      </c>
      <c r="I22" s="5">
        <v>1</v>
      </c>
      <c r="J22" s="1">
        <f>MIN($B22,$D22,$F22,$H22)</f>
        <v>0</v>
      </c>
      <c r="K22" s="1">
        <f>MIN($C22,$E22,$G22,$I22)</f>
        <v>0</v>
      </c>
      <c r="L22" s="1">
        <f>MEDIAN($B22,$D22,$F22,$H22)</f>
        <v>0</v>
      </c>
      <c r="M22" s="1">
        <f>MEDIAN($C22,$E22,$G22,$I22)</f>
        <v>0</v>
      </c>
      <c r="N22" s="1">
        <f>MAX($B22,$D22,$F22,$H22)</f>
        <v>0</v>
      </c>
      <c r="O22" s="1">
        <f>MAX($C22,$E22,$G22,$I22)</f>
        <v>0</v>
      </c>
    </row>
    <row r="23" spans="1:15">
      <c r="A23" s="1" t="s">
        <v>20</v>
      </c>
      <c r="B23" s="1">
        <v>1200</v>
      </c>
      <c r="C23" s="2">
        <v>1</v>
      </c>
      <c r="D23" s="1">
        <v>1200</v>
      </c>
      <c r="E23" s="2">
        <v>1</v>
      </c>
      <c r="F23" s="1">
        <v>1200</v>
      </c>
      <c r="G23" s="2">
        <v>1</v>
      </c>
      <c r="H23" s="6">
        <v>11.29</v>
      </c>
      <c r="I23" s="3">
        <v>0</v>
      </c>
      <c r="J23" s="1">
        <f>MIN($B23,$D23,$F23,$H23)</f>
        <v>0</v>
      </c>
      <c r="K23" s="1">
        <f>MIN($C23,$E23,$G23,$I23)</f>
        <v>0</v>
      </c>
      <c r="L23" s="1">
        <f>MEDIAN($B23,$D23,$F23,$H23)</f>
        <v>0</v>
      </c>
      <c r="M23" s="1">
        <f>MEDIAN($C23,$E23,$G23,$I23)</f>
        <v>0</v>
      </c>
      <c r="N23" s="1">
        <f>MAX($B23,$D23,$F23,$H23)</f>
        <v>0</v>
      </c>
      <c r="O23" s="1">
        <f>MAX($C23,$E23,$G23,$I23)</f>
        <v>0</v>
      </c>
    </row>
    <row r="24" spans="1:15">
      <c r="A24" s="1" t="s">
        <v>21</v>
      </c>
      <c r="B24" s="1">
        <v>1200</v>
      </c>
      <c r="C24" s="2">
        <v>1</v>
      </c>
      <c r="D24" s="1">
        <v>1200</v>
      </c>
      <c r="E24" s="2">
        <v>1</v>
      </c>
      <c r="F24" s="1">
        <v>1200</v>
      </c>
      <c r="G24" s="2">
        <v>1</v>
      </c>
      <c r="H24" s="1">
        <v>1200</v>
      </c>
      <c r="I24" s="2">
        <v>1</v>
      </c>
      <c r="J24" s="1">
        <f>MIN($B24,$D24,$F24,$H24)</f>
        <v>0</v>
      </c>
      <c r="K24" s="1">
        <f>MIN($C24,$E24,$G24,$I24)</f>
        <v>0</v>
      </c>
      <c r="L24" s="1">
        <f>MEDIAN($B24,$D24,$F24,$H24)</f>
        <v>0</v>
      </c>
      <c r="M24" s="1">
        <f>MEDIAN($C24,$E24,$G24,$I24)</f>
        <v>0</v>
      </c>
      <c r="N24" s="1">
        <f>MAX($B24,$D24,$F24,$H24)</f>
        <v>0</v>
      </c>
      <c r="O24" s="1">
        <f>MAX($C24,$E24,$G24,$I24)</f>
        <v>0</v>
      </c>
    </row>
    <row r="25" spans="1:15">
      <c r="A25" s="1" t="s">
        <v>22</v>
      </c>
      <c r="B25" s="1">
        <v>1200</v>
      </c>
      <c r="C25" s="2">
        <v>1</v>
      </c>
      <c r="D25" s="1">
        <v>1200</v>
      </c>
      <c r="E25" s="2">
        <v>1</v>
      </c>
      <c r="F25" s="1">
        <v>1200</v>
      </c>
      <c r="G25" s="2">
        <v>1</v>
      </c>
      <c r="H25" s="6">
        <v>11.06</v>
      </c>
      <c r="I25" s="3">
        <v>0</v>
      </c>
      <c r="J25" s="1">
        <f>MIN($B25,$D25,$F25,$H25)</f>
        <v>0</v>
      </c>
      <c r="K25" s="1">
        <f>MIN($C25,$E25,$G25,$I25)</f>
        <v>0</v>
      </c>
      <c r="L25" s="1">
        <f>MEDIAN($B25,$D25,$F25,$H25)</f>
        <v>0</v>
      </c>
      <c r="M25" s="1">
        <f>MEDIAN($C25,$E25,$G25,$I25)</f>
        <v>0</v>
      </c>
      <c r="N25" s="1">
        <f>MAX($B25,$D25,$F25,$H25)</f>
        <v>0</v>
      </c>
      <c r="O25" s="1">
        <f>MAX($C25,$E25,$G25,$I25)</f>
        <v>0</v>
      </c>
    </row>
    <row r="26" spans="1:15">
      <c r="A26" s="1" t="s">
        <v>23</v>
      </c>
      <c r="B26" s="1">
        <v>1200</v>
      </c>
      <c r="C26" s="2">
        <v>1</v>
      </c>
      <c r="D26" s="1">
        <v>1200</v>
      </c>
      <c r="E26" s="2">
        <v>1</v>
      </c>
      <c r="F26" s="1">
        <v>1200</v>
      </c>
      <c r="G26" s="2">
        <v>1</v>
      </c>
      <c r="H26" s="6">
        <v>11.2</v>
      </c>
      <c r="I26" s="3">
        <v>0</v>
      </c>
      <c r="J26" s="1">
        <f>MIN($B26,$D26,$F26,$H26)</f>
        <v>0</v>
      </c>
      <c r="K26" s="1">
        <f>MIN($C26,$E26,$G26,$I26)</f>
        <v>0</v>
      </c>
      <c r="L26" s="1">
        <f>MEDIAN($B26,$D26,$F26,$H26)</f>
        <v>0</v>
      </c>
      <c r="M26" s="1">
        <f>MEDIAN($C26,$E26,$G26,$I26)</f>
        <v>0</v>
      </c>
      <c r="N26" s="1">
        <f>MAX($B26,$D26,$F26,$H26)</f>
        <v>0</v>
      </c>
      <c r="O26" s="1">
        <f>MAX($C26,$E26,$G26,$I26)</f>
        <v>0</v>
      </c>
    </row>
    <row r="27" spans="1:15">
      <c r="A27" s="1" t="s">
        <v>24</v>
      </c>
      <c r="B27" s="1">
        <v>1200</v>
      </c>
      <c r="C27" s="2">
        <v>1</v>
      </c>
      <c r="D27" s="1">
        <v>1200</v>
      </c>
      <c r="E27" s="2">
        <v>1</v>
      </c>
      <c r="F27" s="1">
        <v>1200</v>
      </c>
      <c r="G27" s="2">
        <v>1</v>
      </c>
      <c r="H27" s="6">
        <v>11</v>
      </c>
      <c r="I27" s="3">
        <v>0</v>
      </c>
      <c r="J27" s="1">
        <f>MIN($B27,$D27,$F27,$H27)</f>
        <v>0</v>
      </c>
      <c r="K27" s="1">
        <f>MIN($C27,$E27,$G27,$I27)</f>
        <v>0</v>
      </c>
      <c r="L27" s="1">
        <f>MEDIAN($B27,$D27,$F27,$H27)</f>
        <v>0</v>
      </c>
      <c r="M27" s="1">
        <f>MEDIAN($C27,$E27,$G27,$I27)</f>
        <v>0</v>
      </c>
      <c r="N27" s="1">
        <f>MAX($B27,$D27,$F27,$H27)</f>
        <v>0</v>
      </c>
      <c r="O27" s="1">
        <f>MAX($C27,$E27,$G27,$I27)</f>
        <v>0</v>
      </c>
    </row>
    <row r="28" spans="1:15">
      <c r="A28" s="1" t="s">
        <v>25</v>
      </c>
      <c r="B28" s="1">
        <v>1200</v>
      </c>
      <c r="C28" s="2">
        <v>1</v>
      </c>
      <c r="D28" s="1">
        <v>1200</v>
      </c>
      <c r="E28" s="2">
        <v>1</v>
      </c>
      <c r="F28" s="1">
        <v>1200</v>
      </c>
      <c r="G28" s="2">
        <v>1</v>
      </c>
      <c r="H28" s="6">
        <v>11.32</v>
      </c>
      <c r="I28" s="3">
        <v>0</v>
      </c>
      <c r="J28" s="1">
        <f>MIN($B28,$D28,$F28,$H28)</f>
        <v>0</v>
      </c>
      <c r="K28" s="1">
        <f>MIN($C28,$E28,$G28,$I28)</f>
        <v>0</v>
      </c>
      <c r="L28" s="1">
        <f>MEDIAN($B28,$D28,$F28,$H28)</f>
        <v>0</v>
      </c>
      <c r="M28" s="1">
        <f>MEDIAN($C28,$E28,$G28,$I28)</f>
        <v>0</v>
      </c>
      <c r="N28" s="1">
        <f>MAX($B28,$D28,$F28,$H28)</f>
        <v>0</v>
      </c>
      <c r="O28" s="1">
        <f>MAX($C28,$E28,$G28,$I28)</f>
        <v>0</v>
      </c>
    </row>
    <row r="29" spans="1:15">
      <c r="A29" s="1" t="s">
        <v>26</v>
      </c>
      <c r="B29" s="1">
        <v>1200</v>
      </c>
      <c r="C29" s="2">
        <v>1</v>
      </c>
      <c r="D29" s="1">
        <v>1200</v>
      </c>
      <c r="E29" s="2">
        <v>1</v>
      </c>
      <c r="F29" s="1">
        <v>1200</v>
      </c>
      <c r="G29" s="2">
        <v>1</v>
      </c>
      <c r="H29" s="6">
        <v>11.29</v>
      </c>
      <c r="I29" s="3">
        <v>0</v>
      </c>
      <c r="J29" s="1">
        <f>MIN($B29,$D29,$F29,$H29)</f>
        <v>0</v>
      </c>
      <c r="K29" s="1">
        <f>MIN($C29,$E29,$G29,$I29)</f>
        <v>0</v>
      </c>
      <c r="L29" s="1">
        <f>MEDIAN($B29,$D29,$F29,$H29)</f>
        <v>0</v>
      </c>
      <c r="M29" s="1">
        <f>MEDIAN($C29,$E29,$G29,$I29)</f>
        <v>0</v>
      </c>
      <c r="N29" s="1">
        <f>MAX($B29,$D29,$F29,$H29)</f>
        <v>0</v>
      </c>
      <c r="O29" s="1">
        <f>MAX($C29,$E29,$G29,$I29)</f>
        <v>0</v>
      </c>
    </row>
    <row r="30" spans="1:15">
      <c r="A30" s="1" t="s">
        <v>27</v>
      </c>
      <c r="B30" s="1">
        <v>1200</v>
      </c>
      <c r="C30" s="2">
        <v>1</v>
      </c>
      <c r="D30" s="1">
        <v>1200</v>
      </c>
      <c r="E30" s="2">
        <v>1</v>
      </c>
      <c r="F30" s="1">
        <v>1200</v>
      </c>
      <c r="G30" s="2">
        <v>1</v>
      </c>
      <c r="H30" s="6">
        <v>11.19</v>
      </c>
      <c r="I30" s="3">
        <v>0</v>
      </c>
      <c r="J30" s="1">
        <f>MIN($B30,$D30,$F30,$H30)</f>
        <v>0</v>
      </c>
      <c r="K30" s="1">
        <f>MIN($C30,$E30,$G30,$I30)</f>
        <v>0</v>
      </c>
      <c r="L30" s="1">
        <f>MEDIAN($B30,$D30,$F30,$H30)</f>
        <v>0</v>
      </c>
      <c r="M30" s="1">
        <f>MEDIAN($C30,$E30,$G30,$I30)</f>
        <v>0</v>
      </c>
      <c r="N30" s="1">
        <f>MAX($B30,$D30,$F30,$H30)</f>
        <v>0</v>
      </c>
      <c r="O30" s="1">
        <f>MAX($C30,$E30,$G30,$I30)</f>
        <v>0</v>
      </c>
    </row>
    <row r="31" spans="1:15">
      <c r="A31" s="1" t="s">
        <v>28</v>
      </c>
      <c r="B31" s="1">
        <v>1200</v>
      </c>
      <c r="C31" s="2">
        <v>1</v>
      </c>
      <c r="D31" s="1">
        <v>1200</v>
      </c>
      <c r="E31" s="2">
        <v>1</v>
      </c>
      <c r="F31" s="1">
        <v>1200</v>
      </c>
      <c r="G31" s="2">
        <v>1</v>
      </c>
      <c r="H31" s="1">
        <v>1200</v>
      </c>
      <c r="I31" s="2">
        <v>1</v>
      </c>
      <c r="J31" s="1">
        <f>MIN($B31,$D31,$F31,$H31)</f>
        <v>0</v>
      </c>
      <c r="K31" s="1">
        <f>MIN($C31,$E31,$G31,$I31)</f>
        <v>0</v>
      </c>
      <c r="L31" s="1">
        <f>MEDIAN($B31,$D31,$F31,$H31)</f>
        <v>0</v>
      </c>
      <c r="M31" s="1">
        <f>MEDIAN($C31,$E31,$G31,$I31)</f>
        <v>0</v>
      </c>
      <c r="N31" s="1">
        <f>MAX($B31,$D31,$F31,$H31)</f>
        <v>0</v>
      </c>
      <c r="O31" s="1">
        <f>MAX($C31,$E31,$G31,$I31)</f>
        <v>0</v>
      </c>
    </row>
    <row r="32" spans="1:15">
      <c r="A32" s="1" t="s">
        <v>29</v>
      </c>
      <c r="B32" s="1">
        <v>1200</v>
      </c>
      <c r="C32" s="2">
        <v>1</v>
      </c>
      <c r="D32" s="1">
        <v>1200</v>
      </c>
      <c r="E32" s="2">
        <v>1</v>
      </c>
      <c r="F32" s="1">
        <v>1200</v>
      </c>
      <c r="G32" s="2">
        <v>1</v>
      </c>
      <c r="H32" s="6">
        <v>11.37</v>
      </c>
      <c r="I32" s="3">
        <v>0</v>
      </c>
      <c r="J32" s="1">
        <f>MIN($B32,$D32,$F32,$H32)</f>
        <v>0</v>
      </c>
      <c r="K32" s="1">
        <f>MIN($C32,$E32,$G32,$I32)</f>
        <v>0</v>
      </c>
      <c r="L32" s="1">
        <f>MEDIAN($B32,$D32,$F32,$H32)</f>
        <v>0</v>
      </c>
      <c r="M32" s="1">
        <f>MEDIAN($C32,$E32,$G32,$I32)</f>
        <v>0</v>
      </c>
      <c r="N32" s="1">
        <f>MAX($B32,$D32,$F32,$H32)</f>
        <v>0</v>
      </c>
      <c r="O32" s="1">
        <f>MAX($C32,$E32,$G32,$I32)</f>
        <v>0</v>
      </c>
    </row>
    <row r="33" spans="1:15">
      <c r="A33" s="1" t="s">
        <v>30</v>
      </c>
      <c r="B33" s="1">
        <v>35.2</v>
      </c>
      <c r="C33" s="2">
        <v>0</v>
      </c>
      <c r="D33" s="4">
        <v>1200</v>
      </c>
      <c r="E33" s="5">
        <v>1</v>
      </c>
      <c r="F33" s="1">
        <v>44.8</v>
      </c>
      <c r="G33" s="2">
        <v>0</v>
      </c>
      <c r="H33" s="6">
        <v>5.06</v>
      </c>
      <c r="I33" s="2">
        <v>0</v>
      </c>
      <c r="J33" s="1">
        <f>MIN($B33,$D33,$F33,$H33)</f>
        <v>0</v>
      </c>
      <c r="K33" s="1">
        <f>MIN($C33,$E33,$G33,$I33)</f>
        <v>0</v>
      </c>
      <c r="L33" s="1">
        <f>MEDIAN($B33,$D33,$F33,$H33)</f>
        <v>0</v>
      </c>
      <c r="M33" s="1">
        <f>MEDIAN($C33,$E33,$G33,$I33)</f>
        <v>0</v>
      </c>
      <c r="N33" s="1">
        <f>MAX($B33,$D33,$F33,$H33)</f>
        <v>0</v>
      </c>
      <c r="O33" s="1">
        <f>MAX($C33,$E33,$G33,$I33)</f>
        <v>0</v>
      </c>
    </row>
    <row r="34" spans="1:15">
      <c r="A34" s="1" t="s">
        <v>31</v>
      </c>
      <c r="B34" s="1">
        <v>44.74</v>
      </c>
      <c r="C34" s="3">
        <v>0</v>
      </c>
      <c r="D34" s="4">
        <v>1200</v>
      </c>
      <c r="E34" s="5">
        <v>1</v>
      </c>
      <c r="F34" s="6">
        <v>32.73</v>
      </c>
      <c r="G34" s="3">
        <v>0</v>
      </c>
      <c r="H34" s="4">
        <v>1200</v>
      </c>
      <c r="I34" s="5">
        <v>1</v>
      </c>
      <c r="J34" s="1">
        <f>MIN($B34,$D34,$F34,$H34)</f>
        <v>0</v>
      </c>
      <c r="K34" s="1">
        <f>MIN($C34,$E34,$G34,$I34)</f>
        <v>0</v>
      </c>
      <c r="L34" s="1">
        <f>MEDIAN($B34,$D34,$F34,$H34)</f>
        <v>0</v>
      </c>
      <c r="M34" s="1">
        <f>MEDIAN($C34,$E34,$G34,$I34)</f>
        <v>0</v>
      </c>
      <c r="N34" s="1">
        <f>MAX($B34,$D34,$F34,$H34)</f>
        <v>0</v>
      </c>
      <c r="O34" s="1">
        <f>MAX($C34,$E34,$G34,$I34)</f>
        <v>0</v>
      </c>
    </row>
    <row r="35" spans="1:15">
      <c r="A35" s="1" t="s">
        <v>32</v>
      </c>
      <c r="B35" s="1">
        <v>46.12</v>
      </c>
      <c r="C35" s="2">
        <v>0</v>
      </c>
      <c r="D35" s="4">
        <v>1200</v>
      </c>
      <c r="E35" s="5">
        <v>1</v>
      </c>
      <c r="F35" s="1">
        <v>45.86</v>
      </c>
      <c r="G35" s="2">
        <v>0</v>
      </c>
      <c r="H35" s="6">
        <v>5.16</v>
      </c>
      <c r="I35" s="2">
        <v>0</v>
      </c>
      <c r="J35" s="1">
        <f>MIN($B35,$D35,$F35,$H35)</f>
        <v>0</v>
      </c>
      <c r="K35" s="1">
        <f>MIN($C35,$E35,$G35,$I35)</f>
        <v>0</v>
      </c>
      <c r="L35" s="1">
        <f>MEDIAN($B35,$D35,$F35,$H35)</f>
        <v>0</v>
      </c>
      <c r="M35" s="1">
        <f>MEDIAN($C35,$E35,$G35,$I35)</f>
        <v>0</v>
      </c>
      <c r="N35" s="1">
        <f>MAX($B35,$D35,$F35,$H35)</f>
        <v>0</v>
      </c>
      <c r="O35" s="1">
        <f>MAX($C35,$E35,$G35,$I35)</f>
        <v>0</v>
      </c>
    </row>
    <row r="36" spans="1:15">
      <c r="A36" s="1" t="s">
        <v>33</v>
      </c>
      <c r="B36" s="4">
        <v>1200</v>
      </c>
      <c r="C36" s="5">
        <v>1</v>
      </c>
      <c r="D36" s="1">
        <v>32.74</v>
      </c>
      <c r="E36" s="2">
        <v>0</v>
      </c>
      <c r="F36" s="1">
        <v>44.96</v>
      </c>
      <c r="G36" s="2">
        <v>0</v>
      </c>
      <c r="H36" s="6">
        <v>5.23</v>
      </c>
      <c r="I36" s="2">
        <v>0</v>
      </c>
      <c r="J36" s="1">
        <f>MIN($B36,$D36,$F36,$H36)</f>
        <v>0</v>
      </c>
      <c r="K36" s="1">
        <f>MIN($C36,$E36,$G36,$I36)</f>
        <v>0</v>
      </c>
      <c r="L36" s="1">
        <f>MEDIAN($B36,$D36,$F36,$H36)</f>
        <v>0</v>
      </c>
      <c r="M36" s="1">
        <f>MEDIAN($C36,$E36,$G36,$I36)</f>
        <v>0</v>
      </c>
      <c r="N36" s="1">
        <f>MAX($B36,$D36,$F36,$H36)</f>
        <v>0</v>
      </c>
      <c r="O36" s="1">
        <f>MAX($C36,$E36,$G36,$I36)</f>
        <v>0</v>
      </c>
    </row>
    <row r="37" spans="1:15">
      <c r="A37" s="1" t="s">
        <v>34</v>
      </c>
      <c r="B37" s="1">
        <v>34.1</v>
      </c>
      <c r="C37" s="2">
        <v>0</v>
      </c>
      <c r="D37" s="4">
        <v>1200</v>
      </c>
      <c r="E37" s="5">
        <v>1</v>
      </c>
      <c r="F37" s="1">
        <v>44.81</v>
      </c>
      <c r="G37" s="2">
        <v>0</v>
      </c>
      <c r="H37" s="6">
        <v>5.11</v>
      </c>
      <c r="I37" s="2">
        <v>0</v>
      </c>
      <c r="J37" s="1">
        <f>MIN($B37,$D37,$F37,$H37)</f>
        <v>0</v>
      </c>
      <c r="K37" s="1">
        <f>MIN($C37,$E37,$G37,$I37)</f>
        <v>0</v>
      </c>
      <c r="L37" s="1">
        <f>MEDIAN($B37,$D37,$F37,$H37)</f>
        <v>0</v>
      </c>
      <c r="M37" s="1">
        <f>MEDIAN($C37,$E37,$G37,$I37)</f>
        <v>0</v>
      </c>
      <c r="N37" s="1">
        <f>MAX($B37,$D37,$F37,$H37)</f>
        <v>0</v>
      </c>
      <c r="O37" s="1">
        <f>MAX($C37,$E37,$G37,$I37)</f>
        <v>0</v>
      </c>
    </row>
    <row r="38" spans="1:15">
      <c r="A38" s="1" t="s">
        <v>35</v>
      </c>
      <c r="B38" s="1">
        <v>45.51</v>
      </c>
      <c r="C38" s="3">
        <v>0</v>
      </c>
      <c r="D38" s="4">
        <v>1200</v>
      </c>
      <c r="E38" s="5">
        <v>1</v>
      </c>
      <c r="F38" s="6">
        <v>32.91</v>
      </c>
      <c r="G38" s="3">
        <v>0</v>
      </c>
      <c r="H38" s="4">
        <v>1200</v>
      </c>
      <c r="I38" s="5">
        <v>1</v>
      </c>
      <c r="J38" s="1">
        <f>MIN($B38,$D38,$F38,$H38)</f>
        <v>0</v>
      </c>
      <c r="K38" s="1">
        <f>MIN($C38,$E38,$G38,$I38)</f>
        <v>0</v>
      </c>
      <c r="L38" s="1">
        <f>MEDIAN($B38,$D38,$F38,$H38)</f>
        <v>0</v>
      </c>
      <c r="M38" s="1">
        <f>MEDIAN($C38,$E38,$G38,$I38)</f>
        <v>0</v>
      </c>
      <c r="N38" s="1">
        <f>MAX($B38,$D38,$F38,$H38)</f>
        <v>0</v>
      </c>
      <c r="O38" s="1">
        <f>MAX($C38,$E38,$G38,$I38)</f>
        <v>0</v>
      </c>
    </row>
    <row r="39" spans="1:15">
      <c r="A39" s="1" t="s">
        <v>36</v>
      </c>
      <c r="B39" s="1">
        <v>34.18</v>
      </c>
      <c r="C39" s="2">
        <v>0</v>
      </c>
      <c r="D39" s="1">
        <v>33.65</v>
      </c>
      <c r="E39" s="2">
        <v>0</v>
      </c>
      <c r="F39" s="6">
        <v>32.81</v>
      </c>
      <c r="G39" s="2">
        <v>0</v>
      </c>
      <c r="H39" s="4">
        <v>1200</v>
      </c>
      <c r="I39" s="5">
        <v>1</v>
      </c>
      <c r="J39" s="1">
        <f>MIN($B39,$D39,$F39,$H39)</f>
        <v>0</v>
      </c>
      <c r="K39" s="1">
        <f>MIN($C39,$E39,$G39,$I39)</f>
        <v>0</v>
      </c>
      <c r="L39" s="1">
        <f>MEDIAN($B39,$D39,$F39,$H39)</f>
        <v>0</v>
      </c>
      <c r="M39" s="1">
        <f>MEDIAN($C39,$E39,$G39,$I39)</f>
        <v>0</v>
      </c>
      <c r="N39" s="1">
        <f>MAX($B39,$D39,$F39,$H39)</f>
        <v>0</v>
      </c>
      <c r="O39" s="1">
        <f>MAX($C39,$E39,$G39,$I39)</f>
        <v>0</v>
      </c>
    </row>
    <row r="40" spans="1:15">
      <c r="A40" s="1" t="s">
        <v>37</v>
      </c>
      <c r="B40" s="1">
        <v>45.61</v>
      </c>
      <c r="C40" s="3">
        <v>0</v>
      </c>
      <c r="D40" s="4">
        <v>1200</v>
      </c>
      <c r="E40" s="5">
        <v>1</v>
      </c>
      <c r="F40" s="6">
        <v>32.45</v>
      </c>
      <c r="G40" s="3">
        <v>0</v>
      </c>
      <c r="H40" s="4">
        <v>1200</v>
      </c>
      <c r="I40" s="5">
        <v>1</v>
      </c>
      <c r="J40" s="1">
        <f>MIN($B40,$D40,$F40,$H40)</f>
        <v>0</v>
      </c>
      <c r="K40" s="1">
        <f>MIN($C40,$E40,$G40,$I40)</f>
        <v>0</v>
      </c>
      <c r="L40" s="1">
        <f>MEDIAN($B40,$D40,$F40,$H40)</f>
        <v>0</v>
      </c>
      <c r="M40" s="1">
        <f>MEDIAN($C40,$E40,$G40,$I40)</f>
        <v>0</v>
      </c>
      <c r="N40" s="1">
        <f>MAX($B40,$D40,$F40,$H40)</f>
        <v>0</v>
      </c>
      <c r="O40" s="1">
        <f>MAX($C40,$E40,$G40,$I40)</f>
        <v>0</v>
      </c>
    </row>
    <row r="41" spans="1:15">
      <c r="A41" s="1" t="s">
        <v>38</v>
      </c>
      <c r="B41" s="6">
        <v>32.1</v>
      </c>
      <c r="C41" s="2">
        <v>0</v>
      </c>
      <c r="D41" s="1">
        <v>32.51</v>
      </c>
      <c r="E41" s="2">
        <v>0</v>
      </c>
      <c r="F41" s="1">
        <v>32.74</v>
      </c>
      <c r="G41" s="2">
        <v>0</v>
      </c>
      <c r="H41" s="4">
        <v>1200</v>
      </c>
      <c r="I41" s="5">
        <v>1</v>
      </c>
      <c r="J41" s="1">
        <f>MIN($B41,$D41,$F41,$H41)</f>
        <v>0</v>
      </c>
      <c r="K41" s="1">
        <f>MIN($C41,$E41,$G41,$I41)</f>
        <v>0</v>
      </c>
      <c r="L41" s="1">
        <f>MEDIAN($B41,$D41,$F41,$H41)</f>
        <v>0</v>
      </c>
      <c r="M41" s="1">
        <f>MEDIAN($C41,$E41,$G41,$I41)</f>
        <v>0</v>
      </c>
      <c r="N41" s="1">
        <f>MAX($B41,$D41,$F41,$H41)</f>
        <v>0</v>
      </c>
      <c r="O41" s="1">
        <f>MAX($C41,$E41,$G41,$I41)</f>
        <v>0</v>
      </c>
    </row>
    <row r="42" spans="1:15">
      <c r="A42" s="1" t="s">
        <v>39</v>
      </c>
      <c r="B42" s="1">
        <v>45.1</v>
      </c>
      <c r="C42" s="3">
        <v>0</v>
      </c>
      <c r="D42" s="4">
        <v>1200</v>
      </c>
      <c r="E42" s="5">
        <v>1</v>
      </c>
      <c r="F42" s="6">
        <v>32.66</v>
      </c>
      <c r="G42" s="3">
        <v>0</v>
      </c>
      <c r="H42" s="4">
        <v>1200</v>
      </c>
      <c r="I42" s="5">
        <v>1</v>
      </c>
      <c r="J42" s="1">
        <f>MIN($B42,$D42,$F42,$H42)</f>
        <v>0</v>
      </c>
      <c r="K42" s="1">
        <f>MIN($C42,$E42,$G42,$I42)</f>
        <v>0</v>
      </c>
      <c r="L42" s="1">
        <f>MEDIAN($B42,$D42,$F42,$H42)</f>
        <v>0</v>
      </c>
      <c r="M42" s="1">
        <f>MEDIAN($C42,$E42,$G42,$I42)</f>
        <v>0</v>
      </c>
      <c r="N42" s="1">
        <f>MAX($B42,$D42,$F42,$H42)</f>
        <v>0</v>
      </c>
      <c r="O42" s="1">
        <f>MAX($C42,$E42,$G42,$I42)</f>
        <v>0</v>
      </c>
    </row>
    <row r="43" spans="1:15">
      <c r="A43" s="1"/>
      <c r="B43" s="1"/>
      <c r="C43" s="2"/>
      <c r="D43" s="1"/>
      <c r="E43" s="2"/>
      <c r="F43" s="1"/>
      <c r="G43" s="2"/>
      <c r="H43" s="1"/>
      <c r="I43" s="2"/>
      <c r="J43" s="1"/>
      <c r="K43" s="1"/>
      <c r="L43" s="1"/>
      <c r="M43" s="1"/>
      <c r="N43" s="1"/>
      <c r="O43" s="1"/>
    </row>
    <row r="44" spans="1:15">
      <c r="A44" s="1" t="s">
        <v>40</v>
      </c>
      <c r="B44" s="1">
        <f>SUM(B$3:B$42)</f>
        <v>0</v>
      </c>
      <c r="C44" s="1">
        <f>SUM(C$3:C$42)</f>
        <v>0</v>
      </c>
      <c r="D44" s="4">
        <f>SUM(D$3:D$42)</f>
        <v>0</v>
      </c>
      <c r="E44" s="4">
        <f>SUM(E$3:E$42)</f>
        <v>0</v>
      </c>
      <c r="F44" s="1">
        <f>SUM(F$3:F$42)</f>
        <v>0</v>
      </c>
      <c r="G44" s="6">
        <f>SUM(G$3:G$42)</f>
        <v>0</v>
      </c>
      <c r="H44" s="6">
        <f>SUM(H$3:H$42)</f>
        <v>0</v>
      </c>
      <c r="I44" s="1">
        <f>SUM(I$3:I$42)</f>
        <v>0</v>
      </c>
      <c r="J44" s="1">
        <f>SUM(J$3:J$42)</f>
        <v>0</v>
      </c>
      <c r="K44" s="1">
        <f>SUM(K$3:K$42)</f>
        <v>0</v>
      </c>
      <c r="L44" s="1">
        <f>SUM(L$3:L$42)</f>
        <v>0</v>
      </c>
      <c r="M44" s="1">
        <f>SUM(M$3:M$42)</f>
        <v>0</v>
      </c>
      <c r="N44" s="1">
        <f>SUM(N$3:N$42)</f>
        <v>0</v>
      </c>
      <c r="O44" s="1">
        <f>SUM(O$3:O$42)</f>
        <v>0</v>
      </c>
    </row>
    <row r="45" spans="1:15">
      <c r="A45" s="1" t="s">
        <v>41</v>
      </c>
      <c r="B45" s="1">
        <f>AVERAGE(B$3:B$42)</f>
        <v>0</v>
      </c>
      <c r="C45" s="1">
        <f>AVERAGE(C$3:C$42)</f>
        <v>0</v>
      </c>
      <c r="D45" s="4">
        <f>AVERAGE(D$3:D$42)</f>
        <v>0</v>
      </c>
      <c r="E45" s="4">
        <f>AVERAGE(E$3:E$42)</f>
        <v>0</v>
      </c>
      <c r="F45" s="1">
        <f>AVERAGE(F$3:F$42)</f>
        <v>0</v>
      </c>
      <c r="G45" s="6">
        <f>AVERAGE(G$3:G$42)</f>
        <v>0</v>
      </c>
      <c r="H45" s="6">
        <f>AVERAGE(H$3:H$42)</f>
        <v>0</v>
      </c>
      <c r="I45" s="1">
        <f>AVERAGE(I$3:I$42)</f>
        <v>0</v>
      </c>
      <c r="J45" s="1">
        <f>AVERAGE(J$3:J$42)</f>
        <v>0</v>
      </c>
      <c r="K45" s="1">
        <f>AVERAGE(K$3:K$42)</f>
        <v>0</v>
      </c>
      <c r="L45" s="1">
        <f>AVERAGE(L$3:L$42)</f>
        <v>0</v>
      </c>
      <c r="M45" s="1">
        <f>AVERAGE(M$3:M$42)</f>
        <v>0</v>
      </c>
      <c r="N45" s="1">
        <f>AVERAGE(N$3:N$42)</f>
        <v>0</v>
      </c>
      <c r="O45" s="1">
        <f>AVERAGE(O$3:O$42)</f>
        <v>0</v>
      </c>
    </row>
    <row r="46" spans="1:15">
      <c r="A46" s="1" t="s">
        <v>42</v>
      </c>
      <c r="B46" s="1">
        <f>STDEV(B$3:B$42)</f>
        <v>0</v>
      </c>
      <c r="C46" s="1">
        <f>STDEV(C$3:C$42)</f>
        <v>0</v>
      </c>
      <c r="D46" s="6">
        <f>STDEV(D$3:D$42)</f>
        <v>0</v>
      </c>
      <c r="E46" s="6">
        <f>STDEV(E$3:E$42)</f>
        <v>0</v>
      </c>
      <c r="F46" s="1">
        <f>STDEV(F$3:F$42)</f>
        <v>0</v>
      </c>
      <c r="G46" s="6">
        <f>STDEV(G$3:G$42)</f>
        <v>0</v>
      </c>
      <c r="H46" s="4">
        <f>STDEV(H$3:H$42)</f>
        <v>0</v>
      </c>
      <c r="I46" s="4">
        <f>STDEV(I$3:I$42)</f>
        <v>0</v>
      </c>
      <c r="J46" s="1">
        <f>STDEV(J$3:J$42)</f>
        <v>0</v>
      </c>
      <c r="K46" s="1">
        <f>STDEV(K$3:K$42)</f>
        <v>0</v>
      </c>
      <c r="L46" s="1">
        <f>STDEV(L$3:L$42)</f>
        <v>0</v>
      </c>
      <c r="M46" s="1">
        <f>STDEV(M$3:M$42)</f>
        <v>0</v>
      </c>
      <c r="N46" s="1">
        <f>STDEV(N$3:N$42)</f>
        <v>0</v>
      </c>
      <c r="O46" s="1">
        <f>STDEV(O$3:O$42)</f>
        <v>0</v>
      </c>
    </row>
    <row r="47" spans="1:15">
      <c r="A47" s="1" t="s">
        <v>43</v>
      </c>
      <c r="B47" s="1">
        <f>SUMPRODUCT(--(B$3:B$42-$J$3:$J$42)^2)^0.5</f>
        <v>0</v>
      </c>
      <c r="C47" s="1">
        <f>SUMPRODUCT(--(C$3:C$42-$K$3:$K$42)^2)^0.5</f>
        <v>0</v>
      </c>
      <c r="D47" s="4">
        <f>SUMPRODUCT(--(D$3:D$42-$J$3:$J$42)^2)^0.5</f>
        <v>0</v>
      </c>
      <c r="E47" s="4">
        <f>SUMPRODUCT(--(E$3:E$42-$K$3:$K$42)^2)^0.5</f>
        <v>0</v>
      </c>
      <c r="F47" s="1">
        <f>SUMPRODUCT(--(F$3:F$42-$J$3:$J$42)^2)^0.5</f>
        <v>0</v>
      </c>
      <c r="G47" s="6">
        <f>SUMPRODUCT(--(G$3:G$42-$K$3:$K$42)^2)^0.5</f>
        <v>0</v>
      </c>
      <c r="H47" s="6">
        <f>SUMPRODUCT(--(H$3:H$42-$J$3:$J$42)^2)^0.5</f>
        <v>0</v>
      </c>
      <c r="I47" s="1">
        <f>SUMPRODUCT(--(I$3:I$42-$K$3:$K$42)^2)^0.5</f>
        <v>0</v>
      </c>
      <c r="J47" s="1"/>
      <c r="K47" s="1"/>
      <c r="L47" s="1"/>
      <c r="M47" s="1"/>
      <c r="N47" s="1"/>
      <c r="O47" s="1"/>
    </row>
    <row r="48" spans="1:15">
      <c r="A48" s="1" t="s">
        <v>44</v>
      </c>
      <c r="B48" s="1">
        <f>SUMPRODUCT(NOT(ISBLANK(B$3:B$42))*(B$3:B$42=$J$3:$J$42))</f>
        <v>0</v>
      </c>
      <c r="C48" s="1">
        <f>SUMPRODUCT(NOT(ISBLANK(C$3:C$42))*(C$3:C$42=$K$3:$K$42))</f>
        <v>0</v>
      </c>
      <c r="D48" s="4">
        <f>SUMPRODUCT(NOT(ISBLANK(D$3:D$42))*(D$3:D$42=$J$3:$J$42))</f>
        <v>0</v>
      </c>
      <c r="E48" s="4">
        <f>SUMPRODUCT(NOT(ISBLANK(E$3:E$42))*(E$3:E$42=$K$3:$K$42))</f>
        <v>0</v>
      </c>
      <c r="F48" s="1">
        <f>SUMPRODUCT(NOT(ISBLANK(F$3:F$42))*(F$3:F$42=$J$3:$J$42))</f>
        <v>0</v>
      </c>
      <c r="G48" s="6">
        <f>SUMPRODUCT(NOT(ISBLANK(G$3:G$42))*(G$3:G$42=$K$3:$K$42))</f>
        <v>0</v>
      </c>
      <c r="H48" s="6">
        <f>SUMPRODUCT(NOT(ISBLANK(H$3:H$42))*(H$3:H$42=$J$3:$J$42))</f>
        <v>0</v>
      </c>
      <c r="I48" s="1">
        <f>SUMPRODUCT(NOT(ISBLANK(I$3:I$42))*(I$3:I$42=$K$3:$K$42))</f>
        <v>0</v>
      </c>
      <c r="J48" s="1"/>
      <c r="K48" s="1"/>
      <c r="L48" s="1"/>
      <c r="M48" s="1"/>
      <c r="N48" s="1"/>
      <c r="O48" s="1"/>
    </row>
    <row r="49" spans="1:15">
      <c r="A49" s="1" t="s">
        <v>45</v>
      </c>
      <c r="B49" s="1">
        <f>SUMPRODUCT(NOT(ISBLANK(B$3:B$42))*(B$3:B$42&lt;$L$3:$L$42))</f>
        <v>0</v>
      </c>
      <c r="C49" s="1">
        <f>SUMPRODUCT(NOT(ISBLANK(C$3:C$42))*(C$3:C$42&lt;$M$3:$M$42))</f>
        <v>0</v>
      </c>
      <c r="D49" s="4">
        <f>SUMPRODUCT(NOT(ISBLANK(D$3:D$42))*(D$3:D$42&lt;$L$3:$L$42))</f>
        <v>0</v>
      </c>
      <c r="E49" s="4">
        <f>SUMPRODUCT(NOT(ISBLANK(E$3:E$42))*(E$3:E$42&lt;$M$3:$M$42))</f>
        <v>0</v>
      </c>
      <c r="F49" s="1">
        <f>SUMPRODUCT(NOT(ISBLANK(F$3:F$42))*(F$3:F$42&lt;$L$3:$L$42))</f>
        <v>0</v>
      </c>
      <c r="G49" s="6">
        <f>SUMPRODUCT(NOT(ISBLANK(G$3:G$42))*(G$3:G$42&lt;$M$3:$M$42))</f>
        <v>0</v>
      </c>
      <c r="H49" s="6">
        <f>SUMPRODUCT(NOT(ISBLANK(H$3:H$42))*(H$3:H$42&lt;$L$3:$L$42))</f>
        <v>0</v>
      </c>
      <c r="I49" s="6">
        <f>SUMPRODUCT(NOT(ISBLANK(I$3:I$42))*(I$3:I$42&lt;$M$3:$M$42))</f>
        <v>0</v>
      </c>
      <c r="J49" s="1"/>
      <c r="K49" s="1"/>
      <c r="L49" s="1"/>
      <c r="M49" s="1"/>
      <c r="N49" s="1"/>
      <c r="O49" s="1"/>
    </row>
    <row r="50" spans="1:15">
      <c r="A50" s="1" t="s">
        <v>46</v>
      </c>
      <c r="B50" s="1">
        <f>SUMPRODUCT((NOT(ISBLANK(B$3:B$42))*(B$3:B$42&gt;$L$3:$L$42))+ISBLANK(B$3:B$42))</f>
        <v>0</v>
      </c>
      <c r="C50" s="1">
        <f>SUMPRODUCT((NOT(ISBLANK(C$3:C$42))*(C$3:C$42&gt;$M$3:$M$42))+ISBLANK(C$3:C$42))</f>
        <v>0</v>
      </c>
      <c r="D50" s="4">
        <f>SUMPRODUCT((NOT(ISBLANK(D$3:D$42))*(D$3:D$42&gt;$L$3:$L$42))+ISBLANK(D$3:D$42))</f>
        <v>0</v>
      </c>
      <c r="E50" s="4">
        <f>SUMPRODUCT((NOT(ISBLANK(E$3:E$42))*(E$3:E$42&gt;$M$3:$M$42))+ISBLANK(E$3:E$42))</f>
        <v>0</v>
      </c>
      <c r="F50" s="6">
        <f>SUMPRODUCT((NOT(ISBLANK(F$3:F$42))*(F$3:F$42&gt;$L$3:$L$42))+ISBLANK(F$3:F$42))</f>
        <v>0</v>
      </c>
      <c r="G50" s="6">
        <f>SUMPRODUCT((NOT(ISBLANK(G$3:G$42))*(G$3:G$42&gt;$M$3:$M$42))+ISBLANK(G$3:G$42))</f>
        <v>0</v>
      </c>
      <c r="H50" s="1">
        <f>SUMPRODUCT((NOT(ISBLANK(H$3:H$42))*(H$3:H$42&gt;$L$3:$L$42))+ISBLANK(H$3:H$42))</f>
        <v>0</v>
      </c>
      <c r="I50" s="1">
        <f>SUMPRODUCT((NOT(ISBLANK(I$3:I$42))*(I$3:I$42&gt;$M$3:$M$42))+ISBLANK(I$3:I$42))</f>
        <v>0</v>
      </c>
      <c r="J50" s="1"/>
      <c r="K50" s="1"/>
      <c r="L50" s="1"/>
      <c r="M50" s="1"/>
      <c r="N50" s="1"/>
      <c r="O50" s="1"/>
    </row>
    <row r="51" spans="1:15">
      <c r="A51" s="1" t="s">
        <v>47</v>
      </c>
      <c r="B51" s="1">
        <f>SUMPRODUCT((NOT(ISBLANK(B$3:B$42))*(B$3:B$42=$N$3:$N$42))+ISBLANK(B$3:B$42))</f>
        <v>0</v>
      </c>
      <c r="C51" s="1">
        <f>SUMPRODUCT((NOT(ISBLANK(C$3:C$42))*(C$3:C$42=$O$3:$O$42))+ISBLANK(C$3:C$42))</f>
        <v>0</v>
      </c>
      <c r="D51" s="4">
        <f>SUMPRODUCT((NOT(ISBLANK(D$3:D$42))*(D$3:D$42=$N$3:$N$42))+ISBLANK(D$3:D$42))</f>
        <v>0</v>
      </c>
      <c r="E51" s="4">
        <f>SUMPRODUCT((NOT(ISBLANK(E$3:E$42))*(E$3:E$42=$O$3:$O$42))+ISBLANK(E$3:E$42))</f>
        <v>0</v>
      </c>
      <c r="F51" s="6">
        <f>SUMPRODUCT((NOT(ISBLANK(F$3:F$42))*(F$3:F$42=$N$3:$N$42))+ISBLANK(F$3:F$42))</f>
        <v>0</v>
      </c>
      <c r="G51" s="6">
        <f>SUMPRODUCT((NOT(ISBLANK(G$3:G$42))*(G$3:G$42=$O$3:$O$42))+ISBLANK(G$3:G$42))</f>
        <v>0</v>
      </c>
      <c r="H51" s="1">
        <f>SUMPRODUCT((NOT(ISBLANK(H$3:H$42))*(H$3:H$42=$N$3:$N$42))+ISBLANK(H$3:H$42))</f>
        <v>0</v>
      </c>
      <c r="I51" s="1">
        <f>SUMPRODUCT((NOT(ISBLANK(I$3:I$42))*(I$3:I$42=$O$3:$O$42))+ISBLANK(I$3:I$42))</f>
        <v>0</v>
      </c>
      <c r="J51" s="1"/>
      <c r="K51" s="1"/>
      <c r="L51" s="1"/>
      <c r="M51" s="1"/>
      <c r="N51" s="1"/>
      <c r="O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9.7109375" customWidth="1"/>
    <col min="2" max="3" width="13" customWidth="1"/>
    <col min="4" max="5" width="13.42578125" customWidth="1"/>
    <col min="6" max="7" width="14.7109375" customWidth="1"/>
    <col min="8" max="9" width="13" customWidth="1"/>
    <col min="10" max="15" width="11.42578125" customWidth="1"/>
  </cols>
  <sheetData>
    <row r="1" spans="1:15">
      <c r="A1" s="1" t="s">
        <v>57</v>
      </c>
      <c r="B1" s="1" t="s">
        <v>48</v>
      </c>
      <c r="C1" s="2"/>
      <c r="D1" s="1" t="s">
        <v>51</v>
      </c>
      <c r="E1" s="2"/>
      <c r="F1" s="1" t="s">
        <v>52</v>
      </c>
      <c r="G1" s="2"/>
      <c r="H1" s="1" t="s">
        <v>53</v>
      </c>
      <c r="I1" s="2"/>
      <c r="J1" s="1" t="s">
        <v>54</v>
      </c>
      <c r="K1" s="1"/>
      <c r="L1" s="1" t="s">
        <v>55</v>
      </c>
      <c r="M1" s="1"/>
      <c r="N1" s="1" t="s">
        <v>56</v>
      </c>
      <c r="O1" s="1"/>
    </row>
    <row r="2" spans="1:15">
      <c r="A2" s="7" t="s">
        <v>55</v>
      </c>
      <c r="B2" s="1" t="s">
        <v>49</v>
      </c>
      <c r="C2" s="2" t="s">
        <v>50</v>
      </c>
      <c r="D2" s="1" t="s">
        <v>49</v>
      </c>
      <c r="E2" s="2" t="s">
        <v>50</v>
      </c>
      <c r="F2" s="1" t="s">
        <v>49</v>
      </c>
      <c r="G2" s="2" t="s">
        <v>50</v>
      </c>
      <c r="H2" s="1" t="s">
        <v>49</v>
      </c>
      <c r="I2" s="2" t="s">
        <v>50</v>
      </c>
      <c r="J2" s="1" t="s">
        <v>49</v>
      </c>
      <c r="K2" s="1" t="s">
        <v>50</v>
      </c>
      <c r="L2" s="1" t="s">
        <v>49</v>
      </c>
      <c r="M2" s="1" t="s">
        <v>50</v>
      </c>
      <c r="N2" s="1" t="s">
        <v>49</v>
      </c>
      <c r="O2" s="1" t="s">
        <v>50</v>
      </c>
    </row>
    <row r="3" spans="1:15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>
        <f>MIN($B3,$D3,$F3,$H3)</f>
        <v>0</v>
      </c>
      <c r="K3" s="1">
        <f>MIN($C3,$E3,$G3,$I3)</f>
        <v>0</v>
      </c>
      <c r="L3" s="1">
        <f>MEDIAN($B3,$D3,$F3,$H3)</f>
        <v>0</v>
      </c>
      <c r="M3" s="1">
        <f>MEDIAN($C3,$E3,$G3,$I3)</f>
        <v>0</v>
      </c>
      <c r="N3" s="1">
        <f>MAX($B3,$D3,$F3,$H3)</f>
        <v>0</v>
      </c>
      <c r="O3" s="1">
        <f>MAX($C3,$E3,$G3,$I3)</f>
        <v>0</v>
      </c>
    </row>
    <row r="4" spans="1:15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>
        <f>MIN($B4,$D4,$F4,$H4)</f>
        <v>0</v>
      </c>
      <c r="K4" s="1">
        <f>MIN($C4,$E4,$G4,$I4)</f>
        <v>0</v>
      </c>
      <c r="L4" s="1">
        <f>MEDIAN($B4,$D4,$F4,$H4)</f>
        <v>0</v>
      </c>
      <c r="M4" s="1">
        <f>MEDIAN($C4,$E4,$G4,$I4)</f>
        <v>0</v>
      </c>
      <c r="N4" s="1">
        <f>MAX($B4,$D4,$F4,$H4)</f>
        <v>0</v>
      </c>
      <c r="O4" s="1">
        <f>MAX($C4,$E4,$G4,$I4)</f>
        <v>0</v>
      </c>
    </row>
    <row r="5" spans="1:15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>
        <f>MIN($B5,$D5,$F5,$H5)</f>
        <v>0</v>
      </c>
      <c r="K5" s="1">
        <f>MIN($C5,$E5,$G5,$I5)</f>
        <v>0</v>
      </c>
      <c r="L5" s="1">
        <f>MEDIAN($B5,$D5,$F5,$H5)</f>
        <v>0</v>
      </c>
      <c r="M5" s="1">
        <f>MEDIAN($C5,$E5,$G5,$I5)</f>
        <v>0</v>
      </c>
      <c r="N5" s="1">
        <f>MAX($B5,$D5,$F5,$H5)</f>
        <v>0</v>
      </c>
      <c r="O5" s="1">
        <f>MAX($C5,$E5,$G5,$I5)</f>
        <v>0</v>
      </c>
    </row>
    <row r="6" spans="1:15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>
        <f>MIN($B6,$D6,$F6,$H6)</f>
        <v>0</v>
      </c>
      <c r="K6" s="1">
        <f>MIN($C6,$E6,$G6,$I6)</f>
        <v>0</v>
      </c>
      <c r="L6" s="1">
        <f>MEDIAN($B6,$D6,$F6,$H6)</f>
        <v>0</v>
      </c>
      <c r="M6" s="1">
        <f>MEDIAN($C6,$E6,$G6,$I6)</f>
        <v>0</v>
      </c>
      <c r="N6" s="1">
        <f>MAX($B6,$D6,$F6,$H6)</f>
        <v>0</v>
      </c>
      <c r="O6" s="1">
        <f>MAX($C6,$E6,$G6,$I6)</f>
        <v>0</v>
      </c>
    </row>
    <row r="7" spans="1:15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>
        <f>MIN($B7,$D7,$F7,$H7)</f>
        <v>0</v>
      </c>
      <c r="K7" s="1">
        <f>MIN($C7,$E7,$G7,$I7)</f>
        <v>0</v>
      </c>
      <c r="L7" s="1">
        <f>MEDIAN($B7,$D7,$F7,$H7)</f>
        <v>0</v>
      </c>
      <c r="M7" s="1">
        <f>MEDIAN($C7,$E7,$G7,$I7)</f>
        <v>0</v>
      </c>
      <c r="N7" s="1">
        <f>MAX($B7,$D7,$F7,$H7)</f>
        <v>0</v>
      </c>
      <c r="O7" s="1">
        <f>MAX($C7,$E7,$G7,$I7)</f>
        <v>0</v>
      </c>
    </row>
    <row r="8" spans="1:15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>
        <f>MIN($B8,$D8,$F8,$H8)</f>
        <v>0</v>
      </c>
      <c r="K8" s="1">
        <f>MIN($C8,$E8,$G8,$I8)</f>
        <v>0</v>
      </c>
      <c r="L8" s="1">
        <f>MEDIAN($B8,$D8,$F8,$H8)</f>
        <v>0</v>
      </c>
      <c r="M8" s="1">
        <f>MEDIAN($C8,$E8,$G8,$I8)</f>
        <v>0</v>
      </c>
      <c r="N8" s="1">
        <f>MAX($B8,$D8,$F8,$H8)</f>
        <v>0</v>
      </c>
      <c r="O8" s="1">
        <f>MAX($C8,$E8,$G8,$I8)</f>
        <v>0</v>
      </c>
    </row>
    <row r="9" spans="1:15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>
        <f>MIN($B9,$D9,$F9,$H9)</f>
        <v>0</v>
      </c>
      <c r="K9" s="1">
        <f>MIN($C9,$E9,$G9,$I9)</f>
        <v>0</v>
      </c>
      <c r="L9" s="1">
        <f>MEDIAN($B9,$D9,$F9,$H9)</f>
        <v>0</v>
      </c>
      <c r="M9" s="1">
        <f>MEDIAN($C9,$E9,$G9,$I9)</f>
        <v>0</v>
      </c>
      <c r="N9" s="1">
        <f>MAX($B9,$D9,$F9,$H9)</f>
        <v>0</v>
      </c>
      <c r="O9" s="1">
        <f>MAX($C9,$E9,$G9,$I9)</f>
        <v>0</v>
      </c>
    </row>
    <row r="10" spans="1:15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>
        <f>MIN($B10,$D10,$F10,$H10)</f>
        <v>0</v>
      </c>
      <c r="K10" s="1">
        <f>MIN($C10,$E10,$G10,$I10)</f>
        <v>0</v>
      </c>
      <c r="L10" s="1">
        <f>MEDIAN($B10,$D10,$F10,$H10)</f>
        <v>0</v>
      </c>
      <c r="M10" s="1">
        <f>MEDIAN($C10,$E10,$G10,$I10)</f>
        <v>0</v>
      </c>
      <c r="N10" s="1">
        <f>MAX($B10,$D10,$F10,$H10)</f>
        <v>0</v>
      </c>
      <c r="O10" s="1">
        <f>MAX($C10,$E10,$G10,$I10)</f>
        <v>0</v>
      </c>
    </row>
    <row r="11" spans="1:15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>
        <f>MIN($B11,$D11,$F11,$H11)</f>
        <v>0</v>
      </c>
      <c r="K11" s="1">
        <f>MIN($C11,$E11,$G11,$I11)</f>
        <v>0</v>
      </c>
      <c r="L11" s="1">
        <f>MEDIAN($B11,$D11,$F11,$H11)</f>
        <v>0</v>
      </c>
      <c r="M11" s="1">
        <f>MEDIAN($C11,$E11,$G11,$I11)</f>
        <v>0</v>
      </c>
      <c r="N11" s="1">
        <f>MAX($B11,$D11,$F11,$H11)</f>
        <v>0</v>
      </c>
      <c r="O11" s="1">
        <f>MAX($C11,$E11,$G11,$I11)</f>
        <v>0</v>
      </c>
    </row>
    <row r="12" spans="1:15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>
        <f>MIN($B12,$D12,$F12,$H12)</f>
        <v>0</v>
      </c>
      <c r="K12" s="1">
        <f>MIN($C12,$E12,$G12,$I12)</f>
        <v>0</v>
      </c>
      <c r="L12" s="1">
        <f>MEDIAN($B12,$D12,$F12,$H12)</f>
        <v>0</v>
      </c>
      <c r="M12" s="1">
        <f>MEDIAN($C12,$E12,$G12,$I12)</f>
        <v>0</v>
      </c>
      <c r="N12" s="1">
        <f>MAX($B12,$D12,$F12,$H12)</f>
        <v>0</v>
      </c>
      <c r="O12" s="1">
        <f>MAX($C12,$E12,$G12,$I12)</f>
        <v>0</v>
      </c>
    </row>
    <row r="13" spans="1:15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>
        <f>MIN($B13,$D13,$F13,$H13)</f>
        <v>0</v>
      </c>
      <c r="K13" s="1">
        <f>MIN($C13,$E13,$G13,$I13)</f>
        <v>0</v>
      </c>
      <c r="L13" s="1">
        <f>MEDIAN($B13,$D13,$F13,$H13)</f>
        <v>0</v>
      </c>
      <c r="M13" s="1">
        <f>MEDIAN($C13,$E13,$G13,$I13)</f>
        <v>0</v>
      </c>
      <c r="N13" s="1">
        <f>MAX($B13,$D13,$F13,$H13)</f>
        <v>0</v>
      </c>
      <c r="O13" s="1">
        <f>MAX($C13,$E13,$G13,$I13)</f>
        <v>0</v>
      </c>
    </row>
    <row r="14" spans="1:15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>
        <f>MIN($B14,$D14,$F14,$H14)</f>
        <v>0</v>
      </c>
      <c r="K14" s="1">
        <f>MIN($C14,$E14,$G14,$I14)</f>
        <v>0</v>
      </c>
      <c r="L14" s="1">
        <f>MEDIAN($B14,$D14,$F14,$H14)</f>
        <v>0</v>
      </c>
      <c r="M14" s="1">
        <f>MEDIAN($C14,$E14,$G14,$I14)</f>
        <v>0</v>
      </c>
      <c r="N14" s="1">
        <f>MAX($B14,$D14,$F14,$H14)</f>
        <v>0</v>
      </c>
      <c r="O14" s="1">
        <f>MAX($C14,$E14,$G14,$I14)</f>
        <v>0</v>
      </c>
    </row>
    <row r="15" spans="1:15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>
        <f>MIN($B15,$D15,$F15,$H15)</f>
        <v>0</v>
      </c>
      <c r="K15" s="1">
        <f>MIN($C15,$E15,$G15,$I15)</f>
        <v>0</v>
      </c>
      <c r="L15" s="1">
        <f>MEDIAN($B15,$D15,$F15,$H15)</f>
        <v>0</v>
      </c>
      <c r="M15" s="1">
        <f>MEDIAN($C15,$E15,$G15,$I15)</f>
        <v>0</v>
      </c>
      <c r="N15" s="1">
        <f>MAX($B15,$D15,$F15,$H15)</f>
        <v>0</v>
      </c>
      <c r="O15" s="1">
        <f>MAX($C15,$E15,$G15,$I15)</f>
        <v>0</v>
      </c>
    </row>
    <row r="16" spans="1:15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>
        <f>MIN($B16,$D16,$F16,$H16)</f>
        <v>0</v>
      </c>
      <c r="K16" s="1">
        <f>MIN($C16,$E16,$G16,$I16)</f>
        <v>0</v>
      </c>
      <c r="L16" s="1">
        <f>MEDIAN($B16,$D16,$F16,$H16)</f>
        <v>0</v>
      </c>
      <c r="M16" s="1">
        <f>MEDIAN($C16,$E16,$G16,$I16)</f>
        <v>0</v>
      </c>
      <c r="N16" s="1">
        <f>MAX($B16,$D16,$F16,$H16)</f>
        <v>0</v>
      </c>
      <c r="O16" s="1">
        <f>MAX($C16,$E16,$G16,$I16)</f>
        <v>0</v>
      </c>
    </row>
    <row r="17" spans="1:15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>
        <f>MIN($B17,$D17,$F17,$H17)</f>
        <v>0</v>
      </c>
      <c r="K17" s="1">
        <f>MIN($C17,$E17,$G17,$I17)</f>
        <v>0</v>
      </c>
      <c r="L17" s="1">
        <f>MEDIAN($B17,$D17,$F17,$H17)</f>
        <v>0</v>
      </c>
      <c r="M17" s="1">
        <f>MEDIAN($C17,$E17,$G17,$I17)</f>
        <v>0</v>
      </c>
      <c r="N17" s="1">
        <f>MAX($B17,$D17,$F17,$H17)</f>
        <v>0</v>
      </c>
      <c r="O17" s="1">
        <f>MAX($C17,$E17,$G17,$I17)</f>
        <v>0</v>
      </c>
    </row>
    <row r="18" spans="1:15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>
        <f>MIN($B18,$D18,$F18,$H18)</f>
        <v>0</v>
      </c>
      <c r="K18" s="1">
        <f>MIN($C18,$E18,$G18,$I18)</f>
        <v>0</v>
      </c>
      <c r="L18" s="1">
        <f>MEDIAN($B18,$D18,$F18,$H18)</f>
        <v>0</v>
      </c>
      <c r="M18" s="1">
        <f>MEDIAN($C18,$E18,$G18,$I18)</f>
        <v>0</v>
      </c>
      <c r="N18" s="1">
        <f>MAX($B18,$D18,$F18,$H18)</f>
        <v>0</v>
      </c>
      <c r="O18" s="1">
        <f>MAX($C18,$E18,$G18,$I18)</f>
        <v>0</v>
      </c>
    </row>
    <row r="19" spans="1:15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>
        <f>MIN($B19,$D19,$F19,$H19)</f>
        <v>0</v>
      </c>
      <c r="K19" s="1">
        <f>MIN($C19,$E19,$G19,$I19)</f>
        <v>0</v>
      </c>
      <c r="L19" s="1">
        <f>MEDIAN($B19,$D19,$F19,$H19)</f>
        <v>0</v>
      </c>
      <c r="M19" s="1">
        <f>MEDIAN($C19,$E19,$G19,$I19)</f>
        <v>0</v>
      </c>
      <c r="N19" s="1">
        <f>MAX($B19,$D19,$F19,$H19)</f>
        <v>0</v>
      </c>
      <c r="O19" s="1">
        <f>MAX($C19,$E19,$G19,$I19)</f>
        <v>0</v>
      </c>
    </row>
    <row r="20" spans="1:15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>
        <f>MIN($B20,$D20,$F20,$H20)</f>
        <v>0</v>
      </c>
      <c r="K20" s="1">
        <f>MIN($C20,$E20,$G20,$I20)</f>
        <v>0</v>
      </c>
      <c r="L20" s="1">
        <f>MEDIAN($B20,$D20,$F20,$H20)</f>
        <v>0</v>
      </c>
      <c r="M20" s="1">
        <f>MEDIAN($C20,$E20,$G20,$I20)</f>
        <v>0</v>
      </c>
      <c r="N20" s="1">
        <f>MAX($B20,$D20,$F20,$H20)</f>
        <v>0</v>
      </c>
      <c r="O20" s="1">
        <f>MAX($C20,$E20,$G20,$I20)</f>
        <v>0</v>
      </c>
    </row>
    <row r="21" spans="1:15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>
        <f>MIN($B21,$D21,$F21,$H21)</f>
        <v>0</v>
      </c>
      <c r="K21" s="1">
        <f>MIN($C21,$E21,$G21,$I21)</f>
        <v>0</v>
      </c>
      <c r="L21" s="1">
        <f>MEDIAN($B21,$D21,$F21,$H21)</f>
        <v>0</v>
      </c>
      <c r="M21" s="1">
        <f>MEDIAN($C21,$E21,$G21,$I21)</f>
        <v>0</v>
      </c>
      <c r="N21" s="1">
        <f>MAX($B21,$D21,$F21,$H21)</f>
        <v>0</v>
      </c>
      <c r="O21" s="1">
        <f>MAX($C21,$E21,$G21,$I21)</f>
        <v>0</v>
      </c>
    </row>
    <row r="22" spans="1:15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>
        <f>MIN($B22,$D22,$F22,$H22)</f>
        <v>0</v>
      </c>
      <c r="K22" s="1">
        <f>MIN($C22,$E22,$G22,$I22)</f>
        <v>0</v>
      </c>
      <c r="L22" s="1">
        <f>MEDIAN($B22,$D22,$F22,$H22)</f>
        <v>0</v>
      </c>
      <c r="M22" s="1">
        <f>MEDIAN($C22,$E22,$G22,$I22)</f>
        <v>0</v>
      </c>
      <c r="N22" s="1">
        <f>MAX($B22,$D22,$F22,$H22)</f>
        <v>0</v>
      </c>
      <c r="O22" s="1">
        <f>MAX($C22,$E22,$G22,$I22)</f>
        <v>0</v>
      </c>
    </row>
    <row r="23" spans="1:15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>
        <f>MIN($B23,$D23,$F23,$H23)</f>
        <v>0</v>
      </c>
      <c r="K23" s="1">
        <f>MIN($C23,$E23,$G23,$I23)</f>
        <v>0</v>
      </c>
      <c r="L23" s="1">
        <f>MEDIAN($B23,$D23,$F23,$H23)</f>
        <v>0</v>
      </c>
      <c r="M23" s="1">
        <f>MEDIAN($C23,$E23,$G23,$I23)</f>
        <v>0</v>
      </c>
      <c r="N23" s="1">
        <f>MAX($B23,$D23,$F23,$H23)</f>
        <v>0</v>
      </c>
      <c r="O23" s="1">
        <f>MAX($C23,$E23,$G23,$I23)</f>
        <v>0</v>
      </c>
    </row>
    <row r="24" spans="1:15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>
        <f>MIN($B24,$D24,$F24,$H24)</f>
        <v>0</v>
      </c>
      <c r="K24" s="1">
        <f>MIN($C24,$E24,$G24,$I24)</f>
        <v>0</v>
      </c>
      <c r="L24" s="1">
        <f>MEDIAN($B24,$D24,$F24,$H24)</f>
        <v>0</v>
      </c>
      <c r="M24" s="1">
        <f>MEDIAN($C24,$E24,$G24,$I24)</f>
        <v>0</v>
      </c>
      <c r="N24" s="1">
        <f>MAX($B24,$D24,$F24,$H24)</f>
        <v>0</v>
      </c>
      <c r="O24" s="1">
        <f>MAX($C24,$E24,$G24,$I24)</f>
        <v>0</v>
      </c>
    </row>
    <row r="25" spans="1:15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>
        <f>MIN($B25,$D25,$F25,$H25)</f>
        <v>0</v>
      </c>
      <c r="K25" s="1">
        <f>MIN($C25,$E25,$G25,$I25)</f>
        <v>0</v>
      </c>
      <c r="L25" s="1">
        <f>MEDIAN($B25,$D25,$F25,$H25)</f>
        <v>0</v>
      </c>
      <c r="M25" s="1">
        <f>MEDIAN($C25,$E25,$G25,$I25)</f>
        <v>0</v>
      </c>
      <c r="N25" s="1">
        <f>MAX($B25,$D25,$F25,$H25)</f>
        <v>0</v>
      </c>
      <c r="O25" s="1">
        <f>MAX($C25,$E25,$G25,$I25)</f>
        <v>0</v>
      </c>
    </row>
    <row r="26" spans="1:15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>
        <f>MIN($B26,$D26,$F26,$H26)</f>
        <v>0</v>
      </c>
      <c r="K26" s="1">
        <f>MIN($C26,$E26,$G26,$I26)</f>
        <v>0</v>
      </c>
      <c r="L26" s="1">
        <f>MEDIAN($B26,$D26,$F26,$H26)</f>
        <v>0</v>
      </c>
      <c r="M26" s="1">
        <f>MEDIAN($C26,$E26,$G26,$I26)</f>
        <v>0</v>
      </c>
      <c r="N26" s="1">
        <f>MAX($B26,$D26,$F26,$H26)</f>
        <v>0</v>
      </c>
      <c r="O26" s="1">
        <f>MAX($C26,$E26,$G26,$I26)</f>
        <v>0</v>
      </c>
    </row>
    <row r="27" spans="1:15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>
        <f>MIN($B27,$D27,$F27,$H27)</f>
        <v>0</v>
      </c>
      <c r="K27" s="1">
        <f>MIN($C27,$E27,$G27,$I27)</f>
        <v>0</v>
      </c>
      <c r="L27" s="1">
        <f>MEDIAN($B27,$D27,$F27,$H27)</f>
        <v>0</v>
      </c>
      <c r="M27" s="1">
        <f>MEDIAN($C27,$E27,$G27,$I27)</f>
        <v>0</v>
      </c>
      <c r="N27" s="1">
        <f>MAX($B27,$D27,$F27,$H27)</f>
        <v>0</v>
      </c>
      <c r="O27" s="1">
        <f>MAX($C27,$E27,$G27,$I27)</f>
        <v>0</v>
      </c>
    </row>
    <row r="28" spans="1:15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>
        <f>MIN($B28,$D28,$F28,$H28)</f>
        <v>0</v>
      </c>
      <c r="K28" s="1">
        <f>MIN($C28,$E28,$G28,$I28)</f>
        <v>0</v>
      </c>
      <c r="L28" s="1">
        <f>MEDIAN($B28,$D28,$F28,$H28)</f>
        <v>0</v>
      </c>
      <c r="M28" s="1">
        <f>MEDIAN($C28,$E28,$G28,$I28)</f>
        <v>0</v>
      </c>
      <c r="N28" s="1">
        <f>MAX($B28,$D28,$F28,$H28)</f>
        <v>0</v>
      </c>
      <c r="O28" s="1">
        <f>MAX($C28,$E28,$G28,$I28)</f>
        <v>0</v>
      </c>
    </row>
    <row r="29" spans="1:15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>
        <f>MIN($B29,$D29,$F29,$H29)</f>
        <v>0</v>
      </c>
      <c r="K29" s="1">
        <f>MIN($C29,$E29,$G29,$I29)</f>
        <v>0</v>
      </c>
      <c r="L29" s="1">
        <f>MEDIAN($B29,$D29,$F29,$H29)</f>
        <v>0</v>
      </c>
      <c r="M29" s="1">
        <f>MEDIAN($C29,$E29,$G29,$I29)</f>
        <v>0</v>
      </c>
      <c r="N29" s="1">
        <f>MAX($B29,$D29,$F29,$H29)</f>
        <v>0</v>
      </c>
      <c r="O29" s="1">
        <f>MAX($C29,$E29,$G29,$I29)</f>
        <v>0</v>
      </c>
    </row>
    <row r="30" spans="1:15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>
        <f>MIN($B30,$D30,$F30,$H30)</f>
        <v>0</v>
      </c>
      <c r="K30" s="1">
        <f>MIN($C30,$E30,$G30,$I30)</f>
        <v>0</v>
      </c>
      <c r="L30" s="1">
        <f>MEDIAN($B30,$D30,$F30,$H30)</f>
        <v>0</v>
      </c>
      <c r="M30" s="1">
        <f>MEDIAN($C30,$E30,$G30,$I30)</f>
        <v>0</v>
      </c>
      <c r="N30" s="1">
        <f>MAX($B30,$D30,$F30,$H30)</f>
        <v>0</v>
      </c>
      <c r="O30" s="1">
        <f>MAX($C30,$E30,$G30,$I30)</f>
        <v>0</v>
      </c>
    </row>
    <row r="31" spans="1:15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>
        <f>MIN($B31,$D31,$F31,$H31)</f>
        <v>0</v>
      </c>
      <c r="K31" s="1">
        <f>MIN($C31,$E31,$G31,$I31)</f>
        <v>0</v>
      </c>
      <c r="L31" s="1">
        <f>MEDIAN($B31,$D31,$F31,$H31)</f>
        <v>0</v>
      </c>
      <c r="M31" s="1">
        <f>MEDIAN($C31,$E31,$G31,$I31)</f>
        <v>0</v>
      </c>
      <c r="N31" s="1">
        <f>MAX($B31,$D31,$F31,$H31)</f>
        <v>0</v>
      </c>
      <c r="O31" s="1">
        <f>MAX($C31,$E31,$G31,$I31)</f>
        <v>0</v>
      </c>
    </row>
    <row r="32" spans="1:15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>
        <f>MIN($B32,$D32,$F32,$H32)</f>
        <v>0</v>
      </c>
      <c r="K32" s="1">
        <f>MIN($C32,$E32,$G32,$I32)</f>
        <v>0</v>
      </c>
      <c r="L32" s="1">
        <f>MEDIAN($B32,$D32,$F32,$H32)</f>
        <v>0</v>
      </c>
      <c r="M32" s="1">
        <f>MEDIAN($C32,$E32,$G32,$I32)</f>
        <v>0</v>
      </c>
      <c r="N32" s="1">
        <f>MAX($B32,$D32,$F32,$H32)</f>
        <v>0</v>
      </c>
      <c r="O32" s="1">
        <f>MAX($C32,$E32,$G32,$I32)</f>
        <v>0</v>
      </c>
    </row>
    <row r="33" spans="1:15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>
        <f>MIN($B33,$D33,$F33,$H33)</f>
        <v>0</v>
      </c>
      <c r="K33" s="1">
        <f>MIN($C33,$E33,$G33,$I33)</f>
        <v>0</v>
      </c>
      <c r="L33" s="1">
        <f>MEDIAN($B33,$D33,$F33,$H33)</f>
        <v>0</v>
      </c>
      <c r="M33" s="1">
        <f>MEDIAN($C33,$E33,$G33,$I33)</f>
        <v>0</v>
      </c>
      <c r="N33" s="1">
        <f>MAX($B33,$D33,$F33,$H33)</f>
        <v>0</v>
      </c>
      <c r="O33" s="1">
        <f>MAX($C33,$E33,$G33,$I33)</f>
        <v>0</v>
      </c>
    </row>
    <row r="34" spans="1:15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>
        <f>MIN($B34,$D34,$F34,$H34)</f>
        <v>0</v>
      </c>
      <c r="K34" s="1">
        <f>MIN($C34,$E34,$G34,$I34)</f>
        <v>0</v>
      </c>
      <c r="L34" s="1">
        <f>MEDIAN($B34,$D34,$F34,$H34)</f>
        <v>0</v>
      </c>
      <c r="M34" s="1">
        <f>MEDIAN($C34,$E34,$G34,$I34)</f>
        <v>0</v>
      </c>
      <c r="N34" s="1">
        <f>MAX($B34,$D34,$F34,$H34)</f>
        <v>0</v>
      </c>
      <c r="O34" s="1">
        <f>MAX($C34,$E34,$G34,$I34)</f>
        <v>0</v>
      </c>
    </row>
    <row r="35" spans="1:15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>
        <f>MIN($B35,$D35,$F35,$H35)</f>
        <v>0</v>
      </c>
      <c r="K35" s="1">
        <f>MIN($C35,$E35,$G35,$I35)</f>
        <v>0</v>
      </c>
      <c r="L35" s="1">
        <f>MEDIAN($B35,$D35,$F35,$H35)</f>
        <v>0</v>
      </c>
      <c r="M35" s="1">
        <f>MEDIAN($C35,$E35,$G35,$I35)</f>
        <v>0</v>
      </c>
      <c r="N35" s="1">
        <f>MAX($B35,$D35,$F35,$H35)</f>
        <v>0</v>
      </c>
      <c r="O35" s="1">
        <f>MAX($C35,$E35,$G35,$I35)</f>
        <v>0</v>
      </c>
    </row>
    <row r="36" spans="1:15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>
        <f>MIN($B36,$D36,$F36,$H36)</f>
        <v>0</v>
      </c>
      <c r="K36" s="1">
        <f>MIN($C36,$E36,$G36,$I36)</f>
        <v>0</v>
      </c>
      <c r="L36" s="1">
        <f>MEDIAN($B36,$D36,$F36,$H36)</f>
        <v>0</v>
      </c>
      <c r="M36" s="1">
        <f>MEDIAN($C36,$E36,$G36,$I36)</f>
        <v>0</v>
      </c>
      <c r="N36" s="1">
        <f>MAX($B36,$D36,$F36,$H36)</f>
        <v>0</v>
      </c>
      <c r="O36" s="1">
        <f>MAX($C36,$E36,$G36,$I36)</f>
        <v>0</v>
      </c>
    </row>
    <row r="37" spans="1:15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>
        <f>MIN($B37,$D37,$F37,$H37)</f>
        <v>0</v>
      </c>
      <c r="K37" s="1">
        <f>MIN($C37,$E37,$G37,$I37)</f>
        <v>0</v>
      </c>
      <c r="L37" s="1">
        <f>MEDIAN($B37,$D37,$F37,$H37)</f>
        <v>0</v>
      </c>
      <c r="M37" s="1">
        <f>MEDIAN($C37,$E37,$G37,$I37)</f>
        <v>0</v>
      </c>
      <c r="N37" s="1">
        <f>MAX($B37,$D37,$F37,$H37)</f>
        <v>0</v>
      </c>
      <c r="O37" s="1">
        <f>MAX($C37,$E37,$G37,$I37)</f>
        <v>0</v>
      </c>
    </row>
    <row r="38" spans="1:15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>
        <f>MIN($B38,$D38,$F38,$H38)</f>
        <v>0</v>
      </c>
      <c r="K38" s="1">
        <f>MIN($C38,$E38,$G38,$I38)</f>
        <v>0</v>
      </c>
      <c r="L38" s="1">
        <f>MEDIAN($B38,$D38,$F38,$H38)</f>
        <v>0</v>
      </c>
      <c r="M38" s="1">
        <f>MEDIAN($C38,$E38,$G38,$I38)</f>
        <v>0</v>
      </c>
      <c r="N38" s="1">
        <f>MAX($B38,$D38,$F38,$H38)</f>
        <v>0</v>
      </c>
      <c r="O38" s="1">
        <f>MAX($C38,$E38,$G38,$I38)</f>
        <v>0</v>
      </c>
    </row>
    <row r="39" spans="1:15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>
        <f>MIN($B39,$D39,$F39,$H39)</f>
        <v>0</v>
      </c>
      <c r="K39" s="1">
        <f>MIN($C39,$E39,$G39,$I39)</f>
        <v>0</v>
      </c>
      <c r="L39" s="1">
        <f>MEDIAN($B39,$D39,$F39,$H39)</f>
        <v>0</v>
      </c>
      <c r="M39" s="1">
        <f>MEDIAN($C39,$E39,$G39,$I39)</f>
        <v>0</v>
      </c>
      <c r="N39" s="1">
        <f>MAX($B39,$D39,$F39,$H39)</f>
        <v>0</v>
      </c>
      <c r="O39" s="1">
        <f>MAX($C39,$E39,$G39,$I39)</f>
        <v>0</v>
      </c>
    </row>
    <row r="40" spans="1:15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>
        <f>MIN($B40,$D40,$F40,$H40)</f>
        <v>0</v>
      </c>
      <c r="K40" s="1">
        <f>MIN($C40,$E40,$G40,$I40)</f>
        <v>0</v>
      </c>
      <c r="L40" s="1">
        <f>MEDIAN($B40,$D40,$F40,$H40)</f>
        <v>0</v>
      </c>
      <c r="M40" s="1">
        <f>MEDIAN($C40,$E40,$G40,$I40)</f>
        <v>0</v>
      </c>
      <c r="N40" s="1">
        <f>MAX($B40,$D40,$F40,$H40)</f>
        <v>0</v>
      </c>
      <c r="O40" s="1">
        <f>MAX($C40,$E40,$G40,$I40)</f>
        <v>0</v>
      </c>
    </row>
    <row r="41" spans="1:15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>
        <f>MIN($B41,$D41,$F41,$H41)</f>
        <v>0</v>
      </c>
      <c r="K41" s="1">
        <f>MIN($C41,$E41,$G41,$I41)</f>
        <v>0</v>
      </c>
      <c r="L41" s="1">
        <f>MEDIAN($B41,$D41,$F41,$H41)</f>
        <v>0</v>
      </c>
      <c r="M41" s="1">
        <f>MEDIAN($C41,$E41,$G41,$I41)</f>
        <v>0</v>
      </c>
      <c r="N41" s="1">
        <f>MAX($B41,$D41,$F41,$H41)</f>
        <v>0</v>
      </c>
      <c r="O41" s="1">
        <f>MAX($C41,$E41,$G41,$I41)</f>
        <v>0</v>
      </c>
    </row>
    <row r="42" spans="1:15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>
        <f>MIN($B42,$D42,$F42,$H42)</f>
        <v>0</v>
      </c>
      <c r="K42" s="1">
        <f>MIN($C42,$E42,$G42,$I42)</f>
        <v>0</v>
      </c>
      <c r="L42" s="1">
        <f>MEDIAN($B42,$D42,$F42,$H42)</f>
        <v>0</v>
      </c>
      <c r="M42" s="1">
        <f>MEDIAN($C42,$E42,$G42,$I42)</f>
        <v>0</v>
      </c>
      <c r="N42" s="1">
        <f>MAX($B42,$D42,$F42,$H42)</f>
        <v>0</v>
      </c>
      <c r="O42" s="1">
        <f>MAX($C42,$E42,$G42,$I42)</f>
        <v>0</v>
      </c>
    </row>
    <row r="43" spans="1: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 t="s">
        <v>40</v>
      </c>
      <c r="B44" s="1">
        <f>SUM(B$3:B$42)</f>
        <v>0</v>
      </c>
      <c r="C44" s="1">
        <f>SUM(C$3:C$42)</f>
        <v>0</v>
      </c>
      <c r="D44" s="1">
        <f>SUM(D$3:D$42)</f>
        <v>0</v>
      </c>
      <c r="E44" s="1">
        <f>SUM(E$3:E$42)</f>
        <v>0</v>
      </c>
      <c r="F44" s="1">
        <f>SUM(F$3:F$42)</f>
        <v>0</v>
      </c>
      <c r="G44" s="1">
        <f>SUM(G$3:G$42)</f>
        <v>0</v>
      </c>
      <c r="H44" s="1">
        <f>SUM(H$3:H$42)</f>
        <v>0</v>
      </c>
      <c r="I44" s="1">
        <f>SUM(I$3:I$42)</f>
        <v>0</v>
      </c>
      <c r="J44" s="1">
        <f>SUM(J$3:J$42)</f>
        <v>0</v>
      </c>
      <c r="K44" s="1">
        <f>SUM(K$3:K$42)</f>
        <v>0</v>
      </c>
      <c r="L44" s="1">
        <f>SUM(L$3:L$42)</f>
        <v>0</v>
      </c>
      <c r="M44" s="1">
        <f>SUM(M$3:M$42)</f>
        <v>0</v>
      </c>
      <c r="N44" s="1">
        <f>SUM(N$3:N$42)</f>
        <v>0</v>
      </c>
      <c r="O44" s="1">
        <f>SUM(O$3:O$42)</f>
        <v>0</v>
      </c>
    </row>
    <row r="45" spans="1:15">
      <c r="A45" s="1" t="s">
        <v>41</v>
      </c>
      <c r="B45" s="1">
        <f>AVERAGE(B$3:B$42)</f>
        <v>0</v>
      </c>
      <c r="C45" s="1">
        <f>AVERAGE(C$3:C$42)</f>
        <v>0</v>
      </c>
      <c r="D45" s="1">
        <f>AVERAGE(D$3:D$42)</f>
        <v>0</v>
      </c>
      <c r="E45" s="1">
        <f>AVERAGE(E$3:E$42)</f>
        <v>0</v>
      </c>
      <c r="F45" s="1">
        <f>AVERAGE(F$3:F$42)</f>
        <v>0</v>
      </c>
      <c r="G45" s="1">
        <f>AVERAGE(G$3:G$42)</f>
        <v>0</v>
      </c>
      <c r="H45" s="1">
        <f>AVERAGE(H$3:H$42)</f>
        <v>0</v>
      </c>
      <c r="I45" s="1">
        <f>AVERAGE(I$3:I$42)</f>
        <v>0</v>
      </c>
      <c r="J45" s="1">
        <f>AVERAGE(J$3:J$42)</f>
        <v>0</v>
      </c>
      <c r="K45" s="1">
        <f>AVERAGE(K$3:K$42)</f>
        <v>0</v>
      </c>
      <c r="L45" s="1">
        <f>AVERAGE(L$3:L$42)</f>
        <v>0</v>
      </c>
      <c r="M45" s="1">
        <f>AVERAGE(M$3:M$42)</f>
        <v>0</v>
      </c>
      <c r="N45" s="1">
        <f>AVERAGE(N$3:N$42)</f>
        <v>0</v>
      </c>
      <c r="O45" s="1">
        <f>AVERAGE(O$3:O$42)</f>
        <v>0</v>
      </c>
    </row>
    <row r="46" spans="1:15">
      <c r="A46" s="1" t="s">
        <v>42</v>
      </c>
      <c r="B46" s="1">
        <f>STDEV(B$3:B$42)</f>
        <v>0</v>
      </c>
      <c r="C46" s="1">
        <f>STDEV(C$3:C$42)</f>
        <v>0</v>
      </c>
      <c r="D46" s="1">
        <f>STDEV(D$3:D$42)</f>
        <v>0</v>
      </c>
      <c r="E46" s="1">
        <f>STDEV(E$3:E$42)</f>
        <v>0</v>
      </c>
      <c r="F46" s="1">
        <f>STDEV(F$3:F$42)</f>
        <v>0</v>
      </c>
      <c r="G46" s="1">
        <f>STDEV(G$3:G$42)</f>
        <v>0</v>
      </c>
      <c r="H46" s="1">
        <f>STDEV(H$3:H$42)</f>
        <v>0</v>
      </c>
      <c r="I46" s="1">
        <f>STDEV(I$3:I$42)</f>
        <v>0</v>
      </c>
      <c r="J46" s="1">
        <f>STDEV(J$3:J$42)</f>
        <v>0</v>
      </c>
      <c r="K46" s="1">
        <f>STDEV(K$3:K$42)</f>
        <v>0</v>
      </c>
      <c r="L46" s="1">
        <f>STDEV(L$3:L$42)</f>
        <v>0</v>
      </c>
      <c r="M46" s="1">
        <f>STDEV(M$3:M$42)</f>
        <v>0</v>
      </c>
      <c r="N46" s="1">
        <f>STDEV(N$3:N$42)</f>
        <v>0</v>
      </c>
      <c r="O46" s="1">
        <f>STDEV(O$3:O$42)</f>
        <v>0</v>
      </c>
    </row>
    <row r="47" spans="1:15">
      <c r="A47" s="1" t="s">
        <v>43</v>
      </c>
      <c r="B47" s="1">
        <f>SUMPRODUCT(--(B$3:B$42-$J$3:$J$42)^2)^0.5</f>
        <v>0</v>
      </c>
      <c r="C47" s="1">
        <f>SUMPRODUCT(--(C$3:C$42-$K$3:$K$42)^2)^0.5</f>
        <v>0</v>
      </c>
      <c r="D47" s="1">
        <f>SUMPRODUCT(--(D$3:D$42-$J$3:$J$42)^2)^0.5</f>
        <v>0</v>
      </c>
      <c r="E47" s="1">
        <f>SUMPRODUCT(--(E$3:E$42-$K$3:$K$42)^2)^0.5</f>
        <v>0</v>
      </c>
      <c r="F47" s="1">
        <f>SUMPRODUCT(--(F$3:F$42-$J$3:$J$42)^2)^0.5</f>
        <v>0</v>
      </c>
      <c r="G47" s="1">
        <f>SUMPRODUCT(--(G$3:G$42-$K$3:$K$42)^2)^0.5</f>
        <v>0</v>
      </c>
      <c r="H47" s="1">
        <f>SUMPRODUCT(--(H$3:H$42-$J$3:$J$42)^2)^0.5</f>
        <v>0</v>
      </c>
      <c r="I47" s="1">
        <f>SUMPRODUCT(--(I$3:I$42-$K$3:$K$42)^2)^0.5</f>
        <v>0</v>
      </c>
      <c r="J47" s="1"/>
      <c r="K47" s="1"/>
      <c r="L47" s="1"/>
      <c r="M47" s="1"/>
      <c r="N47" s="1"/>
      <c r="O47" s="1"/>
    </row>
    <row r="48" spans="1:15">
      <c r="A48" s="1" t="s">
        <v>44</v>
      </c>
      <c r="B48" s="1">
        <f>SUMPRODUCT(NOT(ISBLANK(B$3:B$42))*(B$3:B$42=$J$3:$J$42))</f>
        <v>0</v>
      </c>
      <c r="C48" s="1">
        <f>SUMPRODUCT(NOT(ISBLANK(C$3:C$42))*(C$3:C$42=$K$3:$K$42))</f>
        <v>0</v>
      </c>
      <c r="D48" s="1">
        <f>SUMPRODUCT(NOT(ISBLANK(D$3:D$42))*(D$3:D$42=$J$3:$J$42))</f>
        <v>0</v>
      </c>
      <c r="E48" s="1">
        <f>SUMPRODUCT(NOT(ISBLANK(E$3:E$42))*(E$3:E$42=$K$3:$K$42))</f>
        <v>0</v>
      </c>
      <c r="F48" s="1">
        <f>SUMPRODUCT(NOT(ISBLANK(F$3:F$42))*(F$3:F$42=$J$3:$J$42))</f>
        <v>0</v>
      </c>
      <c r="G48" s="1">
        <f>SUMPRODUCT(NOT(ISBLANK(G$3:G$42))*(G$3:G$42=$K$3:$K$42))</f>
        <v>0</v>
      </c>
      <c r="H48" s="1">
        <f>SUMPRODUCT(NOT(ISBLANK(H$3:H$42))*(H$3:H$42=$J$3:$J$42))</f>
        <v>0</v>
      </c>
      <c r="I48" s="1">
        <f>SUMPRODUCT(NOT(ISBLANK(I$3:I$42))*(I$3:I$42=$K$3:$K$42))</f>
        <v>0</v>
      </c>
      <c r="J48" s="1"/>
      <c r="K48" s="1"/>
      <c r="L48" s="1"/>
      <c r="M48" s="1"/>
      <c r="N48" s="1"/>
      <c r="O48" s="1"/>
    </row>
    <row r="49" spans="1:15">
      <c r="A49" s="1" t="s">
        <v>45</v>
      </c>
      <c r="B49" s="1">
        <f>SUMPRODUCT(NOT(ISBLANK(B$3:B$42))*(B$3:B$42&lt;$L$3:$L$42))</f>
        <v>0</v>
      </c>
      <c r="C49" s="1">
        <f>SUMPRODUCT(NOT(ISBLANK(C$3:C$42))*(C$3:C$42&lt;$M$3:$M$42))</f>
        <v>0</v>
      </c>
      <c r="D49" s="1">
        <f>SUMPRODUCT(NOT(ISBLANK(D$3:D$42))*(D$3:D$42&lt;$L$3:$L$42))</f>
        <v>0</v>
      </c>
      <c r="E49" s="1">
        <f>SUMPRODUCT(NOT(ISBLANK(E$3:E$42))*(E$3:E$42&lt;$M$3:$M$42))</f>
        <v>0</v>
      </c>
      <c r="F49" s="1">
        <f>SUMPRODUCT(NOT(ISBLANK(F$3:F$42))*(F$3:F$42&lt;$L$3:$L$42))</f>
        <v>0</v>
      </c>
      <c r="G49" s="1">
        <f>SUMPRODUCT(NOT(ISBLANK(G$3:G$42))*(G$3:G$42&lt;$M$3:$M$42))</f>
        <v>0</v>
      </c>
      <c r="H49" s="1">
        <f>SUMPRODUCT(NOT(ISBLANK(H$3:H$42))*(H$3:H$42&lt;$L$3:$L$42))</f>
        <v>0</v>
      </c>
      <c r="I49" s="1">
        <f>SUMPRODUCT(NOT(ISBLANK(I$3:I$42))*(I$3:I$42&lt;$M$3:$M$42))</f>
        <v>0</v>
      </c>
      <c r="J49" s="1"/>
      <c r="K49" s="1"/>
      <c r="L49" s="1"/>
      <c r="M49" s="1"/>
      <c r="N49" s="1"/>
      <c r="O49" s="1"/>
    </row>
    <row r="50" spans="1:15">
      <c r="A50" s="1" t="s">
        <v>46</v>
      </c>
      <c r="B50" s="1">
        <f>SUMPRODUCT((NOT(ISBLANK(B$3:B$42))*(B$3:B$42&gt;$L$3:$L$42))+ISBLANK(B$3:B$42))</f>
        <v>0</v>
      </c>
      <c r="C50" s="1">
        <f>SUMPRODUCT((NOT(ISBLANK(C$3:C$42))*(C$3:C$42&gt;$M$3:$M$42))+ISBLANK(C$3:C$42))</f>
        <v>0</v>
      </c>
      <c r="D50" s="1">
        <f>SUMPRODUCT((NOT(ISBLANK(D$3:D$42))*(D$3:D$42&gt;$L$3:$L$42))+ISBLANK(D$3:D$42))</f>
        <v>0</v>
      </c>
      <c r="E50" s="1">
        <f>SUMPRODUCT((NOT(ISBLANK(E$3:E$42))*(E$3:E$42&gt;$M$3:$M$42))+ISBLANK(E$3:E$42))</f>
        <v>0</v>
      </c>
      <c r="F50" s="1">
        <f>SUMPRODUCT((NOT(ISBLANK(F$3:F$42))*(F$3:F$42&gt;$L$3:$L$42))+ISBLANK(F$3:F$42))</f>
        <v>0</v>
      </c>
      <c r="G50" s="1">
        <f>SUMPRODUCT((NOT(ISBLANK(G$3:G$42))*(G$3:G$42&gt;$M$3:$M$42))+ISBLANK(G$3:G$42))</f>
        <v>0</v>
      </c>
      <c r="H50" s="1">
        <f>SUMPRODUCT((NOT(ISBLANK(H$3:H$42))*(H$3:H$42&gt;$L$3:$L$42))+ISBLANK(H$3:H$42))</f>
        <v>0</v>
      </c>
      <c r="I50" s="1">
        <f>SUMPRODUCT((NOT(ISBLANK(I$3:I$42))*(I$3:I$42&gt;$M$3:$M$42))+ISBLANK(I$3:I$42))</f>
        <v>0</v>
      </c>
      <c r="J50" s="1"/>
      <c r="K50" s="1"/>
      <c r="L50" s="1"/>
      <c r="M50" s="1"/>
      <c r="N50" s="1"/>
      <c r="O50" s="1"/>
    </row>
    <row r="51" spans="1:15">
      <c r="A51" s="1" t="s">
        <v>47</v>
      </c>
      <c r="B51" s="1">
        <f>SUMPRODUCT((NOT(ISBLANK(B$3:B$42))*(B$3:B$42=$N$3:$N$42))+ISBLANK(B$3:B$42))</f>
        <v>0</v>
      </c>
      <c r="C51" s="1">
        <f>SUMPRODUCT((NOT(ISBLANK(C$3:C$42))*(C$3:C$42=$O$3:$O$42))+ISBLANK(C$3:C$42))</f>
        <v>0</v>
      </c>
      <c r="D51" s="1">
        <f>SUMPRODUCT((NOT(ISBLANK(D$3:D$42))*(D$3:D$42=$N$3:$N$42))+ISBLANK(D$3:D$42))</f>
        <v>0</v>
      </c>
      <c r="E51" s="1">
        <f>SUMPRODUCT((NOT(ISBLANK(E$3:E$42))*(E$3:E$42=$O$3:$O$42))+ISBLANK(E$3:E$42))</f>
        <v>0</v>
      </c>
      <c r="F51" s="1">
        <f>SUMPRODUCT((NOT(ISBLANK(F$3:F$42))*(F$3:F$42=$N$3:$N$42))+ISBLANK(F$3:F$42))</f>
        <v>0</v>
      </c>
      <c r="G51" s="1">
        <f>SUMPRODUCT((NOT(ISBLANK(G$3:G$42))*(G$3:G$42=$O$3:$O$42))+ISBLANK(G$3:G$42))</f>
        <v>0</v>
      </c>
      <c r="H51" s="1">
        <f>SUMPRODUCT((NOT(ISBLANK(H$3:H$42))*(H$3:H$42=$N$3:$N$42))+ISBLANK(H$3:H$42))</f>
        <v>0</v>
      </c>
      <c r="I51" s="1">
        <f>SUMPRODUCT((NOT(ISBLANK(I$3:I$42))*(I$3:I$42=$O$3:$O$42))+ISBLANK(I$3:I$42))</f>
        <v>0</v>
      </c>
      <c r="J51" s="1"/>
      <c r="K51" s="1"/>
      <c r="L51" s="1"/>
      <c r="M51" s="1"/>
      <c r="N51" s="1"/>
      <c r="O5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1.42578125" customWidth="1"/>
    <col min="2" max="3" width="13" customWidth="1"/>
    <col min="4" max="5" width="13.42578125" customWidth="1"/>
    <col min="6" max="7" width="14.7109375" customWidth="1"/>
    <col min="8" max="9" width="13" customWidth="1"/>
    <col min="10" max="15" width="11.42578125" customWidth="1"/>
  </cols>
  <sheetData>
    <row r="1" spans="1:15">
      <c r="A1" s="1"/>
      <c r="B1" s="1" t="s">
        <v>48</v>
      </c>
      <c r="C1" s="2"/>
      <c r="D1" s="1" t="s">
        <v>51</v>
      </c>
      <c r="E1" s="2"/>
      <c r="F1" s="1" t="s">
        <v>52</v>
      </c>
      <c r="G1" s="2"/>
      <c r="H1" s="1" t="s">
        <v>53</v>
      </c>
      <c r="I1" s="2"/>
      <c r="J1" s="1" t="s">
        <v>54</v>
      </c>
      <c r="K1" s="1"/>
      <c r="L1" s="1" t="s">
        <v>55</v>
      </c>
      <c r="M1" s="1"/>
      <c r="N1" s="1" t="s">
        <v>56</v>
      </c>
      <c r="O1" s="1"/>
    </row>
    <row r="2" spans="1:15">
      <c r="A2" s="1"/>
      <c r="B2" s="1" t="s">
        <v>49</v>
      </c>
      <c r="C2" s="2" t="s">
        <v>50</v>
      </c>
      <c r="D2" s="1" t="s">
        <v>49</v>
      </c>
      <c r="E2" s="2" t="s">
        <v>50</v>
      </c>
      <c r="F2" s="1" t="s">
        <v>49</v>
      </c>
      <c r="G2" s="2" t="s">
        <v>50</v>
      </c>
      <c r="H2" s="1" t="s">
        <v>49</v>
      </c>
      <c r="I2" s="2" t="s">
        <v>50</v>
      </c>
      <c r="J2" s="1" t="s">
        <v>49</v>
      </c>
      <c r="K2" s="1" t="s">
        <v>50</v>
      </c>
      <c r="L2" s="1" t="s">
        <v>49</v>
      </c>
      <c r="M2" s="1" t="s">
        <v>50</v>
      </c>
      <c r="N2" s="1" t="s">
        <v>49</v>
      </c>
      <c r="O2" s="1" t="s">
        <v>50</v>
      </c>
    </row>
    <row r="3" spans="1:15">
      <c r="A3" s="1" t="s">
        <v>58</v>
      </c>
      <c r="B3" s="1">
        <f>AVERAGE(Instances!B3:Instances!B42)</f>
        <v>0</v>
      </c>
      <c r="C3" s="1">
        <f>SUM(Instances!C3:Instances!C42)</f>
        <v>0</v>
      </c>
      <c r="D3" s="4">
        <f>AVERAGE(Instances!D3:Instances!D42)</f>
        <v>0</v>
      </c>
      <c r="E3" s="4">
        <f>SUM(Instances!E3:Instances!E42)</f>
        <v>0</v>
      </c>
      <c r="F3" s="1">
        <f>AVERAGE(Instances!F3:Instances!F42)</f>
        <v>0</v>
      </c>
      <c r="G3" s="6">
        <f>SUM(Instances!G3:Instances!G42)</f>
        <v>0</v>
      </c>
      <c r="H3" s="6">
        <f>AVERAGE(Instances!H3:Instances!H42)</f>
        <v>0</v>
      </c>
      <c r="I3" s="1">
        <f>SUM(Instances!I3:Instances!I42)</f>
        <v>0</v>
      </c>
      <c r="J3" s="1">
        <f>MIN($B3,$D3,$F3,$H3)</f>
        <v>0</v>
      </c>
      <c r="K3" s="1">
        <f>MIN($C3,$E3,$G3,$I3)</f>
        <v>0</v>
      </c>
      <c r="L3" s="1">
        <f>MEDIAN($B3,$D3,$F3,$H3)</f>
        <v>0</v>
      </c>
      <c r="M3" s="1">
        <f>MEDIAN($C3,$E3,$G3,$I3)</f>
        <v>0</v>
      </c>
      <c r="N3" s="1">
        <f>MAX($B3,$D3,$F3,$H3)</f>
        <v>0</v>
      </c>
      <c r="O3" s="1">
        <f>MAX($C3,$E3,$G3,$I3)</f>
        <v>0</v>
      </c>
    </row>
    <row r="4" spans="1: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40</v>
      </c>
      <c r="B5" s="1">
        <f>SUM(B$3:B$3)</f>
        <v>0</v>
      </c>
      <c r="C5" s="1">
        <f>SUM(C$3:C$3)</f>
        <v>0</v>
      </c>
      <c r="D5" s="4">
        <f>SUM(D$3:D$3)</f>
        <v>0</v>
      </c>
      <c r="E5" s="4">
        <f>SUM(E$3:E$3)</f>
        <v>0</v>
      </c>
      <c r="F5" s="1">
        <f>SUM(F$3:F$3)</f>
        <v>0</v>
      </c>
      <c r="G5" s="6">
        <f>SUM(G$3:G$3)</f>
        <v>0</v>
      </c>
      <c r="H5" s="6">
        <f>SUM(H$3:H$3)</f>
        <v>0</v>
      </c>
      <c r="I5" s="1">
        <f>SUM(I$3:I$3)</f>
        <v>0</v>
      </c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</row>
    <row r="6" spans="1:15">
      <c r="A6" s="1" t="s">
        <v>41</v>
      </c>
      <c r="B6" s="1">
        <f>AVERAGE(B$3:B$3)</f>
        <v>0</v>
      </c>
      <c r="C6" s="1">
        <f>AVERAGE(C$3:C$3)</f>
        <v>0</v>
      </c>
      <c r="D6" s="4">
        <f>AVERAGE(D$3:D$3)</f>
        <v>0</v>
      </c>
      <c r="E6" s="4">
        <f>AVERAGE(E$3:E$3)</f>
        <v>0</v>
      </c>
      <c r="F6" s="1">
        <f>AVERAGE(F$3:F$3)</f>
        <v>0</v>
      </c>
      <c r="G6" s="6">
        <f>AVERAGE(G$3:G$3)</f>
        <v>0</v>
      </c>
      <c r="H6" s="6">
        <f>AVERAGE(H$3:H$3)</f>
        <v>0</v>
      </c>
      <c r="I6" s="1">
        <f>AVERAGE(I$3:I$3)</f>
        <v>0</v>
      </c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</row>
    <row r="7" spans="1:15">
      <c r="A7" s="1" t="s">
        <v>42</v>
      </c>
      <c r="B7" s="1">
        <f>STDEV(B$3:B$3)</f>
        <v>0</v>
      </c>
      <c r="C7" s="1">
        <f>STDEV(C$3:C$3)</f>
        <v>0</v>
      </c>
      <c r="D7" s="1">
        <f>STDEV(D$3:D$3)</f>
        <v>0</v>
      </c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</row>
    <row r="8" spans="1:15">
      <c r="A8" s="1" t="s">
        <v>43</v>
      </c>
      <c r="B8" s="1">
        <f>SUMPRODUCT(--(B$3:B$3-$J$3:$J$3)^2)^0.5</f>
        <v>0</v>
      </c>
      <c r="C8" s="1">
        <f>SUMPRODUCT(--(C$3:C$3-$K$3:$K$3)^2)^0.5</f>
        <v>0</v>
      </c>
      <c r="D8" s="4">
        <f>SUMPRODUCT(--(D$3:D$3-$J$3:$J$3)^2)^0.5</f>
        <v>0</v>
      </c>
      <c r="E8" s="4">
        <f>SUMPRODUCT(--(E$3:E$3-$K$3:$K$3)^2)^0.5</f>
        <v>0</v>
      </c>
      <c r="F8" s="1">
        <f>SUMPRODUCT(--(F$3:F$3-$J$3:$J$3)^2)^0.5</f>
        <v>0</v>
      </c>
      <c r="G8" s="6">
        <f>SUMPRODUCT(--(G$3:G$3-$K$3:$K$3)^2)^0.5</f>
        <v>0</v>
      </c>
      <c r="H8" s="6">
        <f>SUMPRODUCT(--(H$3:H$3-$J$3:$J$3)^2)^0.5</f>
        <v>0</v>
      </c>
      <c r="I8" s="1">
        <f>SUMPRODUCT(--(I$3:I$3-$K$3:$K$3)^2)^0.5</f>
        <v>0</v>
      </c>
      <c r="J8" s="1"/>
      <c r="K8" s="1"/>
      <c r="L8" s="1"/>
      <c r="M8" s="1"/>
      <c r="N8" s="1"/>
      <c r="O8" s="1"/>
    </row>
    <row r="9" spans="1:15">
      <c r="A9" s="1" t="s">
        <v>44</v>
      </c>
      <c r="B9" s="1">
        <f>SUMPRODUCT(NOT(ISBLANK(B$3:B$3))*(B$3:B$3=$J$3:$J$3))</f>
        <v>0</v>
      </c>
      <c r="C9" s="1">
        <f>SUMPRODUCT(NOT(ISBLANK(C$3:C$3))*(C$3:C$3=$K$3:$K$3))</f>
        <v>0</v>
      </c>
      <c r="D9" s="1">
        <f>SUMPRODUCT(NOT(ISBLANK(D$3:D$3))*(D$3:D$3=$J$3:$J$3))</f>
        <v>0</v>
      </c>
      <c r="E9" s="1">
        <f>SUMPRODUCT(NOT(ISBLANK(E$3:E$3))*(E$3:E$3=$K$3:$K$3))</f>
        <v>0</v>
      </c>
      <c r="F9" s="1">
        <f>SUMPRODUCT(NOT(ISBLANK(F$3:F$3))*(F$3:F$3=$J$3:$J$3))</f>
        <v>0</v>
      </c>
      <c r="G9" s="6">
        <f>SUMPRODUCT(NOT(ISBLANK(G$3:G$3))*(G$3:G$3=$K$3:$K$3))</f>
        <v>0</v>
      </c>
      <c r="H9" s="1">
        <f>SUMPRODUCT(NOT(ISBLANK(H$3:H$3))*(H$3:H$3=$J$3:$J$3))</f>
        <v>0</v>
      </c>
      <c r="I9" s="1">
        <f>SUMPRODUCT(NOT(ISBLANK(I$3:I$3))*(I$3:I$3=$K$3:$K$3))</f>
        <v>0</v>
      </c>
      <c r="J9" s="1"/>
      <c r="K9" s="1"/>
      <c r="L9" s="1"/>
      <c r="M9" s="1"/>
      <c r="N9" s="1"/>
      <c r="O9" s="1"/>
    </row>
    <row r="10" spans="1:15">
      <c r="A10" s="1" t="s">
        <v>45</v>
      </c>
      <c r="B10" s="1">
        <f>SUMPRODUCT(NOT(ISBLANK(B$3:B$3))*(B$3:B$3&lt;$L$3:$L$3))</f>
        <v>0</v>
      </c>
      <c r="C10" s="6">
        <f>SUMPRODUCT(NOT(ISBLANK(C$3:C$3))*(C$3:C$3&lt;$M$3:$M$3))</f>
        <v>0</v>
      </c>
      <c r="D10" s="1">
        <f>SUMPRODUCT(NOT(ISBLANK(D$3:D$3))*(D$3:D$3&lt;$L$3:$L$3))</f>
        <v>0</v>
      </c>
      <c r="E10" s="4">
        <f>SUMPRODUCT(NOT(ISBLANK(E$3:E$3))*(E$3:E$3&lt;$M$3:$M$3))</f>
        <v>0</v>
      </c>
      <c r="F10" s="1">
        <f>SUMPRODUCT(NOT(ISBLANK(F$3:F$3))*(F$3:F$3&lt;$L$3:$L$3))</f>
        <v>0</v>
      </c>
      <c r="G10" s="6">
        <f>SUMPRODUCT(NOT(ISBLANK(G$3:G$3))*(G$3:G$3&lt;$M$3:$M$3))</f>
        <v>0</v>
      </c>
      <c r="H10" s="1">
        <f>SUMPRODUCT(NOT(ISBLANK(H$3:H$3))*(H$3:H$3&lt;$L$3:$L$3))</f>
        <v>0</v>
      </c>
      <c r="I10" s="4">
        <f>SUMPRODUCT(NOT(ISBLANK(I$3:I$3))*(I$3:I$3&lt;$M$3:$M$3))</f>
        <v>0</v>
      </c>
      <c r="J10" s="1"/>
      <c r="K10" s="1"/>
      <c r="L10" s="1"/>
      <c r="M10" s="1"/>
      <c r="N10" s="1"/>
      <c r="O10" s="1"/>
    </row>
    <row r="11" spans="1:15">
      <c r="A11" s="1" t="s">
        <v>46</v>
      </c>
      <c r="B11" s="1">
        <f>SUMPRODUCT((NOT(ISBLANK(B$3:B$3))*(B$3:B$3&gt;$L$3:$L$3))+ISBLANK(B$3:B$3))</f>
        <v>0</v>
      </c>
      <c r="C11" s="6">
        <f>SUMPRODUCT((NOT(ISBLANK(C$3:C$3))*(C$3:C$3&gt;$M$3:$M$3))+ISBLANK(C$3:C$3))</f>
        <v>0</v>
      </c>
      <c r="D11" s="1">
        <f>SUMPRODUCT((NOT(ISBLANK(D$3:D$3))*(D$3:D$3&gt;$L$3:$L$3))+ISBLANK(D$3:D$3))</f>
        <v>0</v>
      </c>
      <c r="E11" s="4">
        <f>SUMPRODUCT((NOT(ISBLANK(E$3:E$3))*(E$3:E$3&gt;$M$3:$M$3))+ISBLANK(E$3:E$3))</f>
        <v>0</v>
      </c>
      <c r="F11" s="1">
        <f>SUMPRODUCT((NOT(ISBLANK(F$3:F$3))*(F$3:F$3&gt;$L$3:$L$3))+ISBLANK(F$3:F$3))</f>
        <v>0</v>
      </c>
      <c r="G11" s="6">
        <f>SUMPRODUCT((NOT(ISBLANK(G$3:G$3))*(G$3:G$3&gt;$M$3:$M$3))+ISBLANK(G$3:G$3))</f>
        <v>0</v>
      </c>
      <c r="H11" s="1">
        <f>SUMPRODUCT((NOT(ISBLANK(H$3:H$3))*(H$3:H$3&gt;$L$3:$L$3))+ISBLANK(H$3:H$3))</f>
        <v>0</v>
      </c>
      <c r="I11" s="4">
        <f>SUMPRODUCT((NOT(ISBLANK(I$3:I$3))*(I$3:I$3&gt;$M$3:$M$3))+ISBLANK(I$3:I$3))</f>
        <v>0</v>
      </c>
      <c r="J11" s="1"/>
      <c r="K11" s="1"/>
      <c r="L11" s="1"/>
      <c r="M11" s="1"/>
      <c r="N11" s="1"/>
      <c r="O11" s="1"/>
    </row>
    <row r="12" spans="1:15">
      <c r="A12" s="1" t="s">
        <v>47</v>
      </c>
      <c r="B12" s="1">
        <f>SUMPRODUCT((NOT(ISBLANK(B$3:B$3))*(B$3:B$3=$N$3:$N$3))+ISBLANK(B$3:B$3))</f>
        <v>0</v>
      </c>
      <c r="C12" s="1">
        <f>SUMPRODUCT((NOT(ISBLANK(C$3:C$3))*(C$3:C$3=$O$3:$O$3))+ISBLANK(C$3:C$3))</f>
        <v>0</v>
      </c>
      <c r="D12" s="1">
        <f>SUMPRODUCT((NOT(ISBLANK(D$3:D$3))*(D$3:D$3=$N$3:$N$3))+ISBLANK(D$3:D$3))</f>
        <v>0</v>
      </c>
      <c r="E12" s="4">
        <f>SUMPRODUCT((NOT(ISBLANK(E$3:E$3))*(E$3:E$3=$O$3:$O$3))+ISBLANK(E$3:E$3))</f>
        <v>0</v>
      </c>
      <c r="F12" s="1">
        <f>SUMPRODUCT((NOT(ISBLANK(F$3:F$3))*(F$3:F$3=$N$3:$N$3))+ISBLANK(F$3:F$3))</f>
        <v>0</v>
      </c>
      <c r="G12" s="1">
        <f>SUMPRODUCT((NOT(ISBLANK(G$3:G$3))*(G$3:G$3=$O$3:$O$3))+ISBLANK(G$3:G$3))</f>
        <v>0</v>
      </c>
      <c r="H12" s="1">
        <f>SUMPRODUCT((NOT(ISBLANK(H$3:H$3))*(H$3:H$3=$N$3:$N$3))+ISBLANK(H$3:H$3))</f>
        <v>0</v>
      </c>
      <c r="I12" s="1">
        <f>SUMPRODUCT((NOT(ISBLANK(I$3:I$3))*(I$3:I$3=$O$3:$O$3))+ISBLANK(I$3:I$3))</f>
        <v>0</v>
      </c>
      <c r="J12" s="1"/>
      <c r="K12" s="1"/>
      <c r="L12" s="1"/>
      <c r="M12" s="1"/>
      <c r="N12" s="1"/>
      <c r="O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2026-02-23T20:22:27Z</dcterms:created>
  <dcterms:modified xsi:type="dcterms:W3CDTF">2026-02-23T20:22:27Z</dcterms:modified>
</cp:coreProperties>
</file>