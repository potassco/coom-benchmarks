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<sst xmlns="http://schemas.openxmlformats.org/spreadsheetml/2006/main" count="287" uniqueCount="63">
  <si>
    <t>./travelbike-max10_user-input-p155-v655</t>
  </si>
  <si>
    <t>./travelbike-max10_user-input-p163-v220</t>
  </si>
  <si>
    <t>./travelbike-max10_user-input-p312-v851</t>
  </si>
  <si>
    <t>./travelbike-max10_user-input-p317-v561</t>
  </si>
  <si>
    <t>./travelbike-max10_user-input-p434-v422</t>
  </si>
  <si>
    <t>./travelbike-max10_user-input-p619-v924</t>
  </si>
  <si>
    <t>./travelbike-max10_user-input-p847-v390</t>
  </si>
  <si>
    <t>./travelbike-max10_user-input-p872-v959</t>
  </si>
  <si>
    <t>./travelbike-max10_user-input-p930-v649</t>
  </si>
  <si>
    <t>./travelbike-max10_user-input-p991-v163</t>
  </si>
  <si>
    <t>./travelbike-max15_user-input-p1004-v748</t>
  </si>
  <si>
    <t>./travelbike-max15_user-input-p1038-v167</t>
  </si>
  <si>
    <t>./travelbike-max15_user-input-p1088-v439</t>
  </si>
  <si>
    <t>./travelbike-max15_user-input-p1088-v935</t>
  </si>
  <si>
    <t>./travelbike-max15_user-input-p1235-v508</t>
  </si>
  <si>
    <t>./travelbike-max15_user-input-p1236-v538</t>
  </si>
  <si>
    <t>./travelbike-max15_user-input-p1307-v1053</t>
  </si>
  <si>
    <t>./travelbike-max15_user-input-p139-v198</t>
  </si>
  <si>
    <t>./travelbike-max15_user-input-p1476-v12</t>
  </si>
  <si>
    <t>./travelbike-max15_user-input-p457-v491</t>
  </si>
  <si>
    <t>./travelbike-max20_user-input-p12-v514</t>
  </si>
  <si>
    <t>./travelbike-max20_user-input-p1298-v841</t>
  </si>
  <si>
    <t>./travelbike-max20_user-input-p1379-v438</t>
  </si>
  <si>
    <t>./travelbike-max20_user-input-p138-v137</t>
  </si>
  <si>
    <t>./travelbike-max20_user-input-p1388-v1951</t>
  </si>
  <si>
    <t>./travelbike-max20_user-input-p1705-v1440</t>
  </si>
  <si>
    <t>./travelbike-max20_user-input-p395-v988</t>
  </si>
  <si>
    <t>./travelbike-max20_user-input-p501-v223</t>
  </si>
  <si>
    <t>./travelbike-max20_user-input-p529-v1567</t>
  </si>
  <si>
    <t>./travelbike-max20_user-input-p560-v927</t>
  </si>
  <si>
    <t>./travelbike-max5_user-input-p172-v89</t>
  </si>
  <si>
    <t>./travelbike-max5_user-input-p20-v213</t>
  </si>
  <si>
    <t>./travelbike-max5_user-input-p205-v60</t>
  </si>
  <si>
    <t>./travelbike-max5_user-input-p227-v57</t>
  </si>
  <si>
    <t>./travelbike-max5_user-input-p234-v301</t>
  </si>
  <si>
    <t>./travelbike-max5_user-input-p252-v191</t>
  </si>
  <si>
    <t>./travelbike-max5_user-input-p273-v325</t>
  </si>
  <si>
    <t>./travelbike-max5_user-input-p307-v180</t>
  </si>
  <si>
    <t>./travelbike-max5_user-input-p426-v284</t>
  </si>
  <si>
    <t>./travelbike-max5_user-input-p82-v294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</si>
  <si>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</si>
  <si>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</si>
  <si>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</si>
  <si>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</si>
  <si>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</si>
  <si>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</si>
  <si>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</si>
  <si>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</si>
  <si>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coomsuite-1.0.0/clingo-base</t>
  </si>
  <si>
    <t>time</t>
  </si>
  <si>
    <t>timeout</t>
  </si>
  <si>
    <t>coomsuite-1.0.0/clingo-bounds-exponential</t>
  </si>
  <si>
    <t>coomsuite-1.0.0/clingo-bounds-linear</t>
  </si>
  <si>
    <t>coomsuite-1.0.0/flingo-base</t>
  </si>
  <si>
    <t>coomsuite-1.0.0/flingo-bounds-exponential</t>
  </si>
  <si>
    <t>coomsuite-1.0.0/flingo-bounds-linear</t>
  </si>
  <si>
    <t>coomsuite-1.0.0/multishot-exponential</t>
  </si>
  <si>
    <t>coomsuite-1.0.0/multishot-linear</t>
  </si>
  <si>
    <t>min</t>
  </si>
  <si>
    <t>median</t>
  </si>
  <si>
    <t>max</t>
  </si>
  <si>
    <t>Merge criteria:</t>
  </si>
  <si>
    <t>.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</si>
</sst>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/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2"/>
      <c r="L1" s="1" t="s">
        <v>55</v>
      </c>
      <c r="M1" s="2"/>
      <c r="N1" s="1" t="s">
        <v>56</v>
      </c>
      <c r="O1" s="2"/>
      <c r="P1" s="1" t="s">
        <v>57</v>
      </c>
      <c r="Q1" s="2"/>
      <c r="R1" s="1" t="s">
        <v>58</v>
      </c>
      <c r="S1" s="1"/>
      <c r="T1" s="1" t="s">
        <v>59</v>
      </c>
      <c r="U1" s="1"/>
      <c r="V1" s="1" t="s">
        <v>60</v>
      </c>
      <c r="W1" s="1"/>
    </row>
    <row r="2" spans="1:23">
      <c r="A2" s="1"/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2" t="s">
        <v>50</v>
      </c>
      <c r="L2" s="1" t="s">
        <v>49</v>
      </c>
      <c r="M2" s="2" t="s">
        <v>50</v>
      </c>
      <c r="N2" s="1" t="s">
        <v>49</v>
      </c>
      <c r="O2" s="2" t="s">
        <v>50</v>
      </c>
      <c r="P2" s="1" t="s">
        <v>49</v>
      </c>
      <c r="Q2" s="2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</row>
    <row r="3" spans="1:23">
      <c r="A3" s="1" t="s">
        <v>0</v>
      </c>
      <c r="B3" s="1">
        <v>1200</v>
      </c>
      <c r="C3" s="2">
        <v>1</v>
      </c>
      <c r="D3" s="1"/>
      <c r="E3" s="2"/>
      <c r="F3" s="1"/>
      <c r="G3" s="2"/>
      <c r="H3" s="1">
        <v>1200</v>
      </c>
      <c r="I3" s="2">
        <v>1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1</v>
      </c>
      <c r="B4" s="3">
        <v>1200</v>
      </c>
      <c r="C4" s="4">
        <v>1</v>
      </c>
      <c r="D4" s="1"/>
      <c r="E4" s="2"/>
      <c r="F4" s="1"/>
      <c r="G4" s="2"/>
      <c r="H4" s="5">
        <v>4.64</v>
      </c>
      <c r="I4" s="6">
        <v>0</v>
      </c>
      <c r="J4" s="1"/>
      <c r="K4" s="2"/>
      <c r="L4" s="1"/>
      <c r="M4" s="2"/>
      <c r="N4" s="1"/>
      <c r="O4" s="2"/>
      <c r="P4" s="1"/>
      <c r="Q4" s="2"/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 t="s">
        <v>2</v>
      </c>
      <c r="B5" s="3">
        <v>1200</v>
      </c>
      <c r="C5" s="4">
        <v>1</v>
      </c>
      <c r="D5" s="1"/>
      <c r="E5" s="2"/>
      <c r="F5" s="1"/>
      <c r="G5" s="2"/>
      <c r="H5" s="5">
        <v>5.27</v>
      </c>
      <c r="I5" s="6">
        <v>0</v>
      </c>
      <c r="J5" s="1"/>
      <c r="K5" s="2"/>
      <c r="L5" s="1"/>
      <c r="M5" s="2"/>
      <c r="N5" s="1"/>
      <c r="O5" s="2"/>
      <c r="P5" s="1"/>
      <c r="Q5" s="2"/>
      <c r="R5" s="1">
        <f>MIN($B5,$D5,$F5,$H5,$J5,$L5,$N5,$P5)</f>
        <v>0</v>
      </c>
      <c r="S5" s="1">
        <f>MIN($C5,$E5,$G5,$I5,$K5,$M5,$O5,$Q5)</f>
        <v>0</v>
      </c>
      <c r="T5" s="1">
        <f>MEDIAN($B5,$D5,$F5,$H5,$J5,$L5,$N5,$P5)</f>
        <v>0</v>
      </c>
      <c r="U5" s="1">
        <f>MEDIAN($C5,$E5,$G5,$I5,$K5,$M5,$O5,$Q5)</f>
        <v>0</v>
      </c>
      <c r="V5" s="1">
        <f>MAX($B5,$D5,$F5,$H5,$J5,$L5,$N5,$P5)</f>
        <v>0</v>
      </c>
      <c r="W5" s="1">
        <f>MAX($C5,$E5,$G5,$I5,$K5,$M5,$O5,$Q5)</f>
        <v>0</v>
      </c>
    </row>
    <row r="6" spans="1:23">
      <c r="A6" s="1" t="s">
        <v>3</v>
      </c>
      <c r="B6" s="3">
        <v>1200</v>
      </c>
      <c r="C6" s="4">
        <v>1</v>
      </c>
      <c r="D6" s="1"/>
      <c r="E6" s="2"/>
      <c r="F6" s="1"/>
      <c r="G6" s="2"/>
      <c r="H6" s="5">
        <v>6.34</v>
      </c>
      <c r="I6" s="6">
        <v>0</v>
      </c>
      <c r="J6" s="1"/>
      <c r="K6" s="2"/>
      <c r="L6" s="1"/>
      <c r="M6" s="2"/>
      <c r="N6" s="1"/>
      <c r="O6" s="2"/>
      <c r="P6" s="1"/>
      <c r="Q6" s="2"/>
      <c r="R6" s="1">
        <f>MIN($B6,$D6,$F6,$H6,$J6,$L6,$N6,$P6)</f>
        <v>0</v>
      </c>
      <c r="S6" s="1">
        <f>MIN($C6,$E6,$G6,$I6,$K6,$M6,$O6,$Q6)</f>
        <v>0</v>
      </c>
      <c r="T6" s="1">
        <f>MEDIAN($B6,$D6,$F6,$H6,$J6,$L6,$N6,$P6)</f>
        <v>0</v>
      </c>
      <c r="U6" s="1">
        <f>MEDIAN($C6,$E6,$G6,$I6,$K6,$M6,$O6,$Q6)</f>
        <v>0</v>
      </c>
      <c r="V6" s="1">
        <f>MAX($B6,$D6,$F6,$H6,$J6,$L6,$N6,$P6)</f>
        <v>0</v>
      </c>
      <c r="W6" s="1">
        <f>MAX($C6,$E6,$G6,$I6,$K6,$M6,$O6,$Q6)</f>
        <v>0</v>
      </c>
    </row>
    <row r="7" spans="1:23">
      <c r="A7" s="1" t="s">
        <v>4</v>
      </c>
      <c r="B7" s="3">
        <v>845.71</v>
      </c>
      <c r="C7" s="2">
        <v>0</v>
      </c>
      <c r="D7" s="1"/>
      <c r="E7" s="2"/>
      <c r="F7" s="1"/>
      <c r="G7" s="2"/>
      <c r="H7" s="5">
        <v>5.15</v>
      </c>
      <c r="I7" s="2">
        <v>0</v>
      </c>
      <c r="J7" s="1"/>
      <c r="K7" s="2"/>
      <c r="L7" s="1"/>
      <c r="M7" s="2"/>
      <c r="N7" s="1"/>
      <c r="O7" s="2"/>
      <c r="P7" s="1"/>
      <c r="Q7" s="2"/>
      <c r="R7" s="1">
        <f>MIN($B7,$D7,$F7,$H7,$J7,$L7,$N7,$P7)</f>
        <v>0</v>
      </c>
      <c r="S7" s="1">
        <f>MIN($C7,$E7,$G7,$I7,$K7,$M7,$O7,$Q7)</f>
        <v>0</v>
      </c>
      <c r="T7" s="1">
        <f>MEDIAN($B7,$D7,$F7,$H7,$J7,$L7,$N7,$P7)</f>
        <v>0</v>
      </c>
      <c r="U7" s="1">
        <f>MEDIAN($C7,$E7,$G7,$I7,$K7,$M7,$O7,$Q7)</f>
        <v>0</v>
      </c>
      <c r="V7" s="1">
        <f>MAX($B7,$D7,$F7,$H7,$J7,$L7,$N7,$P7)</f>
        <v>0</v>
      </c>
      <c r="W7" s="1">
        <f>MAX($C7,$E7,$G7,$I7,$K7,$M7,$O7,$Q7)</f>
        <v>0</v>
      </c>
    </row>
    <row r="8" spans="1:23">
      <c r="A8" s="1" t="s">
        <v>5</v>
      </c>
      <c r="B8" s="3">
        <v>594.87</v>
      </c>
      <c r="C8" s="2">
        <v>0</v>
      </c>
      <c r="D8" s="1"/>
      <c r="E8" s="2"/>
      <c r="F8" s="1"/>
      <c r="G8" s="2"/>
      <c r="H8" s="5">
        <v>4.69</v>
      </c>
      <c r="I8" s="2">
        <v>0</v>
      </c>
      <c r="J8" s="1"/>
      <c r="K8" s="2"/>
      <c r="L8" s="1"/>
      <c r="M8" s="2"/>
      <c r="N8" s="1"/>
      <c r="O8" s="2"/>
      <c r="P8" s="1"/>
      <c r="Q8" s="2"/>
      <c r="R8" s="1">
        <f>MIN($B8,$D8,$F8,$H8,$J8,$L8,$N8,$P8)</f>
        <v>0</v>
      </c>
      <c r="S8" s="1">
        <f>MIN($C8,$E8,$G8,$I8,$K8,$M8,$O8,$Q8)</f>
        <v>0</v>
      </c>
      <c r="T8" s="1">
        <f>MEDIAN($B8,$D8,$F8,$H8,$J8,$L8,$N8,$P8)</f>
        <v>0</v>
      </c>
      <c r="U8" s="1">
        <f>MEDIAN($C8,$E8,$G8,$I8,$K8,$M8,$O8,$Q8)</f>
        <v>0</v>
      </c>
      <c r="V8" s="1">
        <f>MAX($B8,$D8,$F8,$H8,$J8,$L8,$N8,$P8)</f>
        <v>0</v>
      </c>
      <c r="W8" s="1">
        <f>MAX($C8,$E8,$G8,$I8,$K8,$M8,$O8,$Q8)</f>
        <v>0</v>
      </c>
    </row>
    <row r="9" spans="1:23">
      <c r="A9" s="1" t="s">
        <v>6</v>
      </c>
      <c r="B9" s="3">
        <v>569.38</v>
      </c>
      <c r="C9" s="2">
        <v>0</v>
      </c>
      <c r="D9" s="1"/>
      <c r="E9" s="2"/>
      <c r="F9" s="1"/>
      <c r="G9" s="2"/>
      <c r="H9" s="5">
        <v>6.75</v>
      </c>
      <c r="I9" s="2">
        <v>0</v>
      </c>
      <c r="J9" s="1"/>
      <c r="K9" s="2"/>
      <c r="L9" s="1"/>
      <c r="M9" s="2"/>
      <c r="N9" s="1"/>
      <c r="O9" s="2"/>
      <c r="P9" s="1"/>
      <c r="Q9" s="2"/>
      <c r="R9" s="1">
        <f>MIN($B9,$D9,$F9,$H9,$J9,$L9,$N9,$P9)</f>
        <v>0</v>
      </c>
      <c r="S9" s="1">
        <f>MIN($C9,$E9,$G9,$I9,$K9,$M9,$O9,$Q9)</f>
        <v>0</v>
      </c>
      <c r="T9" s="1">
        <f>MEDIAN($B9,$D9,$F9,$H9,$J9,$L9,$N9,$P9)</f>
        <v>0</v>
      </c>
      <c r="U9" s="1">
        <f>MEDIAN($C9,$E9,$G9,$I9,$K9,$M9,$O9,$Q9)</f>
        <v>0</v>
      </c>
      <c r="V9" s="1">
        <f>MAX($B9,$D9,$F9,$H9,$J9,$L9,$N9,$P9)</f>
        <v>0</v>
      </c>
      <c r="W9" s="1">
        <f>MAX($C9,$E9,$G9,$I9,$K9,$M9,$O9,$Q9)</f>
        <v>0</v>
      </c>
    </row>
    <row r="10" spans="1:23">
      <c r="A10" s="1" t="s">
        <v>7</v>
      </c>
      <c r="B10" s="3">
        <v>907.4299999999999</v>
      </c>
      <c r="C10" s="2">
        <v>0</v>
      </c>
      <c r="D10" s="1"/>
      <c r="E10" s="2"/>
      <c r="F10" s="1"/>
      <c r="G10" s="2"/>
      <c r="H10" s="5">
        <v>10.13</v>
      </c>
      <c r="I10" s="2">
        <v>0</v>
      </c>
      <c r="J10" s="1"/>
      <c r="K10" s="2"/>
      <c r="L10" s="1"/>
      <c r="M10" s="2"/>
      <c r="N10" s="1"/>
      <c r="O10" s="2"/>
      <c r="P10" s="1"/>
      <c r="Q10" s="2"/>
      <c r="R10" s="1">
        <f>MIN($B10,$D10,$F10,$H10,$J10,$L10,$N10,$P10)</f>
        <v>0</v>
      </c>
      <c r="S10" s="1">
        <f>MIN($C10,$E10,$G10,$I10,$K10,$M10,$O10,$Q10)</f>
        <v>0</v>
      </c>
      <c r="T10" s="1">
        <f>MEDIAN($B10,$D10,$F10,$H10,$J10,$L10,$N10,$P10)</f>
        <v>0</v>
      </c>
      <c r="U10" s="1">
        <f>MEDIAN($C10,$E10,$G10,$I10,$K10,$M10,$O10,$Q10)</f>
        <v>0</v>
      </c>
      <c r="V10" s="1">
        <f>MAX($B10,$D10,$F10,$H10,$J10,$L10,$N10,$P10)</f>
        <v>0</v>
      </c>
      <c r="W10" s="1">
        <f>MAX($C10,$E10,$G10,$I10,$K10,$M10,$O10,$Q10)</f>
        <v>0</v>
      </c>
    </row>
    <row r="11" spans="1:23">
      <c r="A11" s="1" t="s">
        <v>8</v>
      </c>
      <c r="B11" s="3">
        <v>517.7</v>
      </c>
      <c r="C11" s="2">
        <v>0</v>
      </c>
      <c r="D11" s="1"/>
      <c r="E11" s="2"/>
      <c r="F11" s="1"/>
      <c r="G11" s="2"/>
      <c r="H11" s="5">
        <v>8.6</v>
      </c>
      <c r="I11" s="2">
        <v>0</v>
      </c>
      <c r="J11" s="1"/>
      <c r="K11" s="2"/>
      <c r="L11" s="1"/>
      <c r="M11" s="2"/>
      <c r="N11" s="1"/>
      <c r="O11" s="2"/>
      <c r="P11" s="1"/>
      <c r="Q11" s="2"/>
      <c r="R11" s="1">
        <f>MIN($B11,$D11,$F11,$H11,$J11,$L11,$N11,$P11)</f>
        <v>0</v>
      </c>
      <c r="S11" s="1">
        <f>MIN($C11,$E11,$G11,$I11,$K11,$M11,$O11,$Q11)</f>
        <v>0</v>
      </c>
      <c r="T11" s="1">
        <f>MEDIAN($B11,$D11,$F11,$H11,$J11,$L11,$N11,$P11)</f>
        <v>0</v>
      </c>
      <c r="U11" s="1">
        <f>MEDIAN($C11,$E11,$G11,$I11,$K11,$M11,$O11,$Q11)</f>
        <v>0</v>
      </c>
      <c r="V11" s="1">
        <f>MAX($B11,$D11,$F11,$H11,$J11,$L11,$N11,$P11)</f>
        <v>0</v>
      </c>
      <c r="W11" s="1">
        <f>MAX($C11,$E11,$G11,$I11,$K11,$M11,$O11,$Q11)</f>
        <v>0</v>
      </c>
    </row>
    <row r="12" spans="1:23">
      <c r="A12" s="1" t="s">
        <v>9</v>
      </c>
      <c r="B12" s="3">
        <v>448.01</v>
      </c>
      <c r="C12" s="2">
        <v>0</v>
      </c>
      <c r="D12" s="1"/>
      <c r="E12" s="2"/>
      <c r="F12" s="1"/>
      <c r="G12" s="2"/>
      <c r="H12" s="5">
        <v>7.6</v>
      </c>
      <c r="I12" s="2">
        <v>0</v>
      </c>
      <c r="J12" s="1"/>
      <c r="K12" s="2"/>
      <c r="L12" s="1"/>
      <c r="M12" s="2"/>
      <c r="N12" s="1"/>
      <c r="O12" s="2"/>
      <c r="P12" s="1"/>
      <c r="Q12" s="2"/>
      <c r="R12" s="1">
        <f>MIN($B12,$D12,$F12,$H12,$J12,$L12,$N12,$P12)</f>
        <v>0</v>
      </c>
      <c r="S12" s="1">
        <f>MIN($C12,$E12,$G12,$I12,$K12,$M12,$O12,$Q12)</f>
        <v>0</v>
      </c>
      <c r="T12" s="1">
        <f>MEDIAN($B12,$D12,$F12,$H12,$J12,$L12,$N12,$P12)</f>
        <v>0</v>
      </c>
      <c r="U12" s="1">
        <f>MEDIAN($C12,$E12,$G12,$I12,$K12,$M12,$O12,$Q12)</f>
        <v>0</v>
      </c>
      <c r="V12" s="1">
        <f>MAX($B12,$D12,$F12,$H12,$J12,$L12,$N12,$P12)</f>
        <v>0</v>
      </c>
      <c r="W12" s="1">
        <f>MAX($C12,$E12,$G12,$I12,$K12,$M12,$O12,$Q12)</f>
        <v>0</v>
      </c>
    </row>
    <row r="13" spans="1:23">
      <c r="A13" s="1" t="s">
        <v>10</v>
      </c>
      <c r="B13" s="3">
        <v>1200</v>
      </c>
      <c r="C13" s="4">
        <v>1</v>
      </c>
      <c r="D13" s="1"/>
      <c r="E13" s="2"/>
      <c r="F13" s="1"/>
      <c r="G13" s="2"/>
      <c r="H13" s="5">
        <v>13.08</v>
      </c>
      <c r="I13" s="6">
        <v>0</v>
      </c>
      <c r="J13" s="1"/>
      <c r="K13" s="2"/>
      <c r="L13" s="1"/>
      <c r="M13" s="2"/>
      <c r="N13" s="1"/>
      <c r="O13" s="2"/>
      <c r="P13" s="1"/>
      <c r="Q13" s="2"/>
      <c r="R13" s="1">
        <f>MIN($B13,$D13,$F13,$H13,$J13,$L13,$N13,$P13)</f>
        <v>0</v>
      </c>
      <c r="S13" s="1">
        <f>MIN($C13,$E13,$G13,$I13,$K13,$M13,$O13,$Q13)</f>
        <v>0</v>
      </c>
      <c r="T13" s="1">
        <f>MEDIAN($B13,$D13,$F13,$H13,$J13,$L13,$N13,$P13)</f>
        <v>0</v>
      </c>
      <c r="U13" s="1">
        <f>MEDIAN($C13,$E13,$G13,$I13,$K13,$M13,$O13,$Q13)</f>
        <v>0</v>
      </c>
      <c r="V13" s="1">
        <f>MAX($B13,$D13,$F13,$H13,$J13,$L13,$N13,$P13)</f>
        <v>0</v>
      </c>
      <c r="W13" s="1">
        <f>MAX($C13,$E13,$G13,$I13,$K13,$M13,$O13,$Q13)</f>
        <v>0</v>
      </c>
    </row>
    <row r="14" spans="1:23">
      <c r="A14" s="1" t="s">
        <v>11</v>
      </c>
      <c r="B14" s="1">
        <v>1200</v>
      </c>
      <c r="C14" s="2">
        <v>1</v>
      </c>
      <c r="D14" s="1"/>
      <c r="E14" s="2"/>
      <c r="F14" s="1"/>
      <c r="G14" s="2"/>
      <c r="H14" s="1">
        <v>1200</v>
      </c>
      <c r="I14" s="2">
        <v>1</v>
      </c>
      <c r="J14" s="1"/>
      <c r="K14" s="2"/>
      <c r="L14" s="1"/>
      <c r="M14" s="2"/>
      <c r="N14" s="1"/>
      <c r="O14" s="2"/>
      <c r="P14" s="1"/>
      <c r="Q14" s="2"/>
      <c r="R14" s="1">
        <f>MIN($B14,$D14,$F14,$H14,$J14,$L14,$N14,$P14)</f>
        <v>0</v>
      </c>
      <c r="S14" s="1">
        <f>MIN($C14,$E14,$G14,$I14,$K14,$M14,$O14,$Q14)</f>
        <v>0</v>
      </c>
      <c r="T14" s="1">
        <f>MEDIAN($B14,$D14,$F14,$H14,$J14,$L14,$N14,$P14)</f>
        <v>0</v>
      </c>
      <c r="U14" s="1">
        <f>MEDIAN($C14,$E14,$G14,$I14,$K14,$M14,$O14,$Q14)</f>
        <v>0</v>
      </c>
      <c r="V14" s="1">
        <f>MAX($B14,$D14,$F14,$H14,$J14,$L14,$N14,$P14)</f>
        <v>0</v>
      </c>
      <c r="W14" s="1">
        <f>MAX($C14,$E14,$G14,$I14,$K14,$M14,$O14,$Q14)</f>
        <v>0</v>
      </c>
    </row>
    <row r="15" spans="1:23">
      <c r="A15" s="1" t="s">
        <v>12</v>
      </c>
      <c r="B15" s="3">
        <v>1200</v>
      </c>
      <c r="C15" s="4">
        <v>1</v>
      </c>
      <c r="D15" s="1"/>
      <c r="E15" s="2"/>
      <c r="F15" s="1"/>
      <c r="G15" s="2"/>
      <c r="H15" s="5">
        <v>11.35</v>
      </c>
      <c r="I15" s="6">
        <v>0</v>
      </c>
      <c r="J15" s="1"/>
      <c r="K15" s="2"/>
      <c r="L15" s="1"/>
      <c r="M15" s="2"/>
      <c r="N15" s="1"/>
      <c r="O15" s="2"/>
      <c r="P15" s="1"/>
      <c r="Q15" s="2"/>
      <c r="R15" s="1">
        <f>MIN($B15,$D15,$F15,$H15,$J15,$L15,$N15,$P15)</f>
        <v>0</v>
      </c>
      <c r="S15" s="1">
        <f>MIN($C15,$E15,$G15,$I15,$K15,$M15,$O15,$Q15)</f>
        <v>0</v>
      </c>
      <c r="T15" s="1">
        <f>MEDIAN($B15,$D15,$F15,$H15,$J15,$L15,$N15,$P15)</f>
        <v>0</v>
      </c>
      <c r="U15" s="1">
        <f>MEDIAN($C15,$E15,$G15,$I15,$K15,$M15,$O15,$Q15)</f>
        <v>0</v>
      </c>
      <c r="V15" s="1">
        <f>MAX($B15,$D15,$F15,$H15,$J15,$L15,$N15,$P15)</f>
        <v>0</v>
      </c>
      <c r="W15" s="1">
        <f>MAX($C15,$E15,$G15,$I15,$K15,$M15,$O15,$Q15)</f>
        <v>0</v>
      </c>
    </row>
    <row r="16" spans="1:23">
      <c r="A16" s="1" t="s">
        <v>13</v>
      </c>
      <c r="B16" s="3">
        <v>1200</v>
      </c>
      <c r="C16" s="4">
        <v>1</v>
      </c>
      <c r="D16" s="1"/>
      <c r="E16" s="2"/>
      <c r="F16" s="1"/>
      <c r="G16" s="2"/>
      <c r="H16" s="5">
        <v>8.48</v>
      </c>
      <c r="I16" s="6">
        <v>0</v>
      </c>
      <c r="J16" s="1"/>
      <c r="K16" s="2"/>
      <c r="L16" s="1"/>
      <c r="M16" s="2"/>
      <c r="N16" s="1"/>
      <c r="O16" s="2"/>
      <c r="P16" s="1"/>
      <c r="Q16" s="2"/>
      <c r="R16" s="1">
        <f>MIN($B16,$D16,$F16,$H16,$J16,$L16,$N16,$P16)</f>
        <v>0</v>
      </c>
      <c r="S16" s="1">
        <f>MIN($C16,$E16,$G16,$I16,$K16,$M16,$O16,$Q16)</f>
        <v>0</v>
      </c>
      <c r="T16" s="1">
        <f>MEDIAN($B16,$D16,$F16,$H16,$J16,$L16,$N16,$P16)</f>
        <v>0</v>
      </c>
      <c r="U16" s="1">
        <f>MEDIAN($C16,$E16,$G16,$I16,$K16,$M16,$O16,$Q16)</f>
        <v>0</v>
      </c>
      <c r="V16" s="1">
        <f>MAX($B16,$D16,$F16,$H16,$J16,$L16,$N16,$P16)</f>
        <v>0</v>
      </c>
      <c r="W16" s="1">
        <f>MAX($C16,$E16,$G16,$I16,$K16,$M16,$O16,$Q16)</f>
        <v>0</v>
      </c>
    </row>
    <row r="17" spans="1:23">
      <c r="A17" s="1" t="s">
        <v>14</v>
      </c>
      <c r="B17" s="1">
        <v>1200</v>
      </c>
      <c r="C17" s="2">
        <v>1</v>
      </c>
      <c r="D17" s="1"/>
      <c r="E17" s="2"/>
      <c r="F17" s="1"/>
      <c r="G17" s="2"/>
      <c r="H17" s="1">
        <v>1200</v>
      </c>
      <c r="I17" s="2">
        <v>1</v>
      </c>
      <c r="J17" s="1"/>
      <c r="K17" s="2"/>
      <c r="L17" s="1"/>
      <c r="M17" s="2"/>
      <c r="N17" s="1"/>
      <c r="O17" s="2"/>
      <c r="P17" s="1"/>
      <c r="Q17" s="2"/>
      <c r="R17" s="1">
        <f>MIN($B17,$D17,$F17,$H17,$J17,$L17,$N17,$P17)</f>
        <v>0</v>
      </c>
      <c r="S17" s="1">
        <f>MIN($C17,$E17,$G17,$I17,$K17,$M17,$O17,$Q17)</f>
        <v>0</v>
      </c>
      <c r="T17" s="1">
        <f>MEDIAN($B17,$D17,$F17,$H17,$J17,$L17,$N17,$P17)</f>
        <v>0</v>
      </c>
      <c r="U17" s="1">
        <f>MEDIAN($C17,$E17,$G17,$I17,$K17,$M17,$O17,$Q17)</f>
        <v>0</v>
      </c>
      <c r="V17" s="1">
        <f>MAX($B17,$D17,$F17,$H17,$J17,$L17,$N17,$P17)</f>
        <v>0</v>
      </c>
      <c r="W17" s="1">
        <f>MAX($C17,$E17,$G17,$I17,$K17,$M17,$O17,$Q17)</f>
        <v>0</v>
      </c>
    </row>
    <row r="18" spans="1:23">
      <c r="A18" s="1" t="s">
        <v>15</v>
      </c>
      <c r="B18" s="1">
        <v>1200</v>
      </c>
      <c r="C18" s="2">
        <v>1</v>
      </c>
      <c r="D18" s="1"/>
      <c r="E18" s="2"/>
      <c r="F18" s="1"/>
      <c r="G18" s="2"/>
      <c r="H18" s="1">
        <v>1200</v>
      </c>
      <c r="I18" s="2">
        <v>1</v>
      </c>
      <c r="J18" s="1"/>
      <c r="K18" s="2"/>
      <c r="L18" s="1"/>
      <c r="M18" s="2"/>
      <c r="N18" s="1"/>
      <c r="O18" s="2"/>
      <c r="P18" s="1"/>
      <c r="Q18" s="2"/>
      <c r="R18" s="1">
        <f>MIN($B18,$D18,$F18,$H18,$J18,$L18,$N18,$P18)</f>
        <v>0</v>
      </c>
      <c r="S18" s="1">
        <f>MIN($C18,$E18,$G18,$I18,$K18,$M18,$O18,$Q18)</f>
        <v>0</v>
      </c>
      <c r="T18" s="1">
        <f>MEDIAN($B18,$D18,$F18,$H18,$J18,$L18,$N18,$P18)</f>
        <v>0</v>
      </c>
      <c r="U18" s="1">
        <f>MEDIAN($C18,$E18,$G18,$I18,$K18,$M18,$O18,$Q18)</f>
        <v>0</v>
      </c>
      <c r="V18" s="1">
        <f>MAX($B18,$D18,$F18,$H18,$J18,$L18,$N18,$P18)</f>
        <v>0</v>
      </c>
      <c r="W18" s="1">
        <f>MAX($C18,$E18,$G18,$I18,$K18,$M18,$O18,$Q18)</f>
        <v>0</v>
      </c>
    </row>
    <row r="19" spans="1:23">
      <c r="A19" s="1" t="s">
        <v>16</v>
      </c>
      <c r="B19" s="3">
        <v>1200</v>
      </c>
      <c r="C19" s="4">
        <v>1</v>
      </c>
      <c r="D19" s="1"/>
      <c r="E19" s="2"/>
      <c r="F19" s="1"/>
      <c r="G19" s="2"/>
      <c r="H19" s="5">
        <v>13.88</v>
      </c>
      <c r="I19" s="6">
        <v>0</v>
      </c>
      <c r="J19" s="1"/>
      <c r="K19" s="2"/>
      <c r="L19" s="1"/>
      <c r="M19" s="2"/>
      <c r="N19" s="1"/>
      <c r="O19" s="2"/>
      <c r="P19" s="1"/>
      <c r="Q19" s="2"/>
      <c r="R19" s="1">
        <f>MIN($B19,$D19,$F19,$H19,$J19,$L19,$N19,$P19)</f>
        <v>0</v>
      </c>
      <c r="S19" s="1">
        <f>MIN($C19,$E19,$G19,$I19,$K19,$M19,$O19,$Q19)</f>
        <v>0</v>
      </c>
      <c r="T19" s="1">
        <f>MEDIAN($B19,$D19,$F19,$H19,$J19,$L19,$N19,$P19)</f>
        <v>0</v>
      </c>
      <c r="U19" s="1">
        <f>MEDIAN($C19,$E19,$G19,$I19,$K19,$M19,$O19,$Q19)</f>
        <v>0</v>
      </c>
      <c r="V19" s="1">
        <f>MAX($B19,$D19,$F19,$H19,$J19,$L19,$N19,$P19)</f>
        <v>0</v>
      </c>
      <c r="W19" s="1">
        <f>MAX($C19,$E19,$G19,$I19,$K19,$M19,$O19,$Q19)</f>
        <v>0</v>
      </c>
    </row>
    <row r="20" spans="1:23">
      <c r="A20" s="1" t="s">
        <v>17</v>
      </c>
      <c r="B20" s="3">
        <v>1200</v>
      </c>
      <c r="C20" s="4">
        <v>1</v>
      </c>
      <c r="D20" s="1"/>
      <c r="E20" s="2"/>
      <c r="F20" s="1"/>
      <c r="G20" s="2"/>
      <c r="H20" s="5">
        <v>7.3</v>
      </c>
      <c r="I20" s="6">
        <v>0</v>
      </c>
      <c r="J20" s="1"/>
      <c r="K20" s="2"/>
      <c r="L20" s="1"/>
      <c r="M20" s="2"/>
      <c r="N20" s="1"/>
      <c r="O20" s="2"/>
      <c r="P20" s="1"/>
      <c r="Q20" s="2"/>
      <c r="R20" s="1">
        <f>MIN($B20,$D20,$F20,$H20,$J20,$L20,$N20,$P20)</f>
        <v>0</v>
      </c>
      <c r="S20" s="1">
        <f>MIN($C20,$E20,$G20,$I20,$K20,$M20,$O20,$Q20)</f>
        <v>0</v>
      </c>
      <c r="T20" s="1">
        <f>MEDIAN($B20,$D20,$F20,$H20,$J20,$L20,$N20,$P20)</f>
        <v>0</v>
      </c>
      <c r="U20" s="1">
        <f>MEDIAN($C20,$E20,$G20,$I20,$K20,$M20,$O20,$Q20)</f>
        <v>0</v>
      </c>
      <c r="V20" s="1">
        <f>MAX($B20,$D20,$F20,$H20,$J20,$L20,$N20,$P20)</f>
        <v>0</v>
      </c>
      <c r="W20" s="1">
        <f>MAX($C20,$E20,$G20,$I20,$K20,$M20,$O20,$Q20)</f>
        <v>0</v>
      </c>
    </row>
    <row r="21" spans="1:23">
      <c r="A21" s="1" t="s">
        <v>18</v>
      </c>
      <c r="B21" s="3">
        <v>1200</v>
      </c>
      <c r="C21" s="4">
        <v>1</v>
      </c>
      <c r="D21" s="1"/>
      <c r="E21" s="2"/>
      <c r="F21" s="1"/>
      <c r="G21" s="2"/>
      <c r="H21" s="5">
        <v>11.69</v>
      </c>
      <c r="I21" s="6">
        <v>0</v>
      </c>
      <c r="J21" s="1"/>
      <c r="K21" s="2"/>
      <c r="L21" s="1"/>
      <c r="M21" s="2"/>
      <c r="N21" s="1"/>
      <c r="O21" s="2"/>
      <c r="P21" s="1"/>
      <c r="Q21" s="2"/>
      <c r="R21" s="1">
        <f>MIN($B21,$D21,$F21,$H21,$J21,$L21,$N21,$P21)</f>
        <v>0</v>
      </c>
      <c r="S21" s="1">
        <f>MIN($C21,$E21,$G21,$I21,$K21,$M21,$O21,$Q21)</f>
        <v>0</v>
      </c>
      <c r="T21" s="1">
        <f>MEDIAN($B21,$D21,$F21,$H21,$J21,$L21,$N21,$P21)</f>
        <v>0</v>
      </c>
      <c r="U21" s="1">
        <f>MEDIAN($C21,$E21,$G21,$I21,$K21,$M21,$O21,$Q21)</f>
        <v>0</v>
      </c>
      <c r="V21" s="1">
        <f>MAX($B21,$D21,$F21,$H21,$J21,$L21,$N21,$P21)</f>
        <v>0</v>
      </c>
      <c r="W21" s="1">
        <f>MAX($C21,$E21,$G21,$I21,$K21,$M21,$O21,$Q21)</f>
        <v>0</v>
      </c>
    </row>
    <row r="22" spans="1:23">
      <c r="A22" s="1" t="s">
        <v>19</v>
      </c>
      <c r="B22" s="3">
        <v>1200</v>
      </c>
      <c r="C22" s="4">
        <v>1</v>
      </c>
      <c r="D22" s="1"/>
      <c r="E22" s="2"/>
      <c r="F22" s="1"/>
      <c r="G22" s="2"/>
      <c r="H22" s="5">
        <v>13.93</v>
      </c>
      <c r="I22" s="6">
        <v>0</v>
      </c>
      <c r="J22" s="1"/>
      <c r="K22" s="2"/>
      <c r="L22" s="1"/>
      <c r="M22" s="2"/>
      <c r="N22" s="1"/>
      <c r="O22" s="2"/>
      <c r="P22" s="1"/>
      <c r="Q22" s="2"/>
      <c r="R22" s="1">
        <f>MIN($B22,$D22,$F22,$H22,$J22,$L22,$N22,$P22)</f>
        <v>0</v>
      </c>
      <c r="S22" s="1">
        <f>MIN($C22,$E22,$G22,$I22,$K22,$M22,$O22,$Q22)</f>
        <v>0</v>
      </c>
      <c r="T22" s="1">
        <f>MEDIAN($B22,$D22,$F22,$H22,$J22,$L22,$N22,$P22)</f>
        <v>0</v>
      </c>
      <c r="U22" s="1">
        <f>MEDIAN($C22,$E22,$G22,$I22,$K22,$M22,$O22,$Q22)</f>
        <v>0</v>
      </c>
      <c r="V22" s="1">
        <f>MAX($B22,$D22,$F22,$H22,$J22,$L22,$N22,$P22)</f>
        <v>0</v>
      </c>
      <c r="W22" s="1">
        <f>MAX($C22,$E22,$G22,$I22,$K22,$M22,$O22,$Q22)</f>
        <v>0</v>
      </c>
    </row>
    <row r="23" spans="1:23">
      <c r="A23" s="1" t="s">
        <v>20</v>
      </c>
      <c r="B23" s="3">
        <v>1200</v>
      </c>
      <c r="C23" s="4">
        <v>1</v>
      </c>
      <c r="D23" s="1"/>
      <c r="E23" s="2"/>
      <c r="F23" s="1"/>
      <c r="G23" s="2"/>
      <c r="H23" s="5">
        <v>12.36</v>
      </c>
      <c r="I23" s="6">
        <v>0</v>
      </c>
      <c r="J23" s="1"/>
      <c r="K23" s="2"/>
      <c r="L23" s="1"/>
      <c r="M23" s="2"/>
      <c r="N23" s="1"/>
      <c r="O23" s="2"/>
      <c r="P23" s="1"/>
      <c r="Q23" s="2"/>
      <c r="R23" s="1">
        <f>MIN($B23,$D23,$F23,$H23,$J23,$L23,$N23,$P23)</f>
        <v>0</v>
      </c>
      <c r="S23" s="1">
        <f>MIN($C23,$E23,$G23,$I23,$K23,$M23,$O23,$Q23)</f>
        <v>0</v>
      </c>
      <c r="T23" s="1">
        <f>MEDIAN($B23,$D23,$F23,$H23,$J23,$L23,$N23,$P23)</f>
        <v>0</v>
      </c>
      <c r="U23" s="1">
        <f>MEDIAN($C23,$E23,$G23,$I23,$K23,$M23,$O23,$Q23)</f>
        <v>0</v>
      </c>
      <c r="V23" s="1">
        <f>MAX($B23,$D23,$F23,$H23,$J23,$L23,$N23,$P23)</f>
        <v>0</v>
      </c>
      <c r="W23" s="1">
        <f>MAX($C23,$E23,$G23,$I23,$K23,$M23,$O23,$Q23)</f>
        <v>0</v>
      </c>
    </row>
    <row r="24" spans="1:23">
      <c r="A24" s="1" t="s">
        <v>21</v>
      </c>
      <c r="B24" s="3">
        <v>1200</v>
      </c>
      <c r="C24" s="4">
        <v>1</v>
      </c>
      <c r="D24" s="1"/>
      <c r="E24" s="2"/>
      <c r="F24" s="1"/>
      <c r="G24" s="2"/>
      <c r="H24" s="5">
        <v>15.47</v>
      </c>
      <c r="I24" s="6">
        <v>0</v>
      </c>
      <c r="J24" s="1"/>
      <c r="K24" s="2"/>
      <c r="L24" s="1"/>
      <c r="M24" s="2"/>
      <c r="N24" s="1"/>
      <c r="O24" s="2"/>
      <c r="P24" s="1"/>
      <c r="Q24" s="2"/>
      <c r="R24" s="1">
        <f>MIN($B24,$D24,$F24,$H24,$J24,$L24,$N24,$P24)</f>
        <v>0</v>
      </c>
      <c r="S24" s="1">
        <f>MIN($C24,$E24,$G24,$I24,$K24,$M24,$O24,$Q24)</f>
        <v>0</v>
      </c>
      <c r="T24" s="1">
        <f>MEDIAN($B24,$D24,$F24,$H24,$J24,$L24,$N24,$P24)</f>
        <v>0</v>
      </c>
      <c r="U24" s="1">
        <f>MEDIAN($C24,$E24,$G24,$I24,$K24,$M24,$O24,$Q24)</f>
        <v>0</v>
      </c>
      <c r="V24" s="1">
        <f>MAX($B24,$D24,$F24,$H24,$J24,$L24,$N24,$P24)</f>
        <v>0</v>
      </c>
      <c r="W24" s="1">
        <f>MAX($C24,$E24,$G24,$I24,$K24,$M24,$O24,$Q24)</f>
        <v>0</v>
      </c>
    </row>
    <row r="25" spans="1:23">
      <c r="A25" s="1" t="s">
        <v>22</v>
      </c>
      <c r="B25" s="3">
        <v>1200</v>
      </c>
      <c r="C25" s="4">
        <v>1</v>
      </c>
      <c r="D25" s="1"/>
      <c r="E25" s="2"/>
      <c r="F25" s="1"/>
      <c r="G25" s="2"/>
      <c r="H25" s="5">
        <v>11.07</v>
      </c>
      <c r="I25" s="6">
        <v>0</v>
      </c>
      <c r="J25" s="1"/>
      <c r="K25" s="2"/>
      <c r="L25" s="1"/>
      <c r="M25" s="2"/>
      <c r="N25" s="1"/>
      <c r="O25" s="2"/>
      <c r="P25" s="1"/>
      <c r="Q25" s="2"/>
      <c r="R25" s="1">
        <f>MIN($B25,$D25,$F25,$H25,$J25,$L25,$N25,$P25)</f>
        <v>0</v>
      </c>
      <c r="S25" s="1">
        <f>MIN($C25,$E25,$G25,$I25,$K25,$M25,$O25,$Q25)</f>
        <v>0</v>
      </c>
      <c r="T25" s="1">
        <f>MEDIAN($B25,$D25,$F25,$H25,$J25,$L25,$N25,$P25)</f>
        <v>0</v>
      </c>
      <c r="U25" s="1">
        <f>MEDIAN($C25,$E25,$G25,$I25,$K25,$M25,$O25,$Q25)</f>
        <v>0</v>
      </c>
      <c r="V25" s="1">
        <f>MAX($B25,$D25,$F25,$H25,$J25,$L25,$N25,$P25)</f>
        <v>0</v>
      </c>
      <c r="W25" s="1">
        <f>MAX($C25,$E25,$G25,$I25,$K25,$M25,$O25,$Q25)</f>
        <v>0</v>
      </c>
    </row>
    <row r="26" spans="1:23">
      <c r="A26" s="1" t="s">
        <v>23</v>
      </c>
      <c r="B26" s="3">
        <v>1200</v>
      </c>
      <c r="C26" s="4">
        <v>1</v>
      </c>
      <c r="D26" s="1"/>
      <c r="E26" s="2"/>
      <c r="F26" s="1"/>
      <c r="G26" s="2"/>
      <c r="H26" s="5">
        <v>9.949999999999999</v>
      </c>
      <c r="I26" s="6">
        <v>0</v>
      </c>
      <c r="J26" s="1"/>
      <c r="K26" s="2"/>
      <c r="L26" s="1"/>
      <c r="M26" s="2"/>
      <c r="N26" s="1"/>
      <c r="O26" s="2"/>
      <c r="P26" s="1"/>
      <c r="Q26" s="2"/>
      <c r="R26" s="1">
        <f>MIN($B26,$D26,$F26,$H26,$J26,$L26,$N26,$P26)</f>
        <v>0</v>
      </c>
      <c r="S26" s="1">
        <f>MIN($C26,$E26,$G26,$I26,$K26,$M26,$O26,$Q26)</f>
        <v>0</v>
      </c>
      <c r="T26" s="1">
        <f>MEDIAN($B26,$D26,$F26,$H26,$J26,$L26,$N26,$P26)</f>
        <v>0</v>
      </c>
      <c r="U26" s="1">
        <f>MEDIAN($C26,$E26,$G26,$I26,$K26,$M26,$O26,$Q26)</f>
        <v>0</v>
      </c>
      <c r="V26" s="1">
        <f>MAX($B26,$D26,$F26,$H26,$J26,$L26,$N26,$P26)</f>
        <v>0</v>
      </c>
      <c r="W26" s="1">
        <f>MAX($C26,$E26,$G26,$I26,$K26,$M26,$O26,$Q26)</f>
        <v>0</v>
      </c>
    </row>
    <row r="27" spans="1:23">
      <c r="A27" s="1" t="s">
        <v>24</v>
      </c>
      <c r="B27" s="1">
        <v>1200</v>
      </c>
      <c r="C27" s="2">
        <v>1</v>
      </c>
      <c r="D27" s="1"/>
      <c r="E27" s="2"/>
      <c r="F27" s="1"/>
      <c r="G27" s="2"/>
      <c r="H27" s="1">
        <v>1200</v>
      </c>
      <c r="I27" s="2">
        <v>1</v>
      </c>
      <c r="J27" s="1"/>
      <c r="K27" s="2"/>
      <c r="L27" s="1"/>
      <c r="M27" s="2"/>
      <c r="N27" s="1"/>
      <c r="O27" s="2"/>
      <c r="P27" s="1"/>
      <c r="Q27" s="2"/>
      <c r="R27" s="1">
        <f>MIN($B27,$D27,$F27,$H27,$J27,$L27,$N27,$P27)</f>
        <v>0</v>
      </c>
      <c r="S27" s="1">
        <f>MIN($C27,$E27,$G27,$I27,$K27,$M27,$O27,$Q27)</f>
        <v>0</v>
      </c>
      <c r="T27" s="1">
        <f>MEDIAN($B27,$D27,$F27,$H27,$J27,$L27,$N27,$P27)</f>
        <v>0</v>
      </c>
      <c r="U27" s="1">
        <f>MEDIAN($C27,$E27,$G27,$I27,$K27,$M27,$O27,$Q27)</f>
        <v>0</v>
      </c>
      <c r="V27" s="1">
        <f>MAX($B27,$D27,$F27,$H27,$J27,$L27,$N27,$P27)</f>
        <v>0</v>
      </c>
      <c r="W27" s="1">
        <f>MAX($C27,$E27,$G27,$I27,$K27,$M27,$O27,$Q27)</f>
        <v>0</v>
      </c>
    </row>
    <row r="28" spans="1:23">
      <c r="A28" s="1" t="s">
        <v>25</v>
      </c>
      <c r="B28" s="1">
        <v>1200</v>
      </c>
      <c r="C28" s="2">
        <v>1</v>
      </c>
      <c r="D28" s="1"/>
      <c r="E28" s="2"/>
      <c r="F28" s="1"/>
      <c r="G28" s="2"/>
      <c r="H28" s="1">
        <v>1200</v>
      </c>
      <c r="I28" s="2">
        <v>1</v>
      </c>
      <c r="J28" s="1"/>
      <c r="K28" s="2"/>
      <c r="L28" s="1"/>
      <c r="M28" s="2"/>
      <c r="N28" s="1"/>
      <c r="O28" s="2"/>
      <c r="P28" s="1"/>
      <c r="Q28" s="2"/>
      <c r="R28" s="1">
        <f>MIN($B28,$D28,$F28,$H28,$J28,$L28,$N28,$P28)</f>
        <v>0</v>
      </c>
      <c r="S28" s="1">
        <f>MIN($C28,$E28,$G28,$I28,$K28,$M28,$O28,$Q28)</f>
        <v>0</v>
      </c>
      <c r="T28" s="1">
        <f>MEDIAN($B28,$D28,$F28,$H28,$J28,$L28,$N28,$P28)</f>
        <v>0</v>
      </c>
      <c r="U28" s="1">
        <f>MEDIAN($C28,$E28,$G28,$I28,$K28,$M28,$O28,$Q28)</f>
        <v>0</v>
      </c>
      <c r="V28" s="1">
        <f>MAX($B28,$D28,$F28,$H28,$J28,$L28,$N28,$P28)</f>
        <v>0</v>
      </c>
      <c r="W28" s="1">
        <f>MAX($C28,$E28,$G28,$I28,$K28,$M28,$O28,$Q28)</f>
        <v>0</v>
      </c>
    </row>
    <row r="29" spans="1:23">
      <c r="A29" s="1" t="s">
        <v>26</v>
      </c>
      <c r="B29" s="3">
        <v>1200</v>
      </c>
      <c r="C29" s="4">
        <v>1</v>
      </c>
      <c r="D29" s="1"/>
      <c r="E29" s="2"/>
      <c r="F29" s="1"/>
      <c r="G29" s="2"/>
      <c r="H29" s="5">
        <v>26.19</v>
      </c>
      <c r="I29" s="6">
        <v>0</v>
      </c>
      <c r="J29" s="1"/>
      <c r="K29" s="2"/>
      <c r="L29" s="1"/>
      <c r="M29" s="2"/>
      <c r="N29" s="1"/>
      <c r="O29" s="2"/>
      <c r="P29" s="1"/>
      <c r="Q29" s="2"/>
      <c r="R29" s="1">
        <f>MIN($B29,$D29,$F29,$H29,$J29,$L29,$N29,$P29)</f>
        <v>0</v>
      </c>
      <c r="S29" s="1">
        <f>MIN($C29,$E29,$G29,$I29,$K29,$M29,$O29,$Q29)</f>
        <v>0</v>
      </c>
      <c r="T29" s="1">
        <f>MEDIAN($B29,$D29,$F29,$H29,$J29,$L29,$N29,$P29)</f>
        <v>0</v>
      </c>
      <c r="U29" s="1">
        <f>MEDIAN($C29,$E29,$G29,$I29,$K29,$M29,$O29,$Q29)</f>
        <v>0</v>
      </c>
      <c r="V29" s="1">
        <f>MAX($B29,$D29,$F29,$H29,$J29,$L29,$N29,$P29)</f>
        <v>0</v>
      </c>
      <c r="W29" s="1">
        <f>MAX($C29,$E29,$G29,$I29,$K29,$M29,$O29,$Q29)</f>
        <v>0</v>
      </c>
    </row>
    <row r="30" spans="1:23">
      <c r="A30" s="1" t="s">
        <v>27</v>
      </c>
      <c r="B30" s="3">
        <v>1200</v>
      </c>
      <c r="C30" s="4">
        <v>1</v>
      </c>
      <c r="D30" s="1"/>
      <c r="E30" s="2"/>
      <c r="F30" s="1"/>
      <c r="G30" s="2"/>
      <c r="H30" s="5">
        <v>11.35</v>
      </c>
      <c r="I30" s="6">
        <v>0</v>
      </c>
      <c r="J30" s="1"/>
      <c r="K30" s="2"/>
      <c r="L30" s="1"/>
      <c r="M30" s="2"/>
      <c r="N30" s="1"/>
      <c r="O30" s="2"/>
      <c r="P30" s="1"/>
      <c r="Q30" s="2"/>
      <c r="R30" s="1">
        <f>MIN($B30,$D30,$F30,$H30,$J30,$L30,$N30,$P30)</f>
        <v>0</v>
      </c>
      <c r="S30" s="1">
        <f>MIN($C30,$E30,$G30,$I30,$K30,$M30,$O30,$Q30)</f>
        <v>0</v>
      </c>
      <c r="T30" s="1">
        <f>MEDIAN($B30,$D30,$F30,$H30,$J30,$L30,$N30,$P30)</f>
        <v>0</v>
      </c>
      <c r="U30" s="1">
        <f>MEDIAN($C30,$E30,$G30,$I30,$K30,$M30,$O30,$Q30)</f>
        <v>0</v>
      </c>
      <c r="V30" s="1">
        <f>MAX($B30,$D30,$F30,$H30,$J30,$L30,$N30,$P30)</f>
        <v>0</v>
      </c>
      <c r="W30" s="1">
        <f>MAX($C30,$E30,$G30,$I30,$K30,$M30,$O30,$Q30)</f>
        <v>0</v>
      </c>
    </row>
    <row r="31" spans="1:23">
      <c r="A31" s="1" t="s">
        <v>28</v>
      </c>
      <c r="B31" s="1">
        <v>1200</v>
      </c>
      <c r="C31" s="2">
        <v>1</v>
      </c>
      <c r="D31" s="1"/>
      <c r="E31" s="2"/>
      <c r="F31" s="1"/>
      <c r="G31" s="2"/>
      <c r="H31" s="1">
        <v>1200</v>
      </c>
      <c r="I31" s="2">
        <v>1</v>
      </c>
      <c r="J31" s="1"/>
      <c r="K31" s="2"/>
      <c r="L31" s="1"/>
      <c r="M31" s="2"/>
      <c r="N31" s="1"/>
      <c r="O31" s="2"/>
      <c r="P31" s="1"/>
      <c r="Q31" s="2"/>
      <c r="R31" s="1">
        <f>MIN($B31,$D31,$F31,$H31,$J31,$L31,$N31,$P31)</f>
        <v>0</v>
      </c>
      <c r="S31" s="1">
        <f>MIN($C31,$E31,$G31,$I31,$K31,$M31,$O31,$Q31)</f>
        <v>0</v>
      </c>
      <c r="T31" s="1">
        <f>MEDIAN($B31,$D31,$F31,$H31,$J31,$L31,$N31,$P31)</f>
        <v>0</v>
      </c>
      <c r="U31" s="1">
        <f>MEDIAN($C31,$E31,$G31,$I31,$K31,$M31,$O31,$Q31)</f>
        <v>0</v>
      </c>
      <c r="V31" s="1">
        <f>MAX($B31,$D31,$F31,$H31,$J31,$L31,$N31,$P31)</f>
        <v>0</v>
      </c>
      <c r="W31" s="1">
        <f>MAX($C31,$E31,$G31,$I31,$K31,$M31,$O31,$Q31)</f>
        <v>0</v>
      </c>
    </row>
    <row r="32" spans="1:23">
      <c r="A32" s="1" t="s">
        <v>29</v>
      </c>
      <c r="B32" s="3">
        <v>1200</v>
      </c>
      <c r="C32" s="4">
        <v>1</v>
      </c>
      <c r="D32" s="1"/>
      <c r="E32" s="2"/>
      <c r="F32" s="1"/>
      <c r="G32" s="2"/>
      <c r="H32" s="5">
        <v>19.72</v>
      </c>
      <c r="I32" s="6">
        <v>0</v>
      </c>
      <c r="J32" s="1"/>
      <c r="K32" s="2"/>
      <c r="L32" s="1"/>
      <c r="M32" s="2"/>
      <c r="N32" s="1"/>
      <c r="O32" s="2"/>
      <c r="P32" s="1"/>
      <c r="Q32" s="2"/>
      <c r="R32" s="1">
        <f>MIN($B32,$D32,$F32,$H32,$J32,$L32,$N32,$P32)</f>
        <v>0</v>
      </c>
      <c r="S32" s="1">
        <f>MIN($C32,$E32,$G32,$I32,$K32,$M32,$O32,$Q32)</f>
        <v>0</v>
      </c>
      <c r="T32" s="1">
        <f>MEDIAN($B32,$D32,$F32,$H32,$J32,$L32,$N32,$P32)</f>
        <v>0</v>
      </c>
      <c r="U32" s="1">
        <f>MEDIAN($C32,$E32,$G32,$I32,$K32,$M32,$O32,$Q32)</f>
        <v>0</v>
      </c>
      <c r="V32" s="1">
        <f>MAX($B32,$D32,$F32,$H32,$J32,$L32,$N32,$P32)</f>
        <v>0</v>
      </c>
      <c r="W32" s="1">
        <f>MAX($C32,$E32,$G32,$I32,$K32,$M32,$O32,$Q32)</f>
        <v>0</v>
      </c>
    </row>
    <row r="33" spans="1:23">
      <c r="A33" s="1" t="s">
        <v>30</v>
      </c>
      <c r="B33" s="3">
        <v>95.87</v>
      </c>
      <c r="C33" s="2">
        <v>0</v>
      </c>
      <c r="D33" s="1"/>
      <c r="E33" s="2"/>
      <c r="F33" s="1"/>
      <c r="G33" s="2"/>
      <c r="H33" s="5">
        <v>2.72</v>
      </c>
      <c r="I33" s="2">
        <v>0</v>
      </c>
      <c r="J33" s="1"/>
      <c r="K33" s="2"/>
      <c r="L33" s="1"/>
      <c r="M33" s="2"/>
      <c r="N33" s="1"/>
      <c r="O33" s="2"/>
      <c r="P33" s="1"/>
      <c r="Q33" s="2"/>
      <c r="R33" s="1">
        <f>MIN($B33,$D33,$F33,$H33,$J33,$L33,$N33,$P33)</f>
        <v>0</v>
      </c>
      <c r="S33" s="1">
        <f>MIN($C33,$E33,$G33,$I33,$K33,$M33,$O33,$Q33)</f>
        <v>0</v>
      </c>
      <c r="T33" s="1">
        <f>MEDIAN($B33,$D33,$F33,$H33,$J33,$L33,$N33,$P33)</f>
        <v>0</v>
      </c>
      <c r="U33" s="1">
        <f>MEDIAN($C33,$E33,$G33,$I33,$K33,$M33,$O33,$Q33)</f>
        <v>0</v>
      </c>
      <c r="V33" s="1">
        <f>MAX($B33,$D33,$F33,$H33,$J33,$L33,$N33,$P33)</f>
        <v>0</v>
      </c>
      <c r="W33" s="1">
        <f>MAX($C33,$E33,$G33,$I33,$K33,$M33,$O33,$Q33)</f>
        <v>0</v>
      </c>
    </row>
    <row r="34" spans="1:23">
      <c r="A34" s="1" t="s">
        <v>31</v>
      </c>
      <c r="B34" s="3">
        <v>316.39</v>
      </c>
      <c r="C34" s="2">
        <v>0</v>
      </c>
      <c r="D34" s="1"/>
      <c r="E34" s="2"/>
      <c r="F34" s="1"/>
      <c r="G34" s="2"/>
      <c r="H34" s="5">
        <v>3.56</v>
      </c>
      <c r="I34" s="2">
        <v>0</v>
      </c>
      <c r="J34" s="1"/>
      <c r="K34" s="2"/>
      <c r="L34" s="1"/>
      <c r="M34" s="2"/>
      <c r="N34" s="1"/>
      <c r="O34" s="2"/>
      <c r="P34" s="1"/>
      <c r="Q34" s="2"/>
      <c r="R34" s="1">
        <f>MIN($B34,$D34,$F34,$H34,$J34,$L34,$N34,$P34)</f>
        <v>0</v>
      </c>
      <c r="S34" s="1">
        <f>MIN($C34,$E34,$G34,$I34,$K34,$M34,$O34,$Q34)</f>
        <v>0</v>
      </c>
      <c r="T34" s="1">
        <f>MEDIAN($B34,$D34,$F34,$H34,$J34,$L34,$N34,$P34)</f>
        <v>0</v>
      </c>
      <c r="U34" s="1">
        <f>MEDIAN($C34,$E34,$G34,$I34,$K34,$M34,$O34,$Q34)</f>
        <v>0</v>
      </c>
      <c r="V34" s="1">
        <f>MAX($B34,$D34,$F34,$H34,$J34,$L34,$N34,$P34)</f>
        <v>0</v>
      </c>
      <c r="W34" s="1">
        <f>MAX($C34,$E34,$G34,$I34,$K34,$M34,$O34,$Q34)</f>
        <v>0</v>
      </c>
    </row>
    <row r="35" spans="1:23">
      <c r="A35" s="1" t="s">
        <v>32</v>
      </c>
      <c r="B35" s="3">
        <v>68.97</v>
      </c>
      <c r="C35" s="2">
        <v>0</v>
      </c>
      <c r="D35" s="1"/>
      <c r="E35" s="2"/>
      <c r="F35" s="1"/>
      <c r="G35" s="2"/>
      <c r="H35" s="5">
        <v>2.45</v>
      </c>
      <c r="I35" s="2">
        <v>0</v>
      </c>
      <c r="J35" s="1"/>
      <c r="K35" s="2"/>
      <c r="L35" s="1"/>
      <c r="M35" s="2"/>
      <c r="N35" s="1"/>
      <c r="O35" s="2"/>
      <c r="P35" s="1"/>
      <c r="Q35" s="2"/>
      <c r="R35" s="1">
        <f>MIN($B35,$D35,$F35,$H35,$J35,$L35,$N35,$P35)</f>
        <v>0</v>
      </c>
      <c r="S35" s="1">
        <f>MIN($C35,$E35,$G35,$I35,$K35,$M35,$O35,$Q35)</f>
        <v>0</v>
      </c>
      <c r="T35" s="1">
        <f>MEDIAN($B35,$D35,$F35,$H35,$J35,$L35,$N35,$P35)</f>
        <v>0</v>
      </c>
      <c r="U35" s="1">
        <f>MEDIAN($C35,$E35,$G35,$I35,$K35,$M35,$O35,$Q35)</f>
        <v>0</v>
      </c>
      <c r="V35" s="1">
        <f>MAX($B35,$D35,$F35,$H35,$J35,$L35,$N35,$P35)</f>
        <v>0</v>
      </c>
      <c r="W35" s="1">
        <f>MAX($C35,$E35,$G35,$I35,$K35,$M35,$O35,$Q35)</f>
        <v>0</v>
      </c>
    </row>
    <row r="36" spans="1:23">
      <c r="A36" s="1" t="s">
        <v>33</v>
      </c>
      <c r="B36" s="3">
        <v>51.6</v>
      </c>
      <c r="C36" s="2">
        <v>0</v>
      </c>
      <c r="D36" s="1"/>
      <c r="E36" s="2"/>
      <c r="F36" s="1"/>
      <c r="G36" s="2"/>
      <c r="H36" s="5">
        <v>3.51</v>
      </c>
      <c r="I36" s="2">
        <v>0</v>
      </c>
      <c r="J36" s="1"/>
      <c r="K36" s="2"/>
      <c r="L36" s="1"/>
      <c r="M36" s="2"/>
      <c r="N36" s="1"/>
      <c r="O36" s="2"/>
      <c r="P36" s="1"/>
      <c r="Q36" s="2"/>
      <c r="R36" s="1">
        <f>MIN($B36,$D36,$F36,$H36,$J36,$L36,$N36,$P36)</f>
        <v>0</v>
      </c>
      <c r="S36" s="1">
        <f>MIN($C36,$E36,$G36,$I36,$K36,$M36,$O36,$Q36)</f>
        <v>0</v>
      </c>
      <c r="T36" s="1">
        <f>MEDIAN($B36,$D36,$F36,$H36,$J36,$L36,$N36,$P36)</f>
        <v>0</v>
      </c>
      <c r="U36" s="1">
        <f>MEDIAN($C36,$E36,$G36,$I36,$K36,$M36,$O36,$Q36)</f>
        <v>0</v>
      </c>
      <c r="V36" s="1">
        <f>MAX($B36,$D36,$F36,$H36,$J36,$L36,$N36,$P36)</f>
        <v>0</v>
      </c>
      <c r="W36" s="1">
        <f>MAX($C36,$E36,$G36,$I36,$K36,$M36,$O36,$Q36)</f>
        <v>0</v>
      </c>
    </row>
    <row r="37" spans="1:23">
      <c r="A37" s="1" t="s">
        <v>34</v>
      </c>
      <c r="B37" s="3">
        <v>70.13</v>
      </c>
      <c r="C37" s="2">
        <v>0</v>
      </c>
      <c r="D37" s="1"/>
      <c r="E37" s="2"/>
      <c r="F37" s="1"/>
      <c r="G37" s="2"/>
      <c r="H37" s="5">
        <v>3.74</v>
      </c>
      <c r="I37" s="2">
        <v>0</v>
      </c>
      <c r="J37" s="1"/>
      <c r="K37" s="2"/>
      <c r="L37" s="1"/>
      <c r="M37" s="2"/>
      <c r="N37" s="1"/>
      <c r="O37" s="2"/>
      <c r="P37" s="1"/>
      <c r="Q37" s="2"/>
      <c r="R37" s="1">
        <f>MIN($B37,$D37,$F37,$H37,$J37,$L37,$N37,$P37)</f>
        <v>0</v>
      </c>
      <c r="S37" s="1">
        <f>MIN($C37,$E37,$G37,$I37,$K37,$M37,$O37,$Q37)</f>
        <v>0</v>
      </c>
      <c r="T37" s="1">
        <f>MEDIAN($B37,$D37,$F37,$H37,$J37,$L37,$N37,$P37)</f>
        <v>0</v>
      </c>
      <c r="U37" s="1">
        <f>MEDIAN($C37,$E37,$G37,$I37,$K37,$M37,$O37,$Q37)</f>
        <v>0</v>
      </c>
      <c r="V37" s="1">
        <f>MAX($B37,$D37,$F37,$H37,$J37,$L37,$N37,$P37)</f>
        <v>0</v>
      </c>
      <c r="W37" s="1">
        <f>MAX($C37,$E37,$G37,$I37,$K37,$M37,$O37,$Q37)</f>
        <v>0</v>
      </c>
    </row>
    <row r="38" spans="1:23">
      <c r="A38" s="1" t="s">
        <v>35</v>
      </c>
      <c r="B38" s="3">
        <v>67.27</v>
      </c>
      <c r="C38" s="2">
        <v>0</v>
      </c>
      <c r="D38" s="1"/>
      <c r="E38" s="2"/>
      <c r="F38" s="1"/>
      <c r="G38" s="2"/>
      <c r="H38" s="5">
        <v>2.64</v>
      </c>
      <c r="I38" s="2">
        <v>0</v>
      </c>
      <c r="J38" s="1"/>
      <c r="K38" s="2"/>
      <c r="L38" s="1"/>
      <c r="M38" s="2"/>
      <c r="N38" s="1"/>
      <c r="O38" s="2"/>
      <c r="P38" s="1"/>
      <c r="Q38" s="2"/>
      <c r="R38" s="1">
        <f>MIN($B38,$D38,$F38,$H38,$J38,$L38,$N38,$P38)</f>
        <v>0</v>
      </c>
      <c r="S38" s="1">
        <f>MIN($C38,$E38,$G38,$I38,$K38,$M38,$O38,$Q38)</f>
        <v>0</v>
      </c>
      <c r="T38" s="1">
        <f>MEDIAN($B38,$D38,$F38,$H38,$J38,$L38,$N38,$P38)</f>
        <v>0</v>
      </c>
      <c r="U38" s="1">
        <f>MEDIAN($C38,$E38,$G38,$I38,$K38,$M38,$O38,$Q38)</f>
        <v>0</v>
      </c>
      <c r="V38" s="1">
        <f>MAX($B38,$D38,$F38,$H38,$J38,$L38,$N38,$P38)</f>
        <v>0</v>
      </c>
      <c r="W38" s="1">
        <f>MAX($C38,$E38,$G38,$I38,$K38,$M38,$O38,$Q38)</f>
        <v>0</v>
      </c>
    </row>
    <row r="39" spans="1:23">
      <c r="A39" s="1" t="s">
        <v>36</v>
      </c>
      <c r="B39" s="3">
        <v>51.43</v>
      </c>
      <c r="C39" s="2">
        <v>0</v>
      </c>
      <c r="D39" s="1"/>
      <c r="E39" s="2"/>
      <c r="F39" s="1"/>
      <c r="G39" s="2"/>
      <c r="H39" s="5">
        <v>3.05</v>
      </c>
      <c r="I39" s="2">
        <v>0</v>
      </c>
      <c r="J39" s="1"/>
      <c r="K39" s="2"/>
      <c r="L39" s="1"/>
      <c r="M39" s="2"/>
      <c r="N39" s="1"/>
      <c r="O39" s="2"/>
      <c r="P39" s="1"/>
      <c r="Q39" s="2"/>
      <c r="R39" s="1">
        <f>MIN($B39,$D39,$F39,$H39,$J39,$L39,$N39,$P39)</f>
        <v>0</v>
      </c>
      <c r="S39" s="1">
        <f>MIN($C39,$E39,$G39,$I39,$K39,$M39,$O39,$Q39)</f>
        <v>0</v>
      </c>
      <c r="T39" s="1">
        <f>MEDIAN($B39,$D39,$F39,$H39,$J39,$L39,$N39,$P39)</f>
        <v>0</v>
      </c>
      <c r="U39" s="1">
        <f>MEDIAN($C39,$E39,$G39,$I39,$K39,$M39,$O39,$Q39)</f>
        <v>0</v>
      </c>
      <c r="V39" s="1">
        <f>MAX($B39,$D39,$F39,$H39,$J39,$L39,$N39,$P39)</f>
        <v>0</v>
      </c>
      <c r="W39" s="1">
        <f>MAX($C39,$E39,$G39,$I39,$K39,$M39,$O39,$Q39)</f>
        <v>0</v>
      </c>
    </row>
    <row r="40" spans="1:23">
      <c r="A40" s="1" t="s">
        <v>37</v>
      </c>
      <c r="B40" s="3">
        <v>50.4</v>
      </c>
      <c r="C40" s="2">
        <v>0</v>
      </c>
      <c r="D40" s="1"/>
      <c r="E40" s="2"/>
      <c r="F40" s="1"/>
      <c r="G40" s="2"/>
      <c r="H40" s="5">
        <v>2.81</v>
      </c>
      <c r="I40" s="2">
        <v>0</v>
      </c>
      <c r="J40" s="1"/>
      <c r="K40" s="2"/>
      <c r="L40" s="1"/>
      <c r="M40" s="2"/>
      <c r="N40" s="1"/>
      <c r="O40" s="2"/>
      <c r="P40" s="1"/>
      <c r="Q40" s="2"/>
      <c r="R40" s="1">
        <f>MIN($B40,$D40,$F40,$H40,$J40,$L40,$N40,$P40)</f>
        <v>0</v>
      </c>
      <c r="S40" s="1">
        <f>MIN($C40,$E40,$G40,$I40,$K40,$M40,$O40,$Q40)</f>
        <v>0</v>
      </c>
      <c r="T40" s="1">
        <f>MEDIAN($B40,$D40,$F40,$H40,$J40,$L40,$N40,$P40)</f>
        <v>0</v>
      </c>
      <c r="U40" s="1">
        <f>MEDIAN($C40,$E40,$G40,$I40,$K40,$M40,$O40,$Q40)</f>
        <v>0</v>
      </c>
      <c r="V40" s="1">
        <f>MAX($B40,$D40,$F40,$H40,$J40,$L40,$N40,$P40)</f>
        <v>0</v>
      </c>
      <c r="W40" s="1">
        <f>MAX($C40,$E40,$G40,$I40,$K40,$M40,$O40,$Q40)</f>
        <v>0</v>
      </c>
    </row>
    <row r="41" spans="1:23">
      <c r="A41" s="1" t="s">
        <v>38</v>
      </c>
      <c r="B41" s="3">
        <v>50.82</v>
      </c>
      <c r="C41" s="2">
        <v>0</v>
      </c>
      <c r="D41" s="1"/>
      <c r="E41" s="2"/>
      <c r="F41" s="1"/>
      <c r="G41" s="2"/>
      <c r="H41" s="5">
        <v>3.66</v>
      </c>
      <c r="I41" s="2">
        <v>0</v>
      </c>
      <c r="J41" s="1"/>
      <c r="K41" s="2"/>
      <c r="L41" s="1"/>
      <c r="M41" s="2"/>
      <c r="N41" s="1"/>
      <c r="O41" s="2"/>
      <c r="P41" s="1"/>
      <c r="Q41" s="2"/>
      <c r="R41" s="1">
        <f>MIN($B41,$D41,$F41,$H41,$J41,$L41,$N41,$P41)</f>
        <v>0</v>
      </c>
      <c r="S41" s="1">
        <f>MIN($C41,$E41,$G41,$I41,$K41,$M41,$O41,$Q41)</f>
        <v>0</v>
      </c>
      <c r="T41" s="1">
        <f>MEDIAN($B41,$D41,$F41,$H41,$J41,$L41,$N41,$P41)</f>
        <v>0</v>
      </c>
      <c r="U41" s="1">
        <f>MEDIAN($C41,$E41,$G41,$I41,$K41,$M41,$O41,$Q41)</f>
        <v>0</v>
      </c>
      <c r="V41" s="1">
        <f>MAX($B41,$D41,$F41,$H41,$J41,$L41,$N41,$P41)</f>
        <v>0</v>
      </c>
      <c r="W41" s="1">
        <f>MAX($C41,$E41,$G41,$I41,$K41,$M41,$O41,$Q41)</f>
        <v>0</v>
      </c>
    </row>
    <row r="42" spans="1:23">
      <c r="A42" s="1" t="s">
        <v>39</v>
      </c>
      <c r="B42" s="3">
        <v>1200</v>
      </c>
      <c r="C42" s="4">
        <v>1</v>
      </c>
      <c r="D42" s="1"/>
      <c r="E42" s="2"/>
      <c r="F42" s="1"/>
      <c r="G42" s="2"/>
      <c r="H42" s="5">
        <v>6.51</v>
      </c>
      <c r="I42" s="6">
        <v>0</v>
      </c>
      <c r="J42" s="1"/>
      <c r="K42" s="2"/>
      <c r="L42" s="1"/>
      <c r="M42" s="2"/>
      <c r="N42" s="1"/>
      <c r="O42" s="2"/>
      <c r="P42" s="1"/>
      <c r="Q42" s="2"/>
      <c r="R42" s="1">
        <f>MIN($B42,$D42,$F42,$H42,$J42,$L42,$N42,$P42)</f>
        <v>0</v>
      </c>
      <c r="S42" s="1">
        <f>MIN($C42,$E42,$G42,$I42,$K42,$M42,$O42,$Q42)</f>
        <v>0</v>
      </c>
      <c r="T42" s="1">
        <f>MEDIAN($B42,$D42,$F42,$H42,$J42,$L42,$N42,$P42)</f>
        <v>0</v>
      </c>
      <c r="U42" s="1">
        <f>MEDIAN($C42,$E42,$G42,$I42,$K42,$M42,$O42,$Q42)</f>
        <v>0</v>
      </c>
      <c r="V42" s="1">
        <f>MAX($B42,$D42,$F42,$H42,$J42,$L42,$N42,$P42)</f>
        <v>0</v>
      </c>
      <c r="W42" s="1">
        <f>MAX($C42,$E42,$G42,$I42,$K42,$M42,$O42,$Q42)</f>
        <v>0</v>
      </c>
    </row>
    <row r="43" spans="1:23">
      <c r="A43" s="1" t="s">
        <v>0</v>
      </c>
      <c r="B43" s="1"/>
      <c r="C43" s="2"/>
      <c r="D43" s="1">
        <v>1200</v>
      </c>
      <c r="E43" s="2">
        <v>1</v>
      </c>
      <c r="F43" s="1">
        <v>1200</v>
      </c>
      <c r="G43" s="2">
        <v>1</v>
      </c>
      <c r="H43" s="1"/>
      <c r="I43" s="2"/>
      <c r="J43" s="1">
        <v>1200</v>
      </c>
      <c r="K43" s="2">
        <v>1</v>
      </c>
      <c r="L43" s="1">
        <v>1200</v>
      </c>
      <c r="M43" s="2">
        <v>1</v>
      </c>
      <c r="N43" s="1">
        <v>1200</v>
      </c>
      <c r="O43" s="2">
        <v>1</v>
      </c>
      <c r="P43" s="1">
        <v>1200</v>
      </c>
      <c r="Q43" s="2">
        <v>1</v>
      </c>
      <c r="R43" s="1">
        <f>MIN($B43,$D43,$F43,$H43,$J43,$L43,$N43,$P43)</f>
        <v>0</v>
      </c>
      <c r="S43" s="1">
        <f>MIN($C43,$E43,$G43,$I43,$K43,$M43,$O43,$Q43)</f>
        <v>0</v>
      </c>
      <c r="T43" s="1">
        <f>MEDIAN($B43,$D43,$F43,$H43,$J43,$L43,$N43,$P43)</f>
        <v>0</v>
      </c>
      <c r="U43" s="1">
        <f>MEDIAN($C43,$E43,$G43,$I43,$K43,$M43,$O43,$Q43)</f>
        <v>0</v>
      </c>
      <c r="V43" s="1">
        <f>MAX($B43,$D43,$F43,$H43,$J43,$L43,$N43,$P43)</f>
        <v>0</v>
      </c>
      <c r="W43" s="1">
        <f>MAX($C43,$E43,$G43,$I43,$K43,$M43,$O43,$Q43)</f>
        <v>0</v>
      </c>
    </row>
    <row r="44" spans="1:23">
      <c r="A44" s="1" t="s">
        <v>1</v>
      </c>
      <c r="B44" s="1"/>
      <c r="C44" s="2"/>
      <c r="D44" s="3">
        <v>227.35</v>
      </c>
      <c r="E44" s="2">
        <v>0</v>
      </c>
      <c r="F44" s="1">
        <v>153.66</v>
      </c>
      <c r="G44" s="2">
        <v>0</v>
      </c>
      <c r="H44" s="1"/>
      <c r="I44" s="2"/>
      <c r="J44" s="1">
        <v>5.05</v>
      </c>
      <c r="K44" s="2">
        <v>0</v>
      </c>
      <c r="L44" s="1">
        <v>3.2</v>
      </c>
      <c r="M44" s="2">
        <v>0</v>
      </c>
      <c r="N44" s="1">
        <v>1.53</v>
      </c>
      <c r="O44" s="2">
        <v>0</v>
      </c>
      <c r="P44" s="5">
        <v>1.29</v>
      </c>
      <c r="Q44" s="2">
        <v>0</v>
      </c>
      <c r="R44" s="1">
        <f>MIN($B44,$D44,$F44,$H44,$J44,$L44,$N44,$P44)</f>
        <v>0</v>
      </c>
      <c r="S44" s="1">
        <f>MIN($C44,$E44,$G44,$I44,$K44,$M44,$O44,$Q44)</f>
        <v>0</v>
      </c>
      <c r="T44" s="1">
        <f>MEDIAN($B44,$D44,$F44,$H44,$J44,$L44,$N44,$P44)</f>
        <v>0</v>
      </c>
      <c r="U44" s="1">
        <f>MEDIAN($C44,$E44,$G44,$I44,$K44,$M44,$O44,$Q44)</f>
        <v>0</v>
      </c>
      <c r="V44" s="1">
        <f>MAX($B44,$D44,$F44,$H44,$J44,$L44,$N44,$P44)</f>
        <v>0</v>
      </c>
      <c r="W44" s="1">
        <f>MAX($C44,$E44,$G44,$I44,$K44,$M44,$O44,$Q44)</f>
        <v>0</v>
      </c>
    </row>
    <row r="45" spans="1:23">
      <c r="A45" s="1" t="s">
        <v>2</v>
      </c>
      <c r="B45" s="1"/>
      <c r="C45" s="2"/>
      <c r="D45" s="1">
        <v>1200</v>
      </c>
      <c r="E45" s="2">
        <v>1</v>
      </c>
      <c r="F45" s="1">
        <v>1200</v>
      </c>
      <c r="G45" s="2">
        <v>1</v>
      </c>
      <c r="H45" s="1"/>
      <c r="I45" s="2"/>
      <c r="J45" s="1">
        <v>1200</v>
      </c>
      <c r="K45" s="2">
        <v>1</v>
      </c>
      <c r="L45" s="1">
        <v>1200</v>
      </c>
      <c r="M45" s="2">
        <v>1</v>
      </c>
      <c r="N45" s="1">
        <v>1200</v>
      </c>
      <c r="O45" s="2">
        <v>1</v>
      </c>
      <c r="P45" s="1">
        <v>1200</v>
      </c>
      <c r="Q45" s="2">
        <v>1</v>
      </c>
      <c r="R45" s="1">
        <f>MIN($B45,$D45,$F45,$H45,$J45,$L45,$N45,$P45)</f>
        <v>0</v>
      </c>
      <c r="S45" s="1">
        <f>MIN($C45,$E45,$G45,$I45,$K45,$M45,$O45,$Q45)</f>
        <v>0</v>
      </c>
      <c r="T45" s="1">
        <f>MEDIAN($B45,$D45,$F45,$H45,$J45,$L45,$N45,$P45)</f>
        <v>0</v>
      </c>
      <c r="U45" s="1">
        <f>MEDIAN($C45,$E45,$G45,$I45,$K45,$M45,$O45,$Q45)</f>
        <v>0</v>
      </c>
      <c r="V45" s="1">
        <f>MAX($B45,$D45,$F45,$H45,$J45,$L45,$N45,$P45)</f>
        <v>0</v>
      </c>
      <c r="W45" s="1">
        <f>MAX($C45,$E45,$G45,$I45,$K45,$M45,$O45,$Q45)</f>
        <v>0</v>
      </c>
    </row>
    <row r="46" spans="1:23">
      <c r="A46" s="1" t="s">
        <v>3</v>
      </c>
      <c r="B46" s="1"/>
      <c r="C46" s="2"/>
      <c r="D46" s="1">
        <v>1200</v>
      </c>
      <c r="E46" s="2">
        <v>1</v>
      </c>
      <c r="F46" s="1">
        <v>1200</v>
      </c>
      <c r="G46" s="2">
        <v>1</v>
      </c>
      <c r="H46" s="1"/>
      <c r="I46" s="2"/>
      <c r="J46" s="1">
        <v>14.3</v>
      </c>
      <c r="K46" s="6">
        <v>0</v>
      </c>
      <c r="L46" s="5">
        <v>9.76</v>
      </c>
      <c r="M46" s="6">
        <v>0</v>
      </c>
      <c r="N46" s="1">
        <v>1200</v>
      </c>
      <c r="O46" s="2">
        <v>1</v>
      </c>
      <c r="P46" s="1">
        <v>1200</v>
      </c>
      <c r="Q46" s="2">
        <v>1</v>
      </c>
      <c r="R46" s="1">
        <f>MIN($B46,$D46,$F46,$H46,$J46,$L46,$N46,$P46)</f>
        <v>0</v>
      </c>
      <c r="S46" s="1">
        <f>MIN($C46,$E46,$G46,$I46,$K46,$M46,$O46,$Q46)</f>
        <v>0</v>
      </c>
      <c r="T46" s="1">
        <f>MEDIAN($B46,$D46,$F46,$H46,$J46,$L46,$N46,$P46)</f>
        <v>0</v>
      </c>
      <c r="U46" s="1">
        <f>MEDIAN($C46,$E46,$G46,$I46,$K46,$M46,$O46,$Q46)</f>
        <v>0</v>
      </c>
      <c r="V46" s="1">
        <f>MAX($B46,$D46,$F46,$H46,$J46,$L46,$N46,$P46)</f>
        <v>0</v>
      </c>
      <c r="W46" s="1">
        <f>MAX($C46,$E46,$G46,$I46,$K46,$M46,$O46,$Q46)</f>
        <v>0</v>
      </c>
    </row>
    <row r="47" spans="1:23">
      <c r="A47" s="1" t="s">
        <v>4</v>
      </c>
      <c r="B47" s="1"/>
      <c r="C47" s="2"/>
      <c r="D47" s="3">
        <v>1110.63</v>
      </c>
      <c r="E47" s="2">
        <v>0</v>
      </c>
      <c r="F47" s="1">
        <v>775.85</v>
      </c>
      <c r="G47" s="2">
        <v>0</v>
      </c>
      <c r="H47" s="1"/>
      <c r="I47" s="2"/>
      <c r="J47" s="1">
        <v>14.49</v>
      </c>
      <c r="K47" s="2">
        <v>0</v>
      </c>
      <c r="L47" s="5">
        <v>7.69</v>
      </c>
      <c r="M47" s="2">
        <v>0</v>
      </c>
      <c r="N47" s="1">
        <v>232.06</v>
      </c>
      <c r="O47" s="2">
        <v>0</v>
      </c>
      <c r="P47" s="1">
        <v>215.78</v>
      </c>
      <c r="Q47" s="2">
        <v>0</v>
      </c>
      <c r="R47" s="1">
        <f>MIN($B47,$D47,$F47,$H47,$J47,$L47,$N47,$P47)</f>
        <v>0</v>
      </c>
      <c r="S47" s="1">
        <f>MIN($C47,$E47,$G47,$I47,$K47,$M47,$O47,$Q47)</f>
        <v>0</v>
      </c>
      <c r="T47" s="1">
        <f>MEDIAN($B47,$D47,$F47,$H47,$J47,$L47,$N47,$P47)</f>
        <v>0</v>
      </c>
      <c r="U47" s="1">
        <f>MEDIAN($C47,$E47,$G47,$I47,$K47,$M47,$O47,$Q47)</f>
        <v>0</v>
      </c>
      <c r="V47" s="1">
        <f>MAX($B47,$D47,$F47,$H47,$J47,$L47,$N47,$P47)</f>
        <v>0</v>
      </c>
      <c r="W47" s="1">
        <f>MAX($C47,$E47,$G47,$I47,$K47,$M47,$O47,$Q47)</f>
        <v>0</v>
      </c>
    </row>
    <row r="48" spans="1:23">
      <c r="A48" s="1" t="s">
        <v>5</v>
      </c>
      <c r="B48" s="1"/>
      <c r="C48" s="2"/>
      <c r="D48" s="1">
        <v>1200</v>
      </c>
      <c r="E48" s="2">
        <v>1</v>
      </c>
      <c r="F48" s="1">
        <v>1200</v>
      </c>
      <c r="G48" s="2">
        <v>1</v>
      </c>
      <c r="H48" s="1"/>
      <c r="I48" s="2"/>
      <c r="J48" s="1">
        <v>1200</v>
      </c>
      <c r="K48" s="2">
        <v>1</v>
      </c>
      <c r="L48" s="1">
        <v>1200</v>
      </c>
      <c r="M48" s="2">
        <v>1</v>
      </c>
      <c r="N48" s="1">
        <v>1200</v>
      </c>
      <c r="O48" s="2">
        <v>1</v>
      </c>
      <c r="P48" s="1">
        <v>1200</v>
      </c>
      <c r="Q48" s="2">
        <v>1</v>
      </c>
      <c r="R48" s="1">
        <f>MIN($B48,$D48,$F48,$H48,$J48,$L48,$N48,$P48)</f>
        <v>0</v>
      </c>
      <c r="S48" s="1">
        <f>MIN($C48,$E48,$G48,$I48,$K48,$M48,$O48,$Q48)</f>
        <v>0</v>
      </c>
      <c r="T48" s="1">
        <f>MEDIAN($B48,$D48,$F48,$H48,$J48,$L48,$N48,$P48)</f>
        <v>0</v>
      </c>
      <c r="U48" s="1">
        <f>MEDIAN($C48,$E48,$G48,$I48,$K48,$M48,$O48,$Q48)</f>
        <v>0</v>
      </c>
      <c r="V48" s="1">
        <f>MAX($B48,$D48,$F48,$H48,$J48,$L48,$N48,$P48)</f>
        <v>0</v>
      </c>
      <c r="W48" s="1">
        <f>MAX($C48,$E48,$G48,$I48,$K48,$M48,$O48,$Q48)</f>
        <v>0</v>
      </c>
    </row>
    <row r="49" spans="1:23">
      <c r="A49" s="1" t="s">
        <v>6</v>
      </c>
      <c r="B49" s="1"/>
      <c r="C49" s="2"/>
      <c r="D49" s="1">
        <v>219.1</v>
      </c>
      <c r="E49" s="2">
        <v>0</v>
      </c>
      <c r="F49" s="3">
        <v>219.73</v>
      </c>
      <c r="G49" s="2">
        <v>0</v>
      </c>
      <c r="H49" s="1"/>
      <c r="I49" s="2"/>
      <c r="J49" s="5">
        <v>5.02</v>
      </c>
      <c r="K49" s="2">
        <v>0</v>
      </c>
      <c r="L49" s="1">
        <v>5.23</v>
      </c>
      <c r="M49" s="2">
        <v>0</v>
      </c>
      <c r="N49" s="1">
        <v>191.3</v>
      </c>
      <c r="O49" s="2">
        <v>0</v>
      </c>
      <c r="P49" s="1">
        <v>184.33</v>
      </c>
      <c r="Q49" s="2">
        <v>0</v>
      </c>
      <c r="R49" s="1">
        <f>MIN($B49,$D49,$F49,$H49,$J49,$L49,$N49,$P49)</f>
        <v>0</v>
      </c>
      <c r="S49" s="1">
        <f>MIN($C49,$E49,$G49,$I49,$K49,$M49,$O49,$Q49)</f>
        <v>0</v>
      </c>
      <c r="T49" s="1">
        <f>MEDIAN($B49,$D49,$F49,$H49,$J49,$L49,$N49,$P49)</f>
        <v>0</v>
      </c>
      <c r="U49" s="1">
        <f>MEDIAN($C49,$E49,$G49,$I49,$K49,$M49,$O49,$Q49)</f>
        <v>0</v>
      </c>
      <c r="V49" s="1">
        <f>MAX($B49,$D49,$F49,$H49,$J49,$L49,$N49,$P49)</f>
        <v>0</v>
      </c>
      <c r="W49" s="1">
        <f>MAX($C49,$E49,$G49,$I49,$K49,$M49,$O49,$Q49)</f>
        <v>0</v>
      </c>
    </row>
    <row r="50" spans="1:23">
      <c r="A50" s="1" t="s">
        <v>7</v>
      </c>
      <c r="B50" s="1"/>
      <c r="C50" s="2"/>
      <c r="D50" s="1">
        <v>1200</v>
      </c>
      <c r="E50" s="2">
        <v>1</v>
      </c>
      <c r="F50" s="1">
        <v>1200</v>
      </c>
      <c r="G50" s="2">
        <v>1</v>
      </c>
      <c r="H50" s="1"/>
      <c r="I50" s="2"/>
      <c r="J50" s="1">
        <v>1200</v>
      </c>
      <c r="K50" s="2">
        <v>1</v>
      </c>
      <c r="L50" s="5">
        <v>41.18</v>
      </c>
      <c r="M50" s="6">
        <v>0</v>
      </c>
      <c r="N50" s="1">
        <v>1200</v>
      </c>
      <c r="O50" s="2">
        <v>1</v>
      </c>
      <c r="P50" s="1">
        <v>1200</v>
      </c>
      <c r="Q50" s="2">
        <v>1</v>
      </c>
      <c r="R50" s="1">
        <f>MIN($B50,$D50,$F50,$H50,$J50,$L50,$N50,$P50)</f>
        <v>0</v>
      </c>
      <c r="S50" s="1">
        <f>MIN($C50,$E50,$G50,$I50,$K50,$M50,$O50,$Q50)</f>
        <v>0</v>
      </c>
      <c r="T50" s="1">
        <f>MEDIAN($B50,$D50,$F50,$H50,$J50,$L50,$N50,$P50)</f>
        <v>0</v>
      </c>
      <c r="U50" s="1">
        <f>MEDIAN($C50,$E50,$G50,$I50,$K50,$M50,$O50,$Q50)</f>
        <v>0</v>
      </c>
      <c r="V50" s="1">
        <f>MAX($B50,$D50,$F50,$H50,$J50,$L50,$N50,$P50)</f>
        <v>0</v>
      </c>
      <c r="W50" s="1">
        <f>MAX($C50,$E50,$G50,$I50,$K50,$M50,$O50,$Q50)</f>
        <v>0</v>
      </c>
    </row>
    <row r="51" spans="1:23">
      <c r="A51" s="1" t="s">
        <v>8</v>
      </c>
      <c r="B51" s="1"/>
      <c r="C51" s="2"/>
      <c r="D51" s="1">
        <v>1200</v>
      </c>
      <c r="E51" s="2">
        <v>1</v>
      </c>
      <c r="F51" s="1">
        <v>1200</v>
      </c>
      <c r="G51" s="2">
        <v>1</v>
      </c>
      <c r="H51" s="1"/>
      <c r="I51" s="2"/>
      <c r="J51" s="1">
        <v>16.28</v>
      </c>
      <c r="K51" s="6">
        <v>0</v>
      </c>
      <c r="L51" s="5">
        <v>14.51</v>
      </c>
      <c r="M51" s="6">
        <v>0</v>
      </c>
      <c r="N51" s="1">
        <v>1200</v>
      </c>
      <c r="O51" s="2">
        <v>1</v>
      </c>
      <c r="P51" s="1">
        <v>1200</v>
      </c>
      <c r="Q51" s="2">
        <v>1</v>
      </c>
      <c r="R51" s="1">
        <f>MIN($B51,$D51,$F51,$H51,$J51,$L51,$N51,$P51)</f>
        <v>0</v>
      </c>
      <c r="S51" s="1">
        <f>MIN($C51,$E51,$G51,$I51,$K51,$M51,$O51,$Q51)</f>
        <v>0</v>
      </c>
      <c r="T51" s="1">
        <f>MEDIAN($B51,$D51,$F51,$H51,$J51,$L51,$N51,$P51)</f>
        <v>0</v>
      </c>
      <c r="U51" s="1">
        <f>MEDIAN($C51,$E51,$G51,$I51,$K51,$M51,$O51,$Q51)</f>
        <v>0</v>
      </c>
      <c r="V51" s="1">
        <f>MAX($B51,$D51,$F51,$H51,$J51,$L51,$N51,$P51)</f>
        <v>0</v>
      </c>
      <c r="W51" s="1">
        <f>MAX($C51,$E51,$G51,$I51,$K51,$M51,$O51,$Q51)</f>
        <v>0</v>
      </c>
    </row>
    <row r="52" spans="1:23">
      <c r="A52" s="1" t="s">
        <v>9</v>
      </c>
      <c r="B52" s="1"/>
      <c r="C52" s="2"/>
      <c r="D52" s="1">
        <v>86.38</v>
      </c>
      <c r="E52" s="2">
        <v>0</v>
      </c>
      <c r="F52" s="3">
        <v>91.36</v>
      </c>
      <c r="G52" s="2">
        <v>0</v>
      </c>
      <c r="H52" s="1"/>
      <c r="I52" s="2"/>
      <c r="J52" s="1">
        <v>1.76</v>
      </c>
      <c r="K52" s="2">
        <v>0</v>
      </c>
      <c r="L52" s="1">
        <v>1.81</v>
      </c>
      <c r="M52" s="2">
        <v>0</v>
      </c>
      <c r="N52" s="1">
        <v>1.37</v>
      </c>
      <c r="O52" s="2">
        <v>0</v>
      </c>
      <c r="P52" s="5">
        <v>1.19</v>
      </c>
      <c r="Q52" s="2">
        <v>0</v>
      </c>
      <c r="R52" s="1">
        <f>MIN($B52,$D52,$F52,$H52,$J52,$L52,$N52,$P52)</f>
        <v>0</v>
      </c>
      <c r="S52" s="1">
        <f>MIN($C52,$E52,$G52,$I52,$K52,$M52,$O52,$Q52)</f>
        <v>0</v>
      </c>
      <c r="T52" s="1">
        <f>MEDIAN($B52,$D52,$F52,$H52,$J52,$L52,$N52,$P52)</f>
        <v>0</v>
      </c>
      <c r="U52" s="1">
        <f>MEDIAN($C52,$E52,$G52,$I52,$K52,$M52,$O52,$Q52)</f>
        <v>0</v>
      </c>
      <c r="V52" s="1">
        <f>MAX($B52,$D52,$F52,$H52,$J52,$L52,$N52,$P52)</f>
        <v>0</v>
      </c>
      <c r="W52" s="1">
        <f>MAX($C52,$E52,$G52,$I52,$K52,$M52,$O52,$Q52)</f>
        <v>0</v>
      </c>
    </row>
    <row r="53" spans="1:23">
      <c r="A53" s="1" t="s">
        <v>10</v>
      </c>
      <c r="B53" s="1"/>
      <c r="C53" s="2"/>
      <c r="D53" s="1">
        <v>1200</v>
      </c>
      <c r="E53" s="2">
        <v>1</v>
      </c>
      <c r="F53" s="1">
        <v>1200</v>
      </c>
      <c r="G53" s="2">
        <v>1</v>
      </c>
      <c r="H53" s="1"/>
      <c r="I53" s="2"/>
      <c r="J53" s="5">
        <v>16.28</v>
      </c>
      <c r="K53" s="6">
        <v>0</v>
      </c>
      <c r="L53" s="1">
        <v>21.88</v>
      </c>
      <c r="M53" s="6">
        <v>0</v>
      </c>
      <c r="N53" s="1">
        <v>1200</v>
      </c>
      <c r="O53" s="2">
        <v>1</v>
      </c>
      <c r="P53" s="1">
        <v>1200</v>
      </c>
      <c r="Q53" s="2">
        <v>1</v>
      </c>
      <c r="R53" s="1">
        <f>MIN($B53,$D53,$F53,$H53,$J53,$L53,$N53,$P53)</f>
        <v>0</v>
      </c>
      <c r="S53" s="1">
        <f>MIN($C53,$E53,$G53,$I53,$K53,$M53,$O53,$Q53)</f>
        <v>0</v>
      </c>
      <c r="T53" s="1">
        <f>MEDIAN($B53,$D53,$F53,$H53,$J53,$L53,$N53,$P53)</f>
        <v>0</v>
      </c>
      <c r="U53" s="1">
        <f>MEDIAN($C53,$E53,$G53,$I53,$K53,$M53,$O53,$Q53)</f>
        <v>0</v>
      </c>
      <c r="V53" s="1">
        <f>MAX($B53,$D53,$F53,$H53,$J53,$L53,$N53,$P53)</f>
        <v>0</v>
      </c>
      <c r="W53" s="1">
        <f>MAX($C53,$E53,$G53,$I53,$K53,$M53,$O53,$Q53)</f>
        <v>0</v>
      </c>
    </row>
    <row r="54" spans="1:23">
      <c r="A54" s="1" t="s">
        <v>11</v>
      </c>
      <c r="B54" s="1"/>
      <c r="C54" s="2"/>
      <c r="D54" s="3">
        <v>444.8</v>
      </c>
      <c r="E54" s="2">
        <v>0</v>
      </c>
      <c r="F54" s="1">
        <v>398.19</v>
      </c>
      <c r="G54" s="2">
        <v>0</v>
      </c>
      <c r="H54" s="1"/>
      <c r="I54" s="2"/>
      <c r="J54" s="1">
        <v>2.44</v>
      </c>
      <c r="K54" s="2">
        <v>0</v>
      </c>
      <c r="L54" s="1">
        <v>1.92</v>
      </c>
      <c r="M54" s="2">
        <v>0</v>
      </c>
      <c r="N54" s="5">
        <v>1.38</v>
      </c>
      <c r="O54" s="2">
        <v>0</v>
      </c>
      <c r="P54" s="1">
        <v>1.39</v>
      </c>
      <c r="Q54" s="2">
        <v>0</v>
      </c>
      <c r="R54" s="1">
        <f>MIN($B54,$D54,$F54,$H54,$J54,$L54,$N54,$P54)</f>
        <v>0</v>
      </c>
      <c r="S54" s="1">
        <f>MIN($C54,$E54,$G54,$I54,$K54,$M54,$O54,$Q54)</f>
        <v>0</v>
      </c>
      <c r="T54" s="1">
        <f>MEDIAN($B54,$D54,$F54,$H54,$J54,$L54,$N54,$P54)</f>
        <v>0</v>
      </c>
      <c r="U54" s="1">
        <f>MEDIAN($C54,$E54,$G54,$I54,$K54,$M54,$O54,$Q54)</f>
        <v>0</v>
      </c>
      <c r="V54" s="1">
        <f>MAX($B54,$D54,$F54,$H54,$J54,$L54,$N54,$P54)</f>
        <v>0</v>
      </c>
      <c r="W54" s="1">
        <f>MAX($C54,$E54,$G54,$I54,$K54,$M54,$O54,$Q54)</f>
        <v>0</v>
      </c>
    </row>
    <row r="55" spans="1:23">
      <c r="A55" s="1" t="s">
        <v>12</v>
      </c>
      <c r="B55" s="1"/>
      <c r="C55" s="2"/>
      <c r="D55" s="3">
        <v>1200</v>
      </c>
      <c r="E55" s="4">
        <v>1</v>
      </c>
      <c r="F55" s="3">
        <v>1200</v>
      </c>
      <c r="G55" s="4">
        <v>1</v>
      </c>
      <c r="H55" s="1"/>
      <c r="I55" s="2"/>
      <c r="J55" s="1">
        <v>15.3</v>
      </c>
      <c r="K55" s="2">
        <v>0</v>
      </c>
      <c r="L55" s="5">
        <v>7.46</v>
      </c>
      <c r="M55" s="2">
        <v>0</v>
      </c>
      <c r="N55" s="1">
        <v>194.47</v>
      </c>
      <c r="O55" s="2">
        <v>0</v>
      </c>
      <c r="P55" s="1">
        <v>187.24</v>
      </c>
      <c r="Q55" s="2">
        <v>0</v>
      </c>
      <c r="R55" s="1">
        <f>MIN($B55,$D55,$F55,$H55,$J55,$L55,$N55,$P55)</f>
        <v>0</v>
      </c>
      <c r="S55" s="1">
        <f>MIN($C55,$E55,$G55,$I55,$K55,$M55,$O55,$Q55)</f>
        <v>0</v>
      </c>
      <c r="T55" s="1">
        <f>MEDIAN($B55,$D55,$F55,$H55,$J55,$L55,$N55,$P55)</f>
        <v>0</v>
      </c>
      <c r="U55" s="1">
        <f>MEDIAN($C55,$E55,$G55,$I55,$K55,$M55,$O55,$Q55)</f>
        <v>0</v>
      </c>
      <c r="V55" s="1">
        <f>MAX($B55,$D55,$F55,$H55,$J55,$L55,$N55,$P55)</f>
        <v>0</v>
      </c>
      <c r="W55" s="1">
        <f>MAX($C55,$E55,$G55,$I55,$K55,$M55,$O55,$Q55)</f>
        <v>0</v>
      </c>
    </row>
    <row r="56" spans="1:23">
      <c r="A56" s="1" t="s">
        <v>13</v>
      </c>
      <c r="B56" s="1"/>
      <c r="C56" s="2"/>
      <c r="D56" s="1">
        <v>1200</v>
      </c>
      <c r="E56" s="2">
        <v>1</v>
      </c>
      <c r="F56" s="1">
        <v>1200</v>
      </c>
      <c r="G56" s="2">
        <v>1</v>
      </c>
      <c r="H56" s="1"/>
      <c r="I56" s="2"/>
      <c r="J56" s="1">
        <v>1200</v>
      </c>
      <c r="K56" s="2">
        <v>1</v>
      </c>
      <c r="L56" s="1">
        <v>1200</v>
      </c>
      <c r="M56" s="2">
        <v>1</v>
      </c>
      <c r="N56" s="1">
        <v>1200</v>
      </c>
      <c r="O56" s="2">
        <v>1</v>
      </c>
      <c r="P56" s="1">
        <v>1200</v>
      </c>
      <c r="Q56" s="2">
        <v>1</v>
      </c>
      <c r="R56" s="1">
        <f>MIN($B56,$D56,$F56,$H56,$J56,$L56,$N56,$P56)</f>
        <v>0</v>
      </c>
      <c r="S56" s="1">
        <f>MIN($C56,$E56,$G56,$I56,$K56,$M56,$O56,$Q56)</f>
        <v>0</v>
      </c>
      <c r="T56" s="1">
        <f>MEDIAN($B56,$D56,$F56,$H56,$J56,$L56,$N56,$P56)</f>
        <v>0</v>
      </c>
      <c r="U56" s="1">
        <f>MEDIAN($C56,$E56,$G56,$I56,$K56,$M56,$O56,$Q56)</f>
        <v>0</v>
      </c>
      <c r="V56" s="1">
        <f>MAX($B56,$D56,$F56,$H56,$J56,$L56,$N56,$P56)</f>
        <v>0</v>
      </c>
      <c r="W56" s="1">
        <f>MAX($C56,$E56,$G56,$I56,$K56,$M56,$O56,$Q56)</f>
        <v>0</v>
      </c>
    </row>
    <row r="57" spans="1:23">
      <c r="A57" s="1" t="s">
        <v>14</v>
      </c>
      <c r="B57" s="1"/>
      <c r="C57" s="2"/>
      <c r="D57" s="1">
        <v>1200</v>
      </c>
      <c r="E57" s="2">
        <v>1</v>
      </c>
      <c r="F57" s="1">
        <v>1200</v>
      </c>
      <c r="G57" s="2">
        <v>1</v>
      </c>
      <c r="H57" s="1"/>
      <c r="I57" s="2"/>
      <c r="J57" s="1">
        <v>13.83</v>
      </c>
      <c r="K57" s="6">
        <v>0</v>
      </c>
      <c r="L57" s="5">
        <v>10.41</v>
      </c>
      <c r="M57" s="6">
        <v>0</v>
      </c>
      <c r="N57" s="1">
        <v>1200</v>
      </c>
      <c r="O57" s="2">
        <v>1</v>
      </c>
      <c r="P57" s="1">
        <v>1200</v>
      </c>
      <c r="Q57" s="2">
        <v>1</v>
      </c>
      <c r="R57" s="1">
        <f>MIN($B57,$D57,$F57,$H57,$J57,$L57,$N57,$P57)</f>
        <v>0</v>
      </c>
      <c r="S57" s="1">
        <f>MIN($C57,$E57,$G57,$I57,$K57,$M57,$O57,$Q57)</f>
        <v>0</v>
      </c>
      <c r="T57" s="1">
        <f>MEDIAN($B57,$D57,$F57,$H57,$J57,$L57,$N57,$P57)</f>
        <v>0</v>
      </c>
      <c r="U57" s="1">
        <f>MEDIAN($C57,$E57,$G57,$I57,$K57,$M57,$O57,$Q57)</f>
        <v>0</v>
      </c>
      <c r="V57" s="1">
        <f>MAX($B57,$D57,$F57,$H57,$J57,$L57,$N57,$P57)</f>
        <v>0</v>
      </c>
      <c r="W57" s="1">
        <f>MAX($C57,$E57,$G57,$I57,$K57,$M57,$O57,$Q57)</f>
        <v>0</v>
      </c>
    </row>
    <row r="58" spans="1:23">
      <c r="A58" s="1" t="s">
        <v>15</v>
      </c>
      <c r="B58" s="1"/>
      <c r="C58" s="2"/>
      <c r="D58" s="1">
        <v>1200</v>
      </c>
      <c r="E58" s="2">
        <v>1</v>
      </c>
      <c r="F58" s="1">
        <v>1200</v>
      </c>
      <c r="G58" s="2">
        <v>1</v>
      </c>
      <c r="H58" s="1"/>
      <c r="I58" s="2"/>
      <c r="J58" s="1">
        <v>14.11</v>
      </c>
      <c r="K58" s="6">
        <v>0</v>
      </c>
      <c r="L58" s="5">
        <v>9.98</v>
      </c>
      <c r="M58" s="6">
        <v>0</v>
      </c>
      <c r="N58" s="1">
        <v>1200</v>
      </c>
      <c r="O58" s="2">
        <v>1</v>
      </c>
      <c r="P58" s="1">
        <v>1200</v>
      </c>
      <c r="Q58" s="2">
        <v>1</v>
      </c>
      <c r="R58" s="1">
        <f>MIN($B58,$D58,$F58,$H58,$J58,$L58,$N58,$P58)</f>
        <v>0</v>
      </c>
      <c r="S58" s="1">
        <f>MIN($C58,$E58,$G58,$I58,$K58,$M58,$O58,$Q58)</f>
        <v>0</v>
      </c>
      <c r="T58" s="1">
        <f>MEDIAN($B58,$D58,$F58,$H58,$J58,$L58,$N58,$P58)</f>
        <v>0</v>
      </c>
      <c r="U58" s="1">
        <f>MEDIAN($C58,$E58,$G58,$I58,$K58,$M58,$O58,$Q58)</f>
        <v>0</v>
      </c>
      <c r="V58" s="1">
        <f>MAX($B58,$D58,$F58,$H58,$J58,$L58,$N58,$P58)</f>
        <v>0</v>
      </c>
      <c r="W58" s="1">
        <f>MAX($C58,$E58,$G58,$I58,$K58,$M58,$O58,$Q58)</f>
        <v>0</v>
      </c>
    </row>
    <row r="59" spans="1:23">
      <c r="A59" s="1" t="s">
        <v>16</v>
      </c>
      <c r="B59" s="1"/>
      <c r="C59" s="2"/>
      <c r="D59" s="1">
        <v>1200</v>
      </c>
      <c r="E59" s="2">
        <v>1</v>
      </c>
      <c r="F59" s="1">
        <v>1200</v>
      </c>
      <c r="G59" s="2">
        <v>1</v>
      </c>
      <c r="H59" s="1"/>
      <c r="I59" s="2"/>
      <c r="J59" s="5">
        <v>137.47</v>
      </c>
      <c r="K59" s="6">
        <v>0</v>
      </c>
      <c r="L59" s="1">
        <v>1200</v>
      </c>
      <c r="M59" s="2">
        <v>1</v>
      </c>
      <c r="N59" s="1">
        <v>1200</v>
      </c>
      <c r="O59" s="2">
        <v>1</v>
      </c>
      <c r="P59" s="1">
        <v>1200</v>
      </c>
      <c r="Q59" s="2">
        <v>1</v>
      </c>
      <c r="R59" s="1">
        <f>MIN($B59,$D59,$F59,$H59,$J59,$L59,$N59,$P59)</f>
        <v>0</v>
      </c>
      <c r="S59" s="1">
        <f>MIN($C59,$E59,$G59,$I59,$K59,$M59,$O59,$Q59)</f>
        <v>0</v>
      </c>
      <c r="T59" s="1">
        <f>MEDIAN($B59,$D59,$F59,$H59,$J59,$L59,$N59,$P59)</f>
        <v>0</v>
      </c>
      <c r="U59" s="1">
        <f>MEDIAN($C59,$E59,$G59,$I59,$K59,$M59,$O59,$Q59)</f>
        <v>0</v>
      </c>
      <c r="V59" s="1">
        <f>MAX($B59,$D59,$F59,$H59,$J59,$L59,$N59,$P59)</f>
        <v>0</v>
      </c>
      <c r="W59" s="1">
        <f>MAX($C59,$E59,$G59,$I59,$K59,$M59,$O59,$Q59)</f>
        <v>0</v>
      </c>
    </row>
    <row r="60" spans="1:23">
      <c r="A60" s="1" t="s">
        <v>17</v>
      </c>
      <c r="B60" s="1"/>
      <c r="C60" s="2"/>
      <c r="D60" s="1">
        <v>397.17</v>
      </c>
      <c r="E60" s="2">
        <v>0</v>
      </c>
      <c r="F60" s="3">
        <v>416.93</v>
      </c>
      <c r="G60" s="2">
        <v>0</v>
      </c>
      <c r="H60" s="1"/>
      <c r="I60" s="2"/>
      <c r="J60" s="1">
        <v>1.92</v>
      </c>
      <c r="K60" s="2">
        <v>0</v>
      </c>
      <c r="L60" s="1">
        <v>2.12</v>
      </c>
      <c r="M60" s="2">
        <v>0</v>
      </c>
      <c r="N60" s="1">
        <v>1.45</v>
      </c>
      <c r="O60" s="2">
        <v>0</v>
      </c>
      <c r="P60" s="5">
        <v>1.29</v>
      </c>
      <c r="Q60" s="2">
        <v>0</v>
      </c>
      <c r="R60" s="1">
        <f>MIN($B60,$D60,$F60,$H60,$J60,$L60,$N60,$P60)</f>
        <v>0</v>
      </c>
      <c r="S60" s="1">
        <f>MIN($C60,$E60,$G60,$I60,$K60,$M60,$O60,$Q60)</f>
        <v>0</v>
      </c>
      <c r="T60" s="1">
        <f>MEDIAN($B60,$D60,$F60,$H60,$J60,$L60,$N60,$P60)</f>
        <v>0</v>
      </c>
      <c r="U60" s="1">
        <f>MEDIAN($C60,$E60,$G60,$I60,$K60,$M60,$O60,$Q60)</f>
        <v>0</v>
      </c>
      <c r="V60" s="1">
        <f>MAX($B60,$D60,$F60,$H60,$J60,$L60,$N60,$P60)</f>
        <v>0</v>
      </c>
      <c r="W60" s="1">
        <f>MAX($C60,$E60,$G60,$I60,$K60,$M60,$O60,$Q60)</f>
        <v>0</v>
      </c>
    </row>
    <row r="61" spans="1:23">
      <c r="A61" s="1" t="s">
        <v>18</v>
      </c>
      <c r="B61" s="1"/>
      <c r="C61" s="2"/>
      <c r="D61" s="1">
        <v>195.61</v>
      </c>
      <c r="E61" s="2">
        <v>0</v>
      </c>
      <c r="F61" s="3">
        <v>196.72</v>
      </c>
      <c r="G61" s="2">
        <v>0</v>
      </c>
      <c r="H61" s="1"/>
      <c r="I61" s="2"/>
      <c r="J61" s="5">
        <v>0.8100000000000001</v>
      </c>
      <c r="K61" s="2">
        <v>0</v>
      </c>
      <c r="L61" s="1">
        <v>1.15</v>
      </c>
      <c r="M61" s="2">
        <v>0</v>
      </c>
      <c r="N61" s="1">
        <v>1.22</v>
      </c>
      <c r="O61" s="2">
        <v>0</v>
      </c>
      <c r="P61" s="1">
        <v>1.22</v>
      </c>
      <c r="Q61" s="2">
        <v>0</v>
      </c>
      <c r="R61" s="1">
        <f>MIN($B61,$D61,$F61,$H61,$J61,$L61,$N61,$P61)</f>
        <v>0</v>
      </c>
      <c r="S61" s="1">
        <f>MIN($C61,$E61,$G61,$I61,$K61,$M61,$O61,$Q61)</f>
        <v>0</v>
      </c>
      <c r="T61" s="1">
        <f>MEDIAN($B61,$D61,$F61,$H61,$J61,$L61,$N61,$P61)</f>
        <v>0</v>
      </c>
      <c r="U61" s="1">
        <f>MEDIAN($C61,$E61,$G61,$I61,$K61,$M61,$O61,$Q61)</f>
        <v>0</v>
      </c>
      <c r="V61" s="1">
        <f>MAX($B61,$D61,$F61,$H61,$J61,$L61,$N61,$P61)</f>
        <v>0</v>
      </c>
      <c r="W61" s="1">
        <f>MAX($C61,$E61,$G61,$I61,$K61,$M61,$O61,$Q61)</f>
        <v>0</v>
      </c>
    </row>
    <row r="62" spans="1:23">
      <c r="A62" s="1" t="s">
        <v>19</v>
      </c>
      <c r="B62" s="1"/>
      <c r="C62" s="2"/>
      <c r="D62" s="3">
        <v>1200</v>
      </c>
      <c r="E62" s="4">
        <v>1</v>
      </c>
      <c r="F62" s="3">
        <v>1200</v>
      </c>
      <c r="G62" s="4">
        <v>1</v>
      </c>
      <c r="H62" s="1"/>
      <c r="I62" s="2"/>
      <c r="J62" s="1">
        <v>13.89</v>
      </c>
      <c r="K62" s="2">
        <v>0</v>
      </c>
      <c r="L62" s="5">
        <v>7.06</v>
      </c>
      <c r="M62" s="2">
        <v>0</v>
      </c>
      <c r="N62" s="1">
        <v>186.92</v>
      </c>
      <c r="O62" s="2">
        <v>0</v>
      </c>
      <c r="P62" s="1">
        <v>188</v>
      </c>
      <c r="Q62" s="2">
        <v>0</v>
      </c>
      <c r="R62" s="1">
        <f>MIN($B62,$D62,$F62,$H62,$J62,$L62,$N62,$P62)</f>
        <v>0</v>
      </c>
      <c r="S62" s="1">
        <f>MIN($C62,$E62,$G62,$I62,$K62,$M62,$O62,$Q62)</f>
        <v>0</v>
      </c>
      <c r="T62" s="1">
        <f>MEDIAN($B62,$D62,$F62,$H62,$J62,$L62,$N62,$P62)</f>
        <v>0</v>
      </c>
      <c r="U62" s="1">
        <f>MEDIAN($C62,$E62,$G62,$I62,$K62,$M62,$O62,$Q62)</f>
        <v>0</v>
      </c>
      <c r="V62" s="1">
        <f>MAX($B62,$D62,$F62,$H62,$J62,$L62,$N62,$P62)</f>
        <v>0</v>
      </c>
      <c r="W62" s="1">
        <f>MAX($C62,$E62,$G62,$I62,$K62,$M62,$O62,$Q62)</f>
        <v>0</v>
      </c>
    </row>
    <row r="63" spans="1:23">
      <c r="A63" s="1" t="s">
        <v>20</v>
      </c>
      <c r="B63" s="1"/>
      <c r="C63" s="2"/>
      <c r="D63" s="1">
        <v>1200</v>
      </c>
      <c r="E63" s="2">
        <v>1</v>
      </c>
      <c r="F63" s="1">
        <v>1200</v>
      </c>
      <c r="G63" s="2">
        <v>1</v>
      </c>
      <c r="H63" s="1"/>
      <c r="I63" s="2"/>
      <c r="J63" s="1">
        <v>1200</v>
      </c>
      <c r="K63" s="2">
        <v>1</v>
      </c>
      <c r="L63" s="1">
        <v>1200</v>
      </c>
      <c r="M63" s="2">
        <v>1</v>
      </c>
      <c r="N63" s="1">
        <v>1200</v>
      </c>
      <c r="O63" s="2">
        <v>1</v>
      </c>
      <c r="P63" s="1">
        <v>1200</v>
      </c>
      <c r="Q63" s="2">
        <v>1</v>
      </c>
      <c r="R63" s="1">
        <f>MIN($B63,$D63,$F63,$H63,$J63,$L63,$N63,$P63)</f>
        <v>0</v>
      </c>
      <c r="S63" s="1">
        <f>MIN($C63,$E63,$G63,$I63,$K63,$M63,$O63,$Q63)</f>
        <v>0</v>
      </c>
      <c r="T63" s="1">
        <f>MEDIAN($B63,$D63,$F63,$H63,$J63,$L63,$N63,$P63)</f>
        <v>0</v>
      </c>
      <c r="U63" s="1">
        <f>MEDIAN($C63,$E63,$G63,$I63,$K63,$M63,$O63,$Q63)</f>
        <v>0</v>
      </c>
      <c r="V63" s="1">
        <f>MAX($B63,$D63,$F63,$H63,$J63,$L63,$N63,$P63)</f>
        <v>0</v>
      </c>
      <c r="W63" s="1">
        <f>MAX($C63,$E63,$G63,$I63,$K63,$M63,$O63,$Q63)</f>
        <v>0</v>
      </c>
    </row>
    <row r="64" spans="1:23">
      <c r="A64" s="1" t="s">
        <v>21</v>
      </c>
      <c r="B64" s="1"/>
      <c r="C64" s="2"/>
      <c r="D64" s="1">
        <v>1200</v>
      </c>
      <c r="E64" s="2">
        <v>1</v>
      </c>
      <c r="F64" s="1">
        <v>1200</v>
      </c>
      <c r="G64" s="2">
        <v>1</v>
      </c>
      <c r="H64" s="1"/>
      <c r="I64" s="2"/>
      <c r="J64" s="1">
        <v>1200</v>
      </c>
      <c r="K64" s="2">
        <v>1</v>
      </c>
      <c r="L64" s="1">
        <v>1200</v>
      </c>
      <c r="M64" s="2">
        <v>1</v>
      </c>
      <c r="N64" s="1">
        <v>1200</v>
      </c>
      <c r="O64" s="2">
        <v>1</v>
      </c>
      <c r="P64" s="1">
        <v>1200</v>
      </c>
      <c r="Q64" s="2">
        <v>1</v>
      </c>
      <c r="R64" s="1">
        <f>MIN($B64,$D64,$F64,$H64,$J64,$L64,$N64,$P64)</f>
        <v>0</v>
      </c>
      <c r="S64" s="1">
        <f>MIN($C64,$E64,$G64,$I64,$K64,$M64,$O64,$Q64)</f>
        <v>0</v>
      </c>
      <c r="T64" s="1">
        <f>MEDIAN($B64,$D64,$F64,$H64,$J64,$L64,$N64,$P64)</f>
        <v>0</v>
      </c>
      <c r="U64" s="1">
        <f>MEDIAN($C64,$E64,$G64,$I64,$K64,$M64,$O64,$Q64)</f>
        <v>0</v>
      </c>
      <c r="V64" s="1">
        <f>MAX($B64,$D64,$F64,$H64,$J64,$L64,$N64,$P64)</f>
        <v>0</v>
      </c>
      <c r="W64" s="1">
        <f>MAX($C64,$E64,$G64,$I64,$K64,$M64,$O64,$Q64)</f>
        <v>0</v>
      </c>
    </row>
    <row r="65" spans="1:23">
      <c r="A65" s="1" t="s">
        <v>22</v>
      </c>
      <c r="B65" s="1"/>
      <c r="C65" s="2"/>
      <c r="D65" s="3">
        <v>1200</v>
      </c>
      <c r="E65" s="4">
        <v>1</v>
      </c>
      <c r="F65" s="3">
        <v>1200</v>
      </c>
      <c r="G65" s="4">
        <v>1</v>
      </c>
      <c r="H65" s="1"/>
      <c r="I65" s="2"/>
      <c r="J65" s="1">
        <v>14.77</v>
      </c>
      <c r="K65" s="2">
        <v>0</v>
      </c>
      <c r="L65" s="5">
        <v>7.57</v>
      </c>
      <c r="M65" s="2">
        <v>0</v>
      </c>
      <c r="N65" s="1">
        <v>201.55</v>
      </c>
      <c r="O65" s="2">
        <v>0</v>
      </c>
      <c r="P65" s="1">
        <v>189.54</v>
      </c>
      <c r="Q65" s="2">
        <v>0</v>
      </c>
      <c r="R65" s="1">
        <f>MIN($B65,$D65,$F65,$H65,$J65,$L65,$N65,$P65)</f>
        <v>0</v>
      </c>
      <c r="S65" s="1">
        <f>MIN($C65,$E65,$G65,$I65,$K65,$M65,$O65,$Q65)</f>
        <v>0</v>
      </c>
      <c r="T65" s="1">
        <f>MEDIAN($B65,$D65,$F65,$H65,$J65,$L65,$N65,$P65)</f>
        <v>0</v>
      </c>
      <c r="U65" s="1">
        <f>MEDIAN($C65,$E65,$G65,$I65,$K65,$M65,$O65,$Q65)</f>
        <v>0</v>
      </c>
      <c r="V65" s="1">
        <f>MAX($B65,$D65,$F65,$H65,$J65,$L65,$N65,$P65)</f>
        <v>0</v>
      </c>
      <c r="W65" s="1">
        <f>MAX($C65,$E65,$G65,$I65,$K65,$M65,$O65,$Q65)</f>
        <v>0</v>
      </c>
    </row>
    <row r="66" spans="1:23">
      <c r="A66" s="1" t="s">
        <v>23</v>
      </c>
      <c r="B66" s="1"/>
      <c r="C66" s="2"/>
      <c r="D66" s="1">
        <v>1194.76</v>
      </c>
      <c r="E66" s="2">
        <v>0</v>
      </c>
      <c r="F66" s="3">
        <v>1200</v>
      </c>
      <c r="G66" s="4">
        <v>1</v>
      </c>
      <c r="H66" s="1"/>
      <c r="I66" s="2"/>
      <c r="J66" s="1">
        <v>1.91</v>
      </c>
      <c r="K66" s="2">
        <v>0</v>
      </c>
      <c r="L66" s="1">
        <v>1.95</v>
      </c>
      <c r="M66" s="2">
        <v>0</v>
      </c>
      <c r="N66" s="5">
        <v>1.34</v>
      </c>
      <c r="O66" s="2">
        <v>0</v>
      </c>
      <c r="P66" s="1">
        <v>1.73</v>
      </c>
      <c r="Q66" s="2">
        <v>0</v>
      </c>
      <c r="R66" s="1">
        <f>MIN($B66,$D66,$F66,$H66,$J66,$L66,$N66,$P66)</f>
        <v>0</v>
      </c>
      <c r="S66" s="1">
        <f>MIN($C66,$E66,$G66,$I66,$K66,$M66,$O66,$Q66)</f>
        <v>0</v>
      </c>
      <c r="T66" s="1">
        <f>MEDIAN($B66,$D66,$F66,$H66,$J66,$L66,$N66,$P66)</f>
        <v>0</v>
      </c>
      <c r="U66" s="1">
        <f>MEDIAN($C66,$E66,$G66,$I66,$K66,$M66,$O66,$Q66)</f>
        <v>0</v>
      </c>
      <c r="V66" s="1">
        <f>MAX($B66,$D66,$F66,$H66,$J66,$L66,$N66,$P66)</f>
        <v>0</v>
      </c>
      <c r="W66" s="1">
        <f>MAX($C66,$E66,$G66,$I66,$K66,$M66,$O66,$Q66)</f>
        <v>0</v>
      </c>
    </row>
    <row r="67" spans="1:23">
      <c r="A67" s="1" t="s">
        <v>24</v>
      </c>
      <c r="B67" s="1"/>
      <c r="C67" s="2"/>
      <c r="D67" s="1">
        <v>1200</v>
      </c>
      <c r="E67" s="2">
        <v>1</v>
      </c>
      <c r="F67" s="1">
        <v>1200</v>
      </c>
      <c r="G67" s="2">
        <v>1</v>
      </c>
      <c r="H67" s="1"/>
      <c r="I67" s="2"/>
      <c r="J67" s="1">
        <v>1200</v>
      </c>
      <c r="K67" s="2">
        <v>1</v>
      </c>
      <c r="L67" s="1">
        <v>1200</v>
      </c>
      <c r="M67" s="2">
        <v>1</v>
      </c>
      <c r="N67" s="1">
        <v>1200</v>
      </c>
      <c r="O67" s="2">
        <v>1</v>
      </c>
      <c r="P67" s="1">
        <v>1200</v>
      </c>
      <c r="Q67" s="2">
        <v>1</v>
      </c>
      <c r="R67" s="1">
        <f>MIN($B67,$D67,$F67,$H67,$J67,$L67,$N67,$P67)</f>
        <v>0</v>
      </c>
      <c r="S67" s="1">
        <f>MIN($C67,$E67,$G67,$I67,$K67,$M67,$O67,$Q67)</f>
        <v>0</v>
      </c>
      <c r="T67" s="1">
        <f>MEDIAN($B67,$D67,$F67,$H67,$J67,$L67,$N67,$P67)</f>
        <v>0</v>
      </c>
      <c r="U67" s="1">
        <f>MEDIAN($C67,$E67,$G67,$I67,$K67,$M67,$O67,$Q67)</f>
        <v>0</v>
      </c>
      <c r="V67" s="1">
        <f>MAX($B67,$D67,$F67,$H67,$J67,$L67,$N67,$P67)</f>
        <v>0</v>
      </c>
      <c r="W67" s="1">
        <f>MAX($C67,$E67,$G67,$I67,$K67,$M67,$O67,$Q67)</f>
        <v>0</v>
      </c>
    </row>
    <row r="68" spans="1:23">
      <c r="A68" s="1" t="s">
        <v>25</v>
      </c>
      <c r="B68" s="1"/>
      <c r="C68" s="2"/>
      <c r="D68" s="1">
        <v>1200</v>
      </c>
      <c r="E68" s="2">
        <v>1</v>
      </c>
      <c r="F68" s="1">
        <v>1200</v>
      </c>
      <c r="G68" s="2">
        <v>1</v>
      </c>
      <c r="H68" s="1"/>
      <c r="I68" s="2"/>
      <c r="J68" s="1">
        <v>1200</v>
      </c>
      <c r="K68" s="2">
        <v>1</v>
      </c>
      <c r="L68" s="1">
        <v>1200</v>
      </c>
      <c r="M68" s="2">
        <v>1</v>
      </c>
      <c r="N68" s="1">
        <v>1200</v>
      </c>
      <c r="O68" s="2">
        <v>1</v>
      </c>
      <c r="P68" s="1">
        <v>1200</v>
      </c>
      <c r="Q68" s="2">
        <v>1</v>
      </c>
      <c r="R68" s="1">
        <f>MIN($B68,$D68,$F68,$H68,$J68,$L68,$N68,$P68)</f>
        <v>0</v>
      </c>
      <c r="S68" s="1">
        <f>MIN($C68,$E68,$G68,$I68,$K68,$M68,$O68,$Q68)</f>
        <v>0</v>
      </c>
      <c r="T68" s="1">
        <f>MEDIAN($B68,$D68,$F68,$H68,$J68,$L68,$N68,$P68)</f>
        <v>0</v>
      </c>
      <c r="U68" s="1">
        <f>MEDIAN($C68,$E68,$G68,$I68,$K68,$M68,$O68,$Q68)</f>
        <v>0</v>
      </c>
      <c r="V68" s="1">
        <f>MAX($B68,$D68,$F68,$H68,$J68,$L68,$N68,$P68)</f>
        <v>0</v>
      </c>
      <c r="W68" s="1">
        <f>MAX($C68,$E68,$G68,$I68,$K68,$M68,$O68,$Q68)</f>
        <v>0</v>
      </c>
    </row>
    <row r="69" spans="1:23">
      <c r="A69" s="1" t="s">
        <v>26</v>
      </c>
      <c r="B69" s="1"/>
      <c r="C69" s="2"/>
      <c r="D69" s="1">
        <v>1200</v>
      </c>
      <c r="E69" s="2">
        <v>1</v>
      </c>
      <c r="F69" s="1">
        <v>1200</v>
      </c>
      <c r="G69" s="2">
        <v>1</v>
      </c>
      <c r="H69" s="1"/>
      <c r="I69" s="2"/>
      <c r="J69" s="5">
        <v>44.3</v>
      </c>
      <c r="K69" s="6">
        <v>0</v>
      </c>
      <c r="L69" s="1">
        <v>1200</v>
      </c>
      <c r="M69" s="2">
        <v>1</v>
      </c>
      <c r="N69" s="1">
        <v>1200</v>
      </c>
      <c r="O69" s="2">
        <v>1</v>
      </c>
      <c r="P69" s="1">
        <v>1200</v>
      </c>
      <c r="Q69" s="2">
        <v>1</v>
      </c>
      <c r="R69" s="1">
        <f>MIN($B69,$D69,$F69,$H69,$J69,$L69,$N69,$P69)</f>
        <v>0</v>
      </c>
      <c r="S69" s="1">
        <f>MIN($C69,$E69,$G69,$I69,$K69,$M69,$O69,$Q69)</f>
        <v>0</v>
      </c>
      <c r="T69" s="1">
        <f>MEDIAN($B69,$D69,$F69,$H69,$J69,$L69,$N69,$P69)</f>
        <v>0</v>
      </c>
      <c r="U69" s="1">
        <f>MEDIAN($C69,$E69,$G69,$I69,$K69,$M69,$O69,$Q69)</f>
        <v>0</v>
      </c>
      <c r="V69" s="1">
        <f>MAX($B69,$D69,$F69,$H69,$J69,$L69,$N69,$P69)</f>
        <v>0</v>
      </c>
      <c r="W69" s="1">
        <f>MAX($C69,$E69,$G69,$I69,$K69,$M69,$O69,$Q69)</f>
        <v>0</v>
      </c>
    </row>
    <row r="70" spans="1:23">
      <c r="A70" s="1" t="s">
        <v>27</v>
      </c>
      <c r="B70" s="1"/>
      <c r="C70" s="2"/>
      <c r="D70" s="3">
        <v>1200</v>
      </c>
      <c r="E70" s="4">
        <v>1</v>
      </c>
      <c r="F70" s="3">
        <v>1200</v>
      </c>
      <c r="G70" s="4">
        <v>1</v>
      </c>
      <c r="H70" s="1"/>
      <c r="I70" s="2"/>
      <c r="J70" s="1">
        <v>5.09</v>
      </c>
      <c r="K70" s="2">
        <v>0</v>
      </c>
      <c r="L70" s="1">
        <v>3.16</v>
      </c>
      <c r="M70" s="2">
        <v>0</v>
      </c>
      <c r="N70" s="1">
        <v>1.23</v>
      </c>
      <c r="O70" s="2">
        <v>0</v>
      </c>
      <c r="P70" s="5">
        <v>1.18</v>
      </c>
      <c r="Q70" s="2">
        <v>0</v>
      </c>
      <c r="R70" s="1">
        <f>MIN($B70,$D70,$F70,$H70,$J70,$L70,$N70,$P70)</f>
        <v>0</v>
      </c>
      <c r="S70" s="1">
        <f>MIN($C70,$E70,$G70,$I70,$K70,$M70,$O70,$Q70)</f>
        <v>0</v>
      </c>
      <c r="T70" s="1">
        <f>MEDIAN($B70,$D70,$F70,$H70,$J70,$L70,$N70,$P70)</f>
        <v>0</v>
      </c>
      <c r="U70" s="1">
        <f>MEDIAN($C70,$E70,$G70,$I70,$K70,$M70,$O70,$Q70)</f>
        <v>0</v>
      </c>
      <c r="V70" s="1">
        <f>MAX($B70,$D70,$F70,$H70,$J70,$L70,$N70,$P70)</f>
        <v>0</v>
      </c>
      <c r="W70" s="1">
        <f>MAX($C70,$E70,$G70,$I70,$K70,$M70,$O70,$Q70)</f>
        <v>0</v>
      </c>
    </row>
    <row r="71" spans="1:23">
      <c r="A71" s="1" t="s">
        <v>28</v>
      </c>
      <c r="B71" s="1"/>
      <c r="C71" s="2"/>
      <c r="D71" s="1">
        <v>1200</v>
      </c>
      <c r="E71" s="2">
        <v>1</v>
      </c>
      <c r="F71" s="1">
        <v>1200</v>
      </c>
      <c r="G71" s="2">
        <v>1</v>
      </c>
      <c r="H71" s="1"/>
      <c r="I71" s="2"/>
      <c r="J71" s="1">
        <v>1200</v>
      </c>
      <c r="K71" s="2">
        <v>1</v>
      </c>
      <c r="L71" s="1">
        <v>1200</v>
      </c>
      <c r="M71" s="2">
        <v>1</v>
      </c>
      <c r="N71" s="1">
        <v>1200</v>
      </c>
      <c r="O71" s="2">
        <v>1</v>
      </c>
      <c r="P71" s="1">
        <v>1200</v>
      </c>
      <c r="Q71" s="2">
        <v>1</v>
      </c>
      <c r="R71" s="1">
        <f>MIN($B71,$D71,$F71,$H71,$J71,$L71,$N71,$P71)</f>
        <v>0</v>
      </c>
      <c r="S71" s="1">
        <f>MIN($C71,$E71,$G71,$I71,$K71,$M71,$O71,$Q71)</f>
        <v>0</v>
      </c>
      <c r="T71" s="1">
        <f>MEDIAN($B71,$D71,$F71,$H71,$J71,$L71,$N71,$P71)</f>
        <v>0</v>
      </c>
      <c r="U71" s="1">
        <f>MEDIAN($C71,$E71,$G71,$I71,$K71,$M71,$O71,$Q71)</f>
        <v>0</v>
      </c>
      <c r="V71" s="1">
        <f>MAX($B71,$D71,$F71,$H71,$J71,$L71,$N71,$P71)</f>
        <v>0</v>
      </c>
      <c r="W71" s="1">
        <f>MAX($C71,$E71,$G71,$I71,$K71,$M71,$O71,$Q71)</f>
        <v>0</v>
      </c>
    </row>
    <row r="72" spans="1:23">
      <c r="A72" s="1" t="s">
        <v>29</v>
      </c>
      <c r="B72" s="1"/>
      <c r="C72" s="2"/>
      <c r="D72" s="1">
        <v>1200</v>
      </c>
      <c r="E72" s="2">
        <v>1</v>
      </c>
      <c r="F72" s="1">
        <v>1200</v>
      </c>
      <c r="G72" s="2">
        <v>1</v>
      </c>
      <c r="H72" s="1"/>
      <c r="I72" s="2"/>
      <c r="J72" s="1">
        <v>1200</v>
      </c>
      <c r="K72" s="2">
        <v>1</v>
      </c>
      <c r="L72" s="1">
        <v>1200</v>
      </c>
      <c r="M72" s="2">
        <v>1</v>
      </c>
      <c r="N72" s="1">
        <v>1200</v>
      </c>
      <c r="O72" s="2">
        <v>1</v>
      </c>
      <c r="P72" s="1">
        <v>1200</v>
      </c>
      <c r="Q72" s="2">
        <v>1</v>
      </c>
      <c r="R72" s="1">
        <f>MIN($B72,$D72,$F72,$H72,$J72,$L72,$N72,$P72)</f>
        <v>0</v>
      </c>
      <c r="S72" s="1">
        <f>MIN($C72,$E72,$G72,$I72,$K72,$M72,$O72,$Q72)</f>
        <v>0</v>
      </c>
      <c r="T72" s="1">
        <f>MEDIAN($B72,$D72,$F72,$H72,$J72,$L72,$N72,$P72)</f>
        <v>0</v>
      </c>
      <c r="U72" s="1">
        <f>MEDIAN($C72,$E72,$G72,$I72,$K72,$M72,$O72,$Q72)</f>
        <v>0</v>
      </c>
      <c r="V72" s="1">
        <f>MAX($B72,$D72,$F72,$H72,$J72,$L72,$N72,$P72)</f>
        <v>0</v>
      </c>
      <c r="W72" s="1">
        <f>MAX($C72,$E72,$G72,$I72,$K72,$M72,$O72,$Q72)</f>
        <v>0</v>
      </c>
    </row>
    <row r="73" spans="1:23">
      <c r="A73" s="1" t="s">
        <v>30</v>
      </c>
      <c r="B73" s="1"/>
      <c r="C73" s="2"/>
      <c r="D73" s="3">
        <v>4.15</v>
      </c>
      <c r="E73" s="2">
        <v>0</v>
      </c>
      <c r="F73" s="1">
        <v>4.04</v>
      </c>
      <c r="G73" s="2">
        <v>0</v>
      </c>
      <c r="H73" s="1"/>
      <c r="I73" s="2"/>
      <c r="J73" s="1">
        <v>0.9399999999999999</v>
      </c>
      <c r="K73" s="2">
        <v>0</v>
      </c>
      <c r="L73" s="5">
        <v>0.93</v>
      </c>
      <c r="M73" s="2">
        <v>0</v>
      </c>
      <c r="N73" s="1">
        <v>1.28</v>
      </c>
      <c r="O73" s="2">
        <v>0</v>
      </c>
      <c r="P73" s="1">
        <v>1.48</v>
      </c>
      <c r="Q73" s="2">
        <v>0</v>
      </c>
      <c r="R73" s="1">
        <f>MIN($B73,$D73,$F73,$H73,$J73,$L73,$N73,$P73)</f>
        <v>0</v>
      </c>
      <c r="S73" s="1">
        <f>MIN($C73,$E73,$G73,$I73,$K73,$M73,$O73,$Q73)</f>
        <v>0</v>
      </c>
      <c r="T73" s="1">
        <f>MEDIAN($B73,$D73,$F73,$H73,$J73,$L73,$N73,$P73)</f>
        <v>0</v>
      </c>
      <c r="U73" s="1">
        <f>MEDIAN($C73,$E73,$G73,$I73,$K73,$M73,$O73,$Q73)</f>
        <v>0</v>
      </c>
      <c r="V73" s="1">
        <f>MAX($B73,$D73,$F73,$H73,$J73,$L73,$N73,$P73)</f>
        <v>0</v>
      </c>
      <c r="W73" s="1">
        <f>MAX($C73,$E73,$G73,$I73,$K73,$M73,$O73,$Q73)</f>
        <v>0</v>
      </c>
    </row>
    <row r="74" spans="1:23">
      <c r="A74" s="1" t="s">
        <v>31</v>
      </c>
      <c r="B74" s="1"/>
      <c r="C74" s="2"/>
      <c r="D74" s="1">
        <v>1200</v>
      </c>
      <c r="E74" s="2">
        <v>1</v>
      </c>
      <c r="F74" s="1">
        <v>1200</v>
      </c>
      <c r="G74" s="2">
        <v>1</v>
      </c>
      <c r="H74" s="1"/>
      <c r="I74" s="2"/>
      <c r="J74" s="1">
        <v>1200</v>
      </c>
      <c r="K74" s="2">
        <v>1</v>
      </c>
      <c r="L74" s="1">
        <v>1200</v>
      </c>
      <c r="M74" s="2">
        <v>1</v>
      </c>
      <c r="N74" s="1">
        <v>1200</v>
      </c>
      <c r="O74" s="2">
        <v>1</v>
      </c>
      <c r="P74" s="1">
        <v>1200</v>
      </c>
      <c r="Q74" s="2">
        <v>1</v>
      </c>
      <c r="R74" s="1">
        <f>MIN($B74,$D74,$F74,$H74,$J74,$L74,$N74,$P74)</f>
        <v>0</v>
      </c>
      <c r="S74" s="1">
        <f>MIN($C74,$E74,$G74,$I74,$K74,$M74,$O74,$Q74)</f>
        <v>0</v>
      </c>
      <c r="T74" s="1">
        <f>MEDIAN($B74,$D74,$F74,$H74,$J74,$L74,$N74,$P74)</f>
        <v>0</v>
      </c>
      <c r="U74" s="1">
        <f>MEDIAN($C74,$E74,$G74,$I74,$K74,$M74,$O74,$Q74)</f>
        <v>0</v>
      </c>
      <c r="V74" s="1">
        <f>MAX($B74,$D74,$F74,$H74,$J74,$L74,$N74,$P74)</f>
        <v>0</v>
      </c>
      <c r="W74" s="1">
        <f>MAX($C74,$E74,$G74,$I74,$K74,$M74,$O74,$Q74)</f>
        <v>0</v>
      </c>
    </row>
    <row r="75" spans="1:23">
      <c r="A75" s="1" t="s">
        <v>32</v>
      </c>
      <c r="B75" s="1"/>
      <c r="C75" s="2"/>
      <c r="D75" s="1">
        <v>4.04</v>
      </c>
      <c r="E75" s="2">
        <v>0</v>
      </c>
      <c r="F75" s="3">
        <v>4.05</v>
      </c>
      <c r="G75" s="2">
        <v>0</v>
      </c>
      <c r="H75" s="1"/>
      <c r="I75" s="2"/>
      <c r="J75" s="5">
        <v>0.8</v>
      </c>
      <c r="K75" s="2">
        <v>0</v>
      </c>
      <c r="L75" s="1">
        <v>0.82</v>
      </c>
      <c r="M75" s="2">
        <v>0</v>
      </c>
      <c r="N75" s="1">
        <v>1.06</v>
      </c>
      <c r="O75" s="2">
        <v>0</v>
      </c>
      <c r="P75" s="1">
        <v>1.57</v>
      </c>
      <c r="Q75" s="2">
        <v>0</v>
      </c>
      <c r="R75" s="1">
        <f>MIN($B75,$D75,$F75,$H75,$J75,$L75,$N75,$P75)</f>
        <v>0</v>
      </c>
      <c r="S75" s="1">
        <f>MIN($C75,$E75,$G75,$I75,$K75,$M75,$O75,$Q75)</f>
        <v>0</v>
      </c>
      <c r="T75" s="1">
        <f>MEDIAN($B75,$D75,$F75,$H75,$J75,$L75,$N75,$P75)</f>
        <v>0</v>
      </c>
      <c r="U75" s="1">
        <f>MEDIAN($C75,$E75,$G75,$I75,$K75,$M75,$O75,$Q75)</f>
        <v>0</v>
      </c>
      <c r="V75" s="1">
        <f>MAX($B75,$D75,$F75,$H75,$J75,$L75,$N75,$P75)</f>
        <v>0</v>
      </c>
      <c r="W75" s="1">
        <f>MAX($C75,$E75,$G75,$I75,$K75,$M75,$O75,$Q75)</f>
        <v>0</v>
      </c>
    </row>
    <row r="76" spans="1:23">
      <c r="A76" s="1" t="s">
        <v>33</v>
      </c>
      <c r="B76" s="1"/>
      <c r="C76" s="2"/>
      <c r="D76" s="3">
        <v>4.35</v>
      </c>
      <c r="E76" s="2">
        <v>0</v>
      </c>
      <c r="F76" s="1">
        <v>4.07</v>
      </c>
      <c r="G76" s="2">
        <v>0</v>
      </c>
      <c r="H76" s="1"/>
      <c r="I76" s="2"/>
      <c r="J76" s="5">
        <v>0.8</v>
      </c>
      <c r="K76" s="2">
        <v>0</v>
      </c>
      <c r="L76" s="1">
        <v>0.9399999999999999</v>
      </c>
      <c r="M76" s="2">
        <v>0</v>
      </c>
      <c r="N76" s="1">
        <v>1.25</v>
      </c>
      <c r="O76" s="2">
        <v>0</v>
      </c>
      <c r="P76" s="1">
        <v>1.71</v>
      </c>
      <c r="Q76" s="2">
        <v>0</v>
      </c>
      <c r="R76" s="1">
        <f>MIN($B76,$D76,$F76,$H76,$J76,$L76,$N76,$P76)</f>
        <v>0</v>
      </c>
      <c r="S76" s="1">
        <f>MIN($C76,$E76,$G76,$I76,$K76,$M76,$O76,$Q76)</f>
        <v>0</v>
      </c>
      <c r="T76" s="1">
        <f>MEDIAN($B76,$D76,$F76,$H76,$J76,$L76,$N76,$P76)</f>
        <v>0</v>
      </c>
      <c r="U76" s="1">
        <f>MEDIAN($C76,$E76,$G76,$I76,$K76,$M76,$O76,$Q76)</f>
        <v>0</v>
      </c>
      <c r="V76" s="1">
        <f>MAX($B76,$D76,$F76,$H76,$J76,$L76,$N76,$P76)</f>
        <v>0</v>
      </c>
      <c r="W76" s="1">
        <f>MAX($C76,$E76,$G76,$I76,$K76,$M76,$O76,$Q76)</f>
        <v>0</v>
      </c>
    </row>
    <row r="77" spans="1:23">
      <c r="A77" s="1" t="s">
        <v>34</v>
      </c>
      <c r="B77" s="1"/>
      <c r="C77" s="2"/>
      <c r="D77" s="1">
        <v>81.47</v>
      </c>
      <c r="E77" s="2">
        <v>0</v>
      </c>
      <c r="F77" s="1">
        <v>67.5</v>
      </c>
      <c r="G77" s="2">
        <v>0</v>
      </c>
      <c r="H77" s="1"/>
      <c r="I77" s="2"/>
      <c r="J77" s="5">
        <v>5</v>
      </c>
      <c r="K77" s="2">
        <v>0</v>
      </c>
      <c r="L77" s="1">
        <v>5.01</v>
      </c>
      <c r="M77" s="2">
        <v>0</v>
      </c>
      <c r="N77" s="1">
        <v>176.99</v>
      </c>
      <c r="O77" s="2">
        <v>0</v>
      </c>
      <c r="P77" s="3">
        <v>253.54</v>
      </c>
      <c r="Q77" s="2">
        <v>0</v>
      </c>
      <c r="R77" s="1">
        <f>MIN($B77,$D77,$F77,$H77,$J77,$L77,$N77,$P77)</f>
        <v>0</v>
      </c>
      <c r="S77" s="1">
        <f>MIN($C77,$E77,$G77,$I77,$K77,$M77,$O77,$Q77)</f>
        <v>0</v>
      </c>
      <c r="T77" s="1">
        <f>MEDIAN($B77,$D77,$F77,$H77,$J77,$L77,$N77,$P77)</f>
        <v>0</v>
      </c>
      <c r="U77" s="1">
        <f>MEDIAN($C77,$E77,$G77,$I77,$K77,$M77,$O77,$Q77)</f>
        <v>0</v>
      </c>
      <c r="V77" s="1">
        <f>MAX($B77,$D77,$F77,$H77,$J77,$L77,$N77,$P77)</f>
        <v>0</v>
      </c>
      <c r="W77" s="1">
        <f>MAX($C77,$E77,$G77,$I77,$K77,$M77,$O77,$Q77)</f>
        <v>0</v>
      </c>
    </row>
    <row r="78" spans="1:23">
      <c r="A78" s="1" t="s">
        <v>35</v>
      </c>
      <c r="B78" s="1"/>
      <c r="C78" s="2"/>
      <c r="D78" s="3">
        <v>11.7</v>
      </c>
      <c r="E78" s="2">
        <v>0</v>
      </c>
      <c r="F78" s="1">
        <v>11.44</v>
      </c>
      <c r="G78" s="2">
        <v>0</v>
      </c>
      <c r="H78" s="1"/>
      <c r="I78" s="2"/>
      <c r="J78" s="1">
        <v>1.73</v>
      </c>
      <c r="K78" s="2">
        <v>0</v>
      </c>
      <c r="L78" s="1">
        <v>1.73</v>
      </c>
      <c r="M78" s="2">
        <v>0</v>
      </c>
      <c r="N78" s="5">
        <v>1.17</v>
      </c>
      <c r="O78" s="2">
        <v>0</v>
      </c>
      <c r="P78" s="1">
        <v>1.46</v>
      </c>
      <c r="Q78" s="2">
        <v>0</v>
      </c>
      <c r="R78" s="1">
        <f>MIN($B78,$D78,$F78,$H78,$J78,$L78,$N78,$P78)</f>
        <v>0</v>
      </c>
      <c r="S78" s="1">
        <f>MIN($C78,$E78,$G78,$I78,$K78,$M78,$O78,$Q78)</f>
        <v>0</v>
      </c>
      <c r="T78" s="1">
        <f>MEDIAN($B78,$D78,$F78,$H78,$J78,$L78,$N78,$P78)</f>
        <v>0</v>
      </c>
      <c r="U78" s="1">
        <f>MEDIAN($C78,$E78,$G78,$I78,$K78,$M78,$O78,$Q78)</f>
        <v>0</v>
      </c>
      <c r="V78" s="1">
        <f>MAX($B78,$D78,$F78,$H78,$J78,$L78,$N78,$P78)</f>
        <v>0</v>
      </c>
      <c r="W78" s="1">
        <f>MAX($C78,$E78,$G78,$I78,$K78,$M78,$O78,$Q78)</f>
        <v>0</v>
      </c>
    </row>
    <row r="79" spans="1:23">
      <c r="A79" s="1" t="s">
        <v>36</v>
      </c>
      <c r="B79" s="1"/>
      <c r="C79" s="2"/>
      <c r="D79" s="1">
        <v>64.42</v>
      </c>
      <c r="E79" s="2">
        <v>0</v>
      </c>
      <c r="F79" s="1">
        <v>66.98999999999999</v>
      </c>
      <c r="G79" s="2">
        <v>0</v>
      </c>
      <c r="H79" s="1"/>
      <c r="I79" s="2"/>
      <c r="J79" s="5">
        <v>5.21</v>
      </c>
      <c r="K79" s="2">
        <v>0</v>
      </c>
      <c r="L79" s="1">
        <v>5.42</v>
      </c>
      <c r="M79" s="2">
        <v>0</v>
      </c>
      <c r="N79" s="1">
        <v>182.02</v>
      </c>
      <c r="O79" s="2">
        <v>0</v>
      </c>
      <c r="P79" s="3">
        <v>258.95</v>
      </c>
      <c r="Q79" s="2">
        <v>0</v>
      </c>
      <c r="R79" s="1">
        <f>MIN($B79,$D79,$F79,$H79,$J79,$L79,$N79,$P79)</f>
        <v>0</v>
      </c>
      <c r="S79" s="1">
        <f>MIN($C79,$E79,$G79,$I79,$K79,$M79,$O79,$Q79)</f>
        <v>0</v>
      </c>
      <c r="T79" s="1">
        <f>MEDIAN($B79,$D79,$F79,$H79,$J79,$L79,$N79,$P79)</f>
        <v>0</v>
      </c>
      <c r="U79" s="1">
        <f>MEDIAN($C79,$E79,$G79,$I79,$K79,$M79,$O79,$Q79)</f>
        <v>0</v>
      </c>
      <c r="V79" s="1">
        <f>MAX($B79,$D79,$F79,$H79,$J79,$L79,$N79,$P79)</f>
        <v>0</v>
      </c>
      <c r="W79" s="1">
        <f>MAX($C79,$E79,$G79,$I79,$K79,$M79,$O79,$Q79)</f>
        <v>0</v>
      </c>
    </row>
    <row r="80" spans="1:23">
      <c r="A80" s="1" t="s">
        <v>37</v>
      </c>
      <c r="B80" s="1"/>
      <c r="C80" s="2"/>
      <c r="D80" s="3">
        <v>11.56</v>
      </c>
      <c r="E80" s="2">
        <v>0</v>
      </c>
      <c r="F80" s="1">
        <v>11.53</v>
      </c>
      <c r="G80" s="2">
        <v>0</v>
      </c>
      <c r="H80" s="1"/>
      <c r="I80" s="2"/>
      <c r="J80" s="1">
        <v>1.88</v>
      </c>
      <c r="K80" s="2">
        <v>0</v>
      </c>
      <c r="L80" s="1">
        <v>1.79</v>
      </c>
      <c r="M80" s="2">
        <v>0</v>
      </c>
      <c r="N80" s="5">
        <v>1.26</v>
      </c>
      <c r="O80" s="2">
        <v>0</v>
      </c>
      <c r="P80" s="1">
        <v>1.3</v>
      </c>
      <c r="Q80" s="2">
        <v>0</v>
      </c>
      <c r="R80" s="1">
        <f>MIN($B80,$D80,$F80,$H80,$J80,$L80,$N80,$P80)</f>
        <v>0</v>
      </c>
      <c r="S80" s="1">
        <f>MIN($C80,$E80,$G80,$I80,$K80,$M80,$O80,$Q80)</f>
        <v>0</v>
      </c>
      <c r="T80" s="1">
        <f>MEDIAN($B80,$D80,$F80,$H80,$J80,$L80,$N80,$P80)</f>
        <v>0</v>
      </c>
      <c r="U80" s="1">
        <f>MEDIAN($C80,$E80,$G80,$I80,$K80,$M80,$O80,$Q80)</f>
        <v>0</v>
      </c>
      <c r="V80" s="1">
        <f>MAX($B80,$D80,$F80,$H80,$J80,$L80,$N80,$P80)</f>
        <v>0</v>
      </c>
      <c r="W80" s="1">
        <f>MAX($C80,$E80,$G80,$I80,$K80,$M80,$O80,$Q80)</f>
        <v>0</v>
      </c>
    </row>
    <row r="81" spans="1:23">
      <c r="A81" s="1" t="s">
        <v>38</v>
      </c>
      <c r="B81" s="1"/>
      <c r="C81" s="2"/>
      <c r="D81" s="1">
        <v>69.90000000000001</v>
      </c>
      <c r="E81" s="2">
        <v>0</v>
      </c>
      <c r="F81" s="1">
        <v>28.4</v>
      </c>
      <c r="G81" s="2">
        <v>0</v>
      </c>
      <c r="H81" s="1"/>
      <c r="I81" s="2"/>
      <c r="J81" s="1">
        <v>5.13</v>
      </c>
      <c r="K81" s="2">
        <v>0</v>
      </c>
      <c r="L81" s="5">
        <v>3.16</v>
      </c>
      <c r="M81" s="2">
        <v>0</v>
      </c>
      <c r="N81" s="1">
        <v>177.46</v>
      </c>
      <c r="O81" s="2">
        <v>0</v>
      </c>
      <c r="P81" s="3">
        <v>255.16</v>
      </c>
      <c r="Q81" s="2">
        <v>0</v>
      </c>
      <c r="R81" s="1">
        <f>MIN($B81,$D81,$F81,$H81,$J81,$L81,$N81,$P81)</f>
        <v>0</v>
      </c>
      <c r="S81" s="1">
        <f>MIN($C81,$E81,$G81,$I81,$K81,$M81,$O81,$Q81)</f>
        <v>0</v>
      </c>
      <c r="T81" s="1">
        <f>MEDIAN($B81,$D81,$F81,$H81,$J81,$L81,$N81,$P81)</f>
        <v>0</v>
      </c>
      <c r="U81" s="1">
        <f>MEDIAN($C81,$E81,$G81,$I81,$K81,$M81,$O81,$Q81)</f>
        <v>0</v>
      </c>
      <c r="V81" s="1">
        <f>MAX($B81,$D81,$F81,$H81,$J81,$L81,$N81,$P81)</f>
        <v>0</v>
      </c>
      <c r="W81" s="1">
        <f>MAX($C81,$E81,$G81,$I81,$K81,$M81,$O81,$Q81)</f>
        <v>0</v>
      </c>
    </row>
    <row r="82" spans="1:23">
      <c r="A82" s="1" t="s">
        <v>39</v>
      </c>
      <c r="B82" s="1"/>
      <c r="C82" s="2"/>
      <c r="D82" s="1">
        <v>1200</v>
      </c>
      <c r="E82" s="2">
        <v>1</v>
      </c>
      <c r="F82" s="1">
        <v>1200</v>
      </c>
      <c r="G82" s="2">
        <v>1</v>
      </c>
      <c r="H82" s="1"/>
      <c r="I82" s="2"/>
      <c r="J82" s="1">
        <v>1200</v>
      </c>
      <c r="K82" s="2">
        <v>1</v>
      </c>
      <c r="L82" s="1">
        <v>1200</v>
      </c>
      <c r="M82" s="2">
        <v>1</v>
      </c>
      <c r="N82" s="1">
        <v>1200</v>
      </c>
      <c r="O82" s="2">
        <v>1</v>
      </c>
      <c r="P82" s="1">
        <v>1200</v>
      </c>
      <c r="Q82" s="2">
        <v>1</v>
      </c>
      <c r="R82" s="1">
        <f>MIN($B82,$D82,$F82,$H82,$J82,$L82,$N82,$P82)</f>
        <v>0</v>
      </c>
      <c r="S82" s="1">
        <f>MIN($C82,$E82,$G82,$I82,$K82,$M82,$O82,$Q82)</f>
        <v>0</v>
      </c>
      <c r="T82" s="1">
        <f>MEDIAN($B82,$D82,$F82,$H82,$J82,$L82,$N82,$P82)</f>
        <v>0</v>
      </c>
      <c r="U82" s="1">
        <f>MEDIAN($C82,$E82,$G82,$I82,$K82,$M82,$O82,$Q82)</f>
        <v>0</v>
      </c>
      <c r="V82" s="1">
        <f>MAX($B82,$D82,$F82,$H82,$J82,$L82,$N82,$P82)</f>
        <v>0</v>
      </c>
      <c r="W82" s="1">
        <f>MAX($C82,$E82,$G82,$I82,$K82,$M82,$O82,$Q82)</f>
        <v>0</v>
      </c>
    </row>
    <row r="83" spans="1:23">
      <c r="A83" s="1"/>
      <c r="B83" s="1"/>
      <c r="C83" s="2"/>
      <c r="D83" s="1"/>
      <c r="E83" s="2"/>
      <c r="F83" s="1"/>
      <c r="G83" s="2"/>
      <c r="H83" s="1"/>
      <c r="I83" s="2"/>
      <c r="J83" s="1"/>
      <c r="K83" s="2"/>
      <c r="L83" s="1"/>
      <c r="M83" s="2"/>
      <c r="N83" s="1"/>
      <c r="O83" s="2"/>
      <c r="P83" s="1"/>
      <c r="Q83" s="2"/>
      <c r="R83" s="1"/>
      <c r="S83" s="1"/>
      <c r="T83" s="1"/>
      <c r="U83" s="1"/>
      <c r="V83" s="1"/>
      <c r="W83" s="1"/>
    </row>
    <row r="84" spans="1:23">
      <c r="A84" s="1" t="s">
        <v>40</v>
      </c>
      <c r="B84" s="3">
        <f>SUM(B$3:B$82)</f>
        <v>0</v>
      </c>
      <c r="C84" s="3">
        <f>SUM(C$3:C$82)</f>
        <v>0</v>
      </c>
      <c r="D84" s="1">
        <f>SUM(D$3:D$82)</f>
        <v>0</v>
      </c>
      <c r="E84" s="1">
        <f>SUM(E$3:E$82)</f>
        <v>0</v>
      </c>
      <c r="F84" s="1">
        <f>SUM(F$3:F$82)</f>
        <v>0</v>
      </c>
      <c r="G84" s="3">
        <f>SUM(G$3:G$82)</f>
        <v>0</v>
      </c>
      <c r="H84" s="5">
        <f>SUM(H$3:H$82)</f>
        <v>0</v>
      </c>
      <c r="I84" s="5">
        <f>SUM(I$3:I$82)</f>
        <v>0</v>
      </c>
      <c r="J84" s="1">
        <f>SUM(J$3:J$82)</f>
        <v>0</v>
      </c>
      <c r="K84" s="1">
        <f>SUM(K$3:K$82)</f>
        <v>0</v>
      </c>
      <c r="L84" s="1">
        <f>SUM(L$3:L$82)</f>
        <v>0</v>
      </c>
      <c r="M84" s="1">
        <f>SUM(M$3:M$82)</f>
        <v>0</v>
      </c>
      <c r="N84" s="1">
        <f>SUM(N$3:N$82)</f>
        <v>0</v>
      </c>
      <c r="O84" s="1">
        <f>SUM(O$3:O$82)</f>
        <v>0</v>
      </c>
      <c r="P84" s="1">
        <f>SUM(P$3:P$82)</f>
        <v>0</v>
      </c>
      <c r="Q84" s="1">
        <f>SUM(Q$3:Q$82)</f>
        <v>0</v>
      </c>
      <c r="R84" s="1">
        <f>SUM(R$3:R$82)</f>
        <v>0</v>
      </c>
      <c r="S84" s="1">
        <f>SUM(S$3:S$82)</f>
        <v>0</v>
      </c>
      <c r="T84" s="1">
        <f>SUM(T$3:T$82)</f>
        <v>0</v>
      </c>
      <c r="U84" s="1">
        <f>SUM(U$3:U$82)</f>
        <v>0</v>
      </c>
      <c r="V84" s="1">
        <f>SUM(V$3:V$82)</f>
        <v>0</v>
      </c>
      <c r="W84" s="1">
        <f>SUM(W$3:W$82)</f>
        <v>0</v>
      </c>
    </row>
    <row r="85" spans="1:23">
      <c r="A85" s="1" t="s">
        <v>41</v>
      </c>
      <c r="B85" s="3">
        <f>AVERAGE(B$3:B$82)</f>
        <v>0</v>
      </c>
      <c r="C85" s="3">
        <f>AVERAGE(C$3:C$82)</f>
        <v>0</v>
      </c>
      <c r="D85" s="1">
        <f>AVERAGE(D$3:D$82)</f>
        <v>0</v>
      </c>
      <c r="E85" s="1">
        <f>AVERAGE(E$3:E$82)</f>
        <v>0</v>
      </c>
      <c r="F85" s="1">
        <f>AVERAGE(F$3:F$82)</f>
        <v>0</v>
      </c>
      <c r="G85" s="3">
        <f>AVERAGE(G$3:G$82)</f>
        <v>0</v>
      </c>
      <c r="H85" s="5">
        <f>AVERAGE(H$3:H$82)</f>
        <v>0</v>
      </c>
      <c r="I85" s="5">
        <f>AVERAGE(I$3:I$82)</f>
        <v>0</v>
      </c>
      <c r="J85" s="1">
        <f>AVERAGE(J$3:J$82)</f>
        <v>0</v>
      </c>
      <c r="K85" s="1">
        <f>AVERAGE(K$3:K$82)</f>
        <v>0</v>
      </c>
      <c r="L85" s="1">
        <f>AVERAGE(L$3:L$82)</f>
        <v>0</v>
      </c>
      <c r="M85" s="1">
        <f>AVERAGE(M$3:M$82)</f>
        <v>0</v>
      </c>
      <c r="N85" s="1">
        <f>AVERAGE(N$3:N$82)</f>
        <v>0</v>
      </c>
      <c r="O85" s="1">
        <f>AVERAGE(O$3:O$82)</f>
        <v>0</v>
      </c>
      <c r="P85" s="1">
        <f>AVERAGE(P$3:P$82)</f>
        <v>0</v>
      </c>
      <c r="Q85" s="1">
        <f>AVERAGE(Q$3:Q$82)</f>
        <v>0</v>
      </c>
      <c r="R85" s="1">
        <f>AVERAGE(R$3:R$82)</f>
        <v>0</v>
      </c>
      <c r="S85" s="1">
        <f>AVERAGE(S$3:S$82)</f>
        <v>0</v>
      </c>
      <c r="T85" s="1">
        <f>AVERAGE(T$3:T$82)</f>
        <v>0</v>
      </c>
      <c r="U85" s="1">
        <f>AVERAGE(U$3:U$82)</f>
        <v>0</v>
      </c>
      <c r="V85" s="1">
        <f>AVERAGE(V$3:V$82)</f>
        <v>0</v>
      </c>
      <c r="W85" s="1">
        <f>AVERAGE(W$3:W$82)</f>
        <v>0</v>
      </c>
    </row>
    <row r="86" spans="1:23">
      <c r="A86" s="1" t="s">
        <v>42</v>
      </c>
      <c r="B86" s="1">
        <f>STDEV(B$3:B$82)</f>
        <v>0</v>
      </c>
      <c r="C86" s="1">
        <f>STDEV(C$3:C$82)</f>
        <v>0</v>
      </c>
      <c r="D86" s="1">
        <f>STDEV(D$3:D$82)</f>
        <v>0</v>
      </c>
      <c r="E86" s="1">
        <f>STDEV(E$3:E$82)</f>
        <v>0</v>
      </c>
      <c r="F86" s="1">
        <f>STDEV(F$3:F$82)</f>
        <v>0</v>
      </c>
      <c r="G86" s="1">
        <f>STDEV(G$3:G$82)</f>
        <v>0</v>
      </c>
      <c r="H86" s="5">
        <f>STDEV(H$3:H$82)</f>
        <v>0</v>
      </c>
      <c r="I86" s="5">
        <f>STDEV(I$3:I$82)</f>
        <v>0</v>
      </c>
      <c r="J86" s="1">
        <f>STDEV(J$3:J$82)</f>
        <v>0</v>
      </c>
      <c r="K86" s="1">
        <f>STDEV(K$3:K$82)</f>
        <v>0</v>
      </c>
      <c r="L86" s="3">
        <f>STDEV(L$3:L$82)</f>
        <v>0</v>
      </c>
      <c r="M86" s="1">
        <f>STDEV(M$3:M$82)</f>
        <v>0</v>
      </c>
      <c r="N86" s="1">
        <f>STDEV(N$3:N$82)</f>
        <v>0</v>
      </c>
      <c r="O86" s="3">
        <f>STDEV(O$3:O$82)</f>
        <v>0</v>
      </c>
      <c r="P86" s="1">
        <f>STDEV(P$3:P$82)</f>
        <v>0</v>
      </c>
      <c r="Q86" s="3">
        <f>STDEV(Q$3:Q$82)</f>
        <v>0</v>
      </c>
      <c r="R86" s="1">
        <f>STDEV(R$3:R$82)</f>
        <v>0</v>
      </c>
      <c r="S86" s="1">
        <f>STDEV(S$3:S$82)</f>
        <v>0</v>
      </c>
      <c r="T86" s="1">
        <f>STDEV(T$3:T$82)</f>
        <v>0</v>
      </c>
      <c r="U86" s="1">
        <f>STDEV(U$3:U$82)</f>
        <v>0</v>
      </c>
      <c r="V86" s="1">
        <f>STDEV(V$3:V$82)</f>
        <v>0</v>
      </c>
      <c r="W86" s="1">
        <f>STDEV(W$3:W$82)</f>
        <v>0</v>
      </c>
    </row>
    <row r="87" spans="1:23">
      <c r="A87" s="1" t="s">
        <v>43</v>
      </c>
      <c r="B87" s="3">
        <f>SUMPRODUCT(--(B$3:B$82-$R$3:$R$82)^2)^0.5</f>
        <v>0</v>
      </c>
      <c r="C87" s="3">
        <f>SUMPRODUCT(--(C$3:C$82-$S$3:$S$82)^2)^0.5</f>
        <v>0</v>
      </c>
      <c r="D87" s="1">
        <f>SUMPRODUCT(--(D$3:D$82-$R$3:$R$82)^2)^0.5</f>
        <v>0</v>
      </c>
      <c r="E87" s="1">
        <f>SUMPRODUCT(--(E$3:E$82-$S$3:$S$82)^2)^0.5</f>
        <v>0</v>
      </c>
      <c r="F87" s="1">
        <f>SUMPRODUCT(--(F$3:F$82-$R$3:$R$82)^2)^0.5</f>
        <v>0</v>
      </c>
      <c r="G87" s="1">
        <f>SUMPRODUCT(--(G$3:G$82-$S$3:$S$82)^2)^0.5</f>
        <v>0</v>
      </c>
      <c r="H87" s="5">
        <f>SUMPRODUCT(--(H$3:H$82-$R$3:$R$82)^2)^0.5</f>
        <v>0</v>
      </c>
      <c r="I87" s="5">
        <f>SUMPRODUCT(--(I$3:I$82-$S$3:$S$82)^2)^0.5</f>
        <v>0</v>
      </c>
      <c r="J87" s="1">
        <f>SUMPRODUCT(--(J$3:J$82-$R$3:$R$82)^2)^0.5</f>
        <v>0</v>
      </c>
      <c r="K87" s="1">
        <f>SUMPRODUCT(--(K$3:K$82-$S$3:$S$82)^2)^0.5</f>
        <v>0</v>
      </c>
      <c r="L87" s="1">
        <f>SUMPRODUCT(--(L$3:L$82-$R$3:$R$82)^2)^0.5</f>
        <v>0</v>
      </c>
      <c r="M87" s="1">
        <f>SUMPRODUCT(--(M$3:M$82-$S$3:$S$82)^2)^0.5</f>
        <v>0</v>
      </c>
      <c r="N87" s="1">
        <f>SUMPRODUCT(--(N$3:N$82-$R$3:$R$82)^2)^0.5</f>
        <v>0</v>
      </c>
      <c r="O87" s="1">
        <f>SUMPRODUCT(--(O$3:O$82-$S$3:$S$82)^2)^0.5</f>
        <v>0</v>
      </c>
      <c r="P87" s="1">
        <f>SUMPRODUCT(--(P$3:P$82-$R$3:$R$82)^2)^0.5</f>
        <v>0</v>
      </c>
      <c r="Q87" s="1">
        <f>SUMPRODUCT(--(Q$3:Q$82-$S$3:$S$82)^2)^0.5</f>
        <v>0</v>
      </c>
      <c r="R87" s="1"/>
      <c r="S87" s="1"/>
      <c r="T87" s="1"/>
      <c r="U87" s="1"/>
      <c r="V87" s="1"/>
      <c r="W87" s="1"/>
    </row>
    <row r="88" spans="1:23">
      <c r="A88" s="1" t="s">
        <v>44</v>
      </c>
      <c r="B88" s="3">
        <f>SUMPRODUCT(NOT(ISBLANK(B$3:B$82))*(B$3:B$82=$R$3:$R$82))</f>
        <v>0</v>
      </c>
      <c r="C88" s="3">
        <f>SUMPRODUCT(NOT(ISBLANK(C$3:C$82))*(C$3:C$82=$S$3:$S$82))</f>
        <v>0</v>
      </c>
      <c r="D88" s="1">
        <f>SUMPRODUCT(NOT(ISBLANK(D$3:D$82))*(D$3:D$82=$R$3:$R$82))</f>
        <v>0</v>
      </c>
      <c r="E88" s="1">
        <f>SUMPRODUCT(NOT(ISBLANK(E$3:E$82))*(E$3:E$82=$S$3:$S$82))</f>
        <v>0</v>
      </c>
      <c r="F88" s="1">
        <f>SUMPRODUCT(NOT(ISBLANK(F$3:F$82))*(F$3:F$82=$R$3:$R$82))</f>
        <v>0</v>
      </c>
      <c r="G88" s="1">
        <f>SUMPRODUCT(NOT(ISBLANK(G$3:G$82))*(G$3:G$82=$S$3:$S$82))</f>
        <v>0</v>
      </c>
      <c r="H88" s="5">
        <f>SUMPRODUCT(NOT(ISBLANK(H$3:H$82))*(H$3:H$82=$R$3:$R$82))</f>
        <v>0</v>
      </c>
      <c r="I88" s="5">
        <f>SUMPRODUCT(NOT(ISBLANK(I$3:I$82))*(I$3:I$82=$S$3:$S$82))</f>
        <v>0</v>
      </c>
      <c r="J88" s="1">
        <f>SUMPRODUCT(NOT(ISBLANK(J$3:J$82))*(J$3:J$82=$R$3:$R$82))</f>
        <v>0</v>
      </c>
      <c r="K88" s="1">
        <f>SUMPRODUCT(NOT(ISBLANK(K$3:K$82))*(K$3:K$82=$S$3:$S$82))</f>
        <v>0</v>
      </c>
      <c r="L88" s="1">
        <f>SUMPRODUCT(NOT(ISBLANK(L$3:L$82))*(L$3:L$82=$R$3:$R$82))</f>
        <v>0</v>
      </c>
      <c r="M88" s="1">
        <f>SUMPRODUCT(NOT(ISBLANK(M$3:M$82))*(M$3:M$82=$S$3:$S$82))</f>
        <v>0</v>
      </c>
      <c r="N88" s="1">
        <f>SUMPRODUCT(NOT(ISBLANK(N$3:N$82))*(N$3:N$82=$R$3:$R$82))</f>
        <v>0</v>
      </c>
      <c r="O88" s="1">
        <f>SUMPRODUCT(NOT(ISBLANK(O$3:O$82))*(O$3:O$82=$S$3:$S$82))</f>
        <v>0</v>
      </c>
      <c r="P88" s="1">
        <f>SUMPRODUCT(NOT(ISBLANK(P$3:P$82))*(P$3:P$82=$R$3:$R$82))</f>
        <v>0</v>
      </c>
      <c r="Q88" s="1">
        <f>SUMPRODUCT(NOT(ISBLANK(Q$3:Q$82))*(Q$3:Q$82=$S$3:$S$82))</f>
        <v>0</v>
      </c>
      <c r="R88" s="1"/>
      <c r="S88" s="1"/>
      <c r="T88" s="1"/>
      <c r="U88" s="1"/>
      <c r="V88" s="1"/>
      <c r="W88" s="1"/>
    </row>
    <row r="89" spans="1:23">
      <c r="A89" s="1" t="s">
        <v>45</v>
      </c>
      <c r="B89" s="3">
        <f>SUMPRODUCT(NOT(ISBLANK(B$3:B$82))*(B$3:B$82&lt;$T$3:$T$82))</f>
        <v>0</v>
      </c>
      <c r="C89" s="1">
        <f>SUMPRODUCT(NOT(ISBLANK(C$3:C$82))*(C$3:C$82&lt;$U$3:$U$82))</f>
        <v>0</v>
      </c>
      <c r="D89" s="1">
        <f>SUMPRODUCT(NOT(ISBLANK(D$3:D$82))*(D$3:D$82&lt;$T$3:$T$82))</f>
        <v>0</v>
      </c>
      <c r="E89" s="1">
        <f>SUMPRODUCT(NOT(ISBLANK(E$3:E$82))*(E$3:E$82&lt;$U$3:$U$82))</f>
        <v>0</v>
      </c>
      <c r="F89" s="1">
        <f>SUMPRODUCT(NOT(ISBLANK(F$3:F$82))*(F$3:F$82&lt;$T$3:$T$82))</f>
        <v>0</v>
      </c>
      <c r="G89" s="1">
        <f>SUMPRODUCT(NOT(ISBLANK(G$3:G$82))*(G$3:G$82&lt;$U$3:$U$82))</f>
        <v>0</v>
      </c>
      <c r="H89" s="5">
        <f>SUMPRODUCT(NOT(ISBLANK(H$3:H$82))*(H$3:H$82&lt;$T$3:$T$82))</f>
        <v>0</v>
      </c>
      <c r="I89" s="5">
        <f>SUMPRODUCT(NOT(ISBLANK(I$3:I$82))*(I$3:I$82&lt;$U$3:$U$82))</f>
        <v>0</v>
      </c>
      <c r="J89" s="1">
        <f>SUMPRODUCT(NOT(ISBLANK(J$3:J$82))*(J$3:J$82&lt;$T$3:$T$82))</f>
        <v>0</v>
      </c>
      <c r="K89" s="1">
        <f>SUMPRODUCT(NOT(ISBLANK(K$3:K$82))*(K$3:K$82&lt;$U$3:$U$82))</f>
        <v>0</v>
      </c>
      <c r="L89" s="1">
        <f>SUMPRODUCT(NOT(ISBLANK(L$3:L$82))*(L$3:L$82&lt;$T$3:$T$82))</f>
        <v>0</v>
      </c>
      <c r="M89" s="1">
        <f>SUMPRODUCT(NOT(ISBLANK(M$3:M$82))*(M$3:M$82&lt;$U$3:$U$82))</f>
        <v>0</v>
      </c>
      <c r="N89" s="1">
        <f>SUMPRODUCT(NOT(ISBLANK(N$3:N$82))*(N$3:N$82&lt;$T$3:$T$82))</f>
        <v>0</v>
      </c>
      <c r="O89" s="1">
        <f>SUMPRODUCT(NOT(ISBLANK(O$3:O$82))*(O$3:O$82&lt;$U$3:$U$82))</f>
        <v>0</v>
      </c>
      <c r="P89" s="1">
        <f>SUMPRODUCT(NOT(ISBLANK(P$3:P$82))*(P$3:P$82&lt;$T$3:$T$82))</f>
        <v>0</v>
      </c>
      <c r="Q89" s="1">
        <f>SUMPRODUCT(NOT(ISBLANK(Q$3:Q$82))*(Q$3:Q$82&lt;$U$3:$U$82))</f>
        <v>0</v>
      </c>
      <c r="R89" s="1"/>
      <c r="S89" s="1"/>
      <c r="T89" s="1"/>
      <c r="U89" s="1"/>
      <c r="V89" s="1"/>
      <c r="W89" s="1"/>
    </row>
    <row r="90" spans="1:23">
      <c r="A90" s="1" t="s">
        <v>46</v>
      </c>
      <c r="B90" s="3">
        <f>SUMPRODUCT((NOT(ISBLANK(B$3:B$82))*(B$3:B$82&gt;$T$3:$T$82))+ISBLANK(B$3:B$82))</f>
        <v>0</v>
      </c>
      <c r="C90" s="3">
        <f>SUMPRODUCT((NOT(ISBLANK(C$3:C$82))*(C$3:C$82&gt;$U$3:$U$82))+ISBLANK(C$3:C$82))</f>
        <v>0</v>
      </c>
      <c r="D90" s="1">
        <f>SUMPRODUCT((NOT(ISBLANK(D$3:D$82))*(D$3:D$82&gt;$T$3:$T$82))+ISBLANK(D$3:D$82))</f>
        <v>0</v>
      </c>
      <c r="E90" s="1">
        <f>SUMPRODUCT((NOT(ISBLANK(E$3:E$82))*(E$3:E$82&gt;$U$3:$U$82))+ISBLANK(E$3:E$82))</f>
        <v>0</v>
      </c>
      <c r="F90" s="1">
        <f>SUMPRODUCT((NOT(ISBLANK(F$3:F$82))*(F$3:F$82&gt;$T$3:$T$82))+ISBLANK(F$3:F$82))</f>
        <v>0</v>
      </c>
      <c r="G90" s="1">
        <f>SUMPRODUCT((NOT(ISBLANK(G$3:G$82))*(G$3:G$82&gt;$U$3:$U$82))+ISBLANK(G$3:G$82))</f>
        <v>0</v>
      </c>
      <c r="H90" s="5">
        <f>SUMPRODUCT((NOT(ISBLANK(H$3:H$82))*(H$3:H$82&gt;$T$3:$T$82))+ISBLANK(H$3:H$82))</f>
        <v>0</v>
      </c>
      <c r="I90" s="1">
        <f>SUMPRODUCT((NOT(ISBLANK(I$3:I$82))*(I$3:I$82&gt;$U$3:$U$82))+ISBLANK(I$3:I$82))</f>
        <v>0</v>
      </c>
      <c r="J90" s="1">
        <f>SUMPRODUCT((NOT(ISBLANK(J$3:J$82))*(J$3:J$82&gt;$T$3:$T$82))+ISBLANK(J$3:J$82))</f>
        <v>0</v>
      </c>
      <c r="K90" s="1">
        <f>SUMPRODUCT((NOT(ISBLANK(K$3:K$82))*(K$3:K$82&gt;$U$3:$U$82))+ISBLANK(K$3:K$82))</f>
        <v>0</v>
      </c>
      <c r="L90" s="1">
        <f>SUMPRODUCT((NOT(ISBLANK(L$3:L$82))*(L$3:L$82&gt;$T$3:$T$82))+ISBLANK(L$3:L$82))</f>
        <v>0</v>
      </c>
      <c r="M90" s="1">
        <f>SUMPRODUCT((NOT(ISBLANK(M$3:M$82))*(M$3:M$82&gt;$U$3:$U$82))+ISBLANK(M$3:M$82))</f>
        <v>0</v>
      </c>
      <c r="N90" s="1">
        <f>SUMPRODUCT((NOT(ISBLANK(N$3:N$82))*(N$3:N$82&gt;$T$3:$T$82))+ISBLANK(N$3:N$82))</f>
        <v>0</v>
      </c>
      <c r="O90" s="1">
        <f>SUMPRODUCT((NOT(ISBLANK(O$3:O$82))*(O$3:O$82&gt;$U$3:$U$82))+ISBLANK(O$3:O$82))</f>
        <v>0</v>
      </c>
      <c r="P90" s="1">
        <f>SUMPRODUCT((NOT(ISBLANK(P$3:P$82))*(P$3:P$82&gt;$T$3:$T$82))+ISBLANK(P$3:P$82))</f>
        <v>0</v>
      </c>
      <c r="Q90" s="1">
        <f>SUMPRODUCT((NOT(ISBLANK(Q$3:Q$82))*(Q$3:Q$82&gt;$U$3:$U$82))+ISBLANK(Q$3:Q$82))</f>
        <v>0</v>
      </c>
      <c r="R90" s="1"/>
      <c r="S90" s="1"/>
      <c r="T90" s="1"/>
      <c r="U90" s="1"/>
      <c r="V90" s="1"/>
      <c r="W90" s="1"/>
    </row>
    <row r="91" spans="1:23">
      <c r="A91" s="1" t="s">
        <v>47</v>
      </c>
      <c r="B91" s="3">
        <f>SUMPRODUCT((NOT(ISBLANK(B$3:B$82))*(B$3:B$82=$V$3:$V$82))+ISBLANK(B$3:B$82))</f>
        <v>0</v>
      </c>
      <c r="C91" s="3">
        <f>SUMPRODUCT((NOT(ISBLANK(C$3:C$82))*(C$3:C$82=$W$3:$W$82))+ISBLANK(C$3:C$82))</f>
        <v>0</v>
      </c>
      <c r="D91" s="1">
        <f>SUMPRODUCT((NOT(ISBLANK(D$3:D$82))*(D$3:D$82=$V$3:$V$82))+ISBLANK(D$3:D$82))</f>
        <v>0</v>
      </c>
      <c r="E91" s="1">
        <f>SUMPRODUCT((NOT(ISBLANK(E$3:E$82))*(E$3:E$82=$W$3:$W$82))+ISBLANK(E$3:E$82))</f>
        <v>0</v>
      </c>
      <c r="F91" s="1">
        <f>SUMPRODUCT((NOT(ISBLANK(F$3:F$82))*(F$3:F$82=$V$3:$V$82))+ISBLANK(F$3:F$82))</f>
        <v>0</v>
      </c>
      <c r="G91" s="3">
        <f>SUMPRODUCT((NOT(ISBLANK(G$3:G$82))*(G$3:G$82=$W$3:$W$82))+ISBLANK(G$3:G$82))</f>
        <v>0</v>
      </c>
      <c r="H91" s="5">
        <f>SUMPRODUCT((NOT(ISBLANK(H$3:H$82))*(H$3:H$82=$V$3:$V$82))+ISBLANK(H$3:H$82))</f>
        <v>0</v>
      </c>
      <c r="I91" s="5">
        <f>SUMPRODUCT((NOT(ISBLANK(I$3:I$82))*(I$3:I$82=$W$3:$W$82))+ISBLANK(I$3:I$82))</f>
        <v>0</v>
      </c>
      <c r="J91" s="1">
        <f>SUMPRODUCT((NOT(ISBLANK(J$3:J$82))*(J$3:J$82=$V$3:$V$82))+ISBLANK(J$3:J$82))</f>
        <v>0</v>
      </c>
      <c r="K91" s="1">
        <f>SUMPRODUCT((NOT(ISBLANK(K$3:K$82))*(K$3:K$82=$W$3:$W$82))+ISBLANK(K$3:K$82))</f>
        <v>0</v>
      </c>
      <c r="L91" s="1">
        <f>SUMPRODUCT((NOT(ISBLANK(L$3:L$82))*(L$3:L$82=$V$3:$V$82))+ISBLANK(L$3:L$82))</f>
        <v>0</v>
      </c>
      <c r="M91" s="1">
        <f>SUMPRODUCT((NOT(ISBLANK(M$3:M$82))*(M$3:M$82=$W$3:$W$82))+ISBLANK(M$3:M$82))</f>
        <v>0</v>
      </c>
      <c r="N91" s="1">
        <f>SUMPRODUCT((NOT(ISBLANK(N$3:N$82))*(N$3:N$82=$V$3:$V$82))+ISBLANK(N$3:N$82))</f>
        <v>0</v>
      </c>
      <c r="O91" s="1">
        <f>SUMPRODUCT((NOT(ISBLANK(O$3:O$82))*(O$3:O$82=$W$3:$W$82))+ISBLANK(O$3:O$82))</f>
        <v>0</v>
      </c>
      <c r="P91" s="1">
        <f>SUMPRODUCT((NOT(ISBLANK(P$3:P$82))*(P$3:P$82=$V$3:$V$82))+ISBLANK(P$3:P$82))</f>
        <v>0</v>
      </c>
      <c r="Q91" s="1">
        <f>SUMPRODUCT((NOT(ISBLANK(Q$3:Q$82))*(Q$3:Q$82=$W$3:$W$82))+ISBLANK(Q$3:Q$82))</f>
        <v>0</v>
      </c>
      <c r="R91" s="1"/>
      <c r="S91" s="1"/>
      <c r="T91" s="1"/>
      <c r="U91" s="1"/>
      <c r="V91" s="1"/>
      <c r="W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 t="s">
        <v>61</v>
      </c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2"/>
      <c r="L1" s="1" t="s">
        <v>55</v>
      </c>
      <c r="M1" s="2"/>
      <c r="N1" s="1" t="s">
        <v>56</v>
      </c>
      <c r="O1" s="2"/>
      <c r="P1" s="1" t="s">
        <v>57</v>
      </c>
      <c r="Q1" s="2"/>
      <c r="R1" s="1" t="s">
        <v>58</v>
      </c>
      <c r="S1" s="1"/>
      <c r="T1" s="1" t="s">
        <v>59</v>
      </c>
      <c r="U1" s="1"/>
      <c r="V1" s="1" t="s">
        <v>60</v>
      </c>
      <c r="W1" s="1"/>
    </row>
    <row r="2" spans="1:23">
      <c r="A2" s="7" t="s">
        <v>59</v>
      </c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2" t="s">
        <v>50</v>
      </c>
      <c r="L2" s="1" t="s">
        <v>49</v>
      </c>
      <c r="M2" s="2" t="s">
        <v>50</v>
      </c>
      <c r="N2" s="1" t="s">
        <v>49</v>
      </c>
      <c r="O2" s="2" t="s">
        <v>50</v>
      </c>
      <c r="P2" s="1" t="s">
        <v>49</v>
      </c>
      <c r="Q2" s="2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</row>
    <row r="3" spans="1:2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2"/>
      <c r="F3" s="1"/>
      <c r="G3" s="2"/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2"/>
      <c r="F4" s="1"/>
      <c r="G4" s="2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2"/>
      <c r="L4" s="1"/>
      <c r="M4" s="2"/>
      <c r="N4" s="1"/>
      <c r="O4" s="2"/>
      <c r="P4" s="1"/>
      <c r="Q4" s="2"/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2"/>
      <c r="F5" s="1"/>
      <c r="G5" s="2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2"/>
      <c r="L5" s="1"/>
      <c r="M5" s="2"/>
      <c r="N5" s="1"/>
      <c r="O5" s="2"/>
      <c r="P5" s="1"/>
      <c r="Q5" s="2"/>
      <c r="R5" s="1">
        <f>MIN($B5,$D5,$F5,$H5,$J5,$L5,$N5,$P5)</f>
        <v>0</v>
      </c>
      <c r="S5" s="1">
        <f>MIN($C5,$E5,$G5,$I5,$K5,$M5,$O5,$Q5)</f>
        <v>0</v>
      </c>
      <c r="T5" s="1">
        <f>MEDIAN($B5,$D5,$F5,$H5,$J5,$L5,$N5,$P5)</f>
        <v>0</v>
      </c>
      <c r="U5" s="1">
        <f>MEDIAN($C5,$E5,$G5,$I5,$K5,$M5,$O5,$Q5)</f>
        <v>0</v>
      </c>
      <c r="V5" s="1">
        <f>MAX($B5,$D5,$F5,$H5,$J5,$L5,$N5,$P5)</f>
        <v>0</v>
      </c>
      <c r="W5" s="1">
        <f>MAX($C5,$E5,$G5,$I5,$K5,$M5,$O5,$Q5)</f>
        <v>0</v>
      </c>
    </row>
    <row r="6" spans="1:2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2"/>
      <c r="F6" s="1"/>
      <c r="G6" s="2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/>
      <c r="K6" s="2"/>
      <c r="L6" s="1"/>
      <c r="M6" s="2"/>
      <c r="N6" s="1"/>
      <c r="O6" s="2"/>
      <c r="P6" s="1"/>
      <c r="Q6" s="2"/>
      <c r="R6" s="1">
        <f>MIN($B6,$D6,$F6,$H6,$J6,$L6,$N6,$P6)</f>
        <v>0</v>
      </c>
      <c r="S6" s="1">
        <f>MIN($C6,$E6,$G6,$I6,$K6,$M6,$O6,$Q6)</f>
        <v>0</v>
      </c>
      <c r="T6" s="1">
        <f>MEDIAN($B6,$D6,$F6,$H6,$J6,$L6,$N6,$P6)</f>
        <v>0</v>
      </c>
      <c r="U6" s="1">
        <f>MEDIAN($C6,$E6,$G6,$I6,$K6,$M6,$O6,$Q6)</f>
        <v>0</v>
      </c>
      <c r="V6" s="1">
        <f>MAX($B6,$D6,$F6,$H6,$J6,$L6,$N6,$P6)</f>
        <v>0</v>
      </c>
      <c r="W6" s="1">
        <f>MAX($C6,$E6,$G6,$I6,$K6,$M6,$O6,$Q6)</f>
        <v>0</v>
      </c>
    </row>
    <row r="7" spans="1:2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2"/>
      <c r="F7" s="1"/>
      <c r="G7" s="2"/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/>
      <c r="K7" s="2"/>
      <c r="L7" s="1"/>
      <c r="M7" s="2"/>
      <c r="N7" s="1"/>
      <c r="O7" s="2"/>
      <c r="P7" s="1"/>
      <c r="Q7" s="2"/>
      <c r="R7" s="1">
        <f>MIN($B7,$D7,$F7,$H7,$J7,$L7,$N7,$P7)</f>
        <v>0</v>
      </c>
      <c r="S7" s="1">
        <f>MIN($C7,$E7,$G7,$I7,$K7,$M7,$O7,$Q7)</f>
        <v>0</v>
      </c>
      <c r="T7" s="1">
        <f>MEDIAN($B7,$D7,$F7,$H7,$J7,$L7,$N7,$P7)</f>
        <v>0</v>
      </c>
      <c r="U7" s="1">
        <f>MEDIAN($C7,$E7,$G7,$I7,$K7,$M7,$O7,$Q7)</f>
        <v>0</v>
      </c>
      <c r="V7" s="1">
        <f>MAX($B7,$D7,$F7,$H7,$J7,$L7,$N7,$P7)</f>
        <v>0</v>
      </c>
      <c r="W7" s="1">
        <f>MAX($C7,$E7,$G7,$I7,$K7,$M7,$O7,$Q7)</f>
        <v>0</v>
      </c>
    </row>
    <row r="8" spans="1:2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2"/>
      <c r="F8" s="1"/>
      <c r="G8" s="2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/>
      <c r="K8" s="2"/>
      <c r="L8" s="1"/>
      <c r="M8" s="2"/>
      <c r="N8" s="1"/>
      <c r="O8" s="2"/>
      <c r="P8" s="1"/>
      <c r="Q8" s="2"/>
      <c r="R8" s="1">
        <f>MIN($B8,$D8,$F8,$H8,$J8,$L8,$N8,$P8)</f>
        <v>0</v>
      </c>
      <c r="S8" s="1">
        <f>MIN($C8,$E8,$G8,$I8,$K8,$M8,$O8,$Q8)</f>
        <v>0</v>
      </c>
      <c r="T8" s="1">
        <f>MEDIAN($B8,$D8,$F8,$H8,$J8,$L8,$N8,$P8)</f>
        <v>0</v>
      </c>
      <c r="U8" s="1">
        <f>MEDIAN($C8,$E8,$G8,$I8,$K8,$M8,$O8,$Q8)</f>
        <v>0</v>
      </c>
      <c r="V8" s="1">
        <f>MAX($B8,$D8,$F8,$H8,$J8,$L8,$N8,$P8)</f>
        <v>0</v>
      </c>
      <c r="W8" s="1">
        <f>MAX($C8,$E8,$G8,$I8,$K8,$M8,$O8,$Q8)</f>
        <v>0</v>
      </c>
    </row>
    <row r="9" spans="1:2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2"/>
      <c r="F9" s="1"/>
      <c r="G9" s="2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/>
      <c r="K9" s="2"/>
      <c r="L9" s="1"/>
      <c r="M9" s="2"/>
      <c r="N9" s="1"/>
      <c r="O9" s="2"/>
      <c r="P9" s="1"/>
      <c r="Q9" s="2"/>
      <c r="R9" s="1">
        <f>MIN($B9,$D9,$F9,$H9,$J9,$L9,$N9,$P9)</f>
        <v>0</v>
      </c>
      <c r="S9" s="1">
        <f>MIN($C9,$E9,$G9,$I9,$K9,$M9,$O9,$Q9)</f>
        <v>0</v>
      </c>
      <c r="T9" s="1">
        <f>MEDIAN($B9,$D9,$F9,$H9,$J9,$L9,$N9,$P9)</f>
        <v>0</v>
      </c>
      <c r="U9" s="1">
        <f>MEDIAN($C9,$E9,$G9,$I9,$K9,$M9,$O9,$Q9)</f>
        <v>0</v>
      </c>
      <c r="V9" s="1">
        <f>MAX($B9,$D9,$F9,$H9,$J9,$L9,$N9,$P9)</f>
        <v>0</v>
      </c>
      <c r="W9" s="1">
        <f>MAX($C9,$E9,$G9,$I9,$K9,$M9,$O9,$Q9)</f>
        <v>0</v>
      </c>
    </row>
    <row r="10" spans="1:2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2"/>
      <c r="F10" s="1"/>
      <c r="G10" s="2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/>
      <c r="K10" s="2"/>
      <c r="L10" s="1"/>
      <c r="M10" s="2"/>
      <c r="N10" s="1"/>
      <c r="O10" s="2"/>
      <c r="P10" s="1"/>
      <c r="Q10" s="2"/>
      <c r="R10" s="1">
        <f>MIN($B10,$D10,$F10,$H10,$J10,$L10,$N10,$P10)</f>
        <v>0</v>
      </c>
      <c r="S10" s="1">
        <f>MIN($C10,$E10,$G10,$I10,$K10,$M10,$O10,$Q10)</f>
        <v>0</v>
      </c>
      <c r="T10" s="1">
        <f>MEDIAN($B10,$D10,$F10,$H10,$J10,$L10,$N10,$P10)</f>
        <v>0</v>
      </c>
      <c r="U10" s="1">
        <f>MEDIAN($C10,$E10,$G10,$I10,$K10,$M10,$O10,$Q10)</f>
        <v>0</v>
      </c>
      <c r="V10" s="1">
        <f>MAX($B10,$D10,$F10,$H10,$J10,$L10,$N10,$P10)</f>
        <v>0</v>
      </c>
      <c r="W10" s="1">
        <f>MAX($C10,$E10,$G10,$I10,$K10,$M10,$O10,$Q10)</f>
        <v>0</v>
      </c>
    </row>
    <row r="11" spans="1:2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2"/>
      <c r="F11" s="1"/>
      <c r="G11" s="2"/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/>
      <c r="K11" s="2"/>
      <c r="L11" s="1"/>
      <c r="M11" s="2"/>
      <c r="N11" s="1"/>
      <c r="O11" s="2"/>
      <c r="P11" s="1"/>
      <c r="Q11" s="2"/>
      <c r="R11" s="1">
        <f>MIN($B11,$D11,$F11,$H11,$J11,$L11,$N11,$P11)</f>
        <v>0</v>
      </c>
      <c r="S11" s="1">
        <f>MIN($C11,$E11,$G11,$I11,$K11,$M11,$O11,$Q11)</f>
        <v>0</v>
      </c>
      <c r="T11" s="1">
        <f>MEDIAN($B11,$D11,$F11,$H11,$J11,$L11,$N11,$P11)</f>
        <v>0</v>
      </c>
      <c r="U11" s="1">
        <f>MEDIAN($C11,$E11,$G11,$I11,$K11,$M11,$O11,$Q11)</f>
        <v>0</v>
      </c>
      <c r="V11" s="1">
        <f>MAX($B11,$D11,$F11,$H11,$J11,$L11,$N11,$P11)</f>
        <v>0</v>
      </c>
      <c r="W11" s="1">
        <f>MAX($C11,$E11,$G11,$I11,$K11,$M11,$O11,$Q11)</f>
        <v>0</v>
      </c>
    </row>
    <row r="12" spans="1:2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2"/>
      <c r="F12" s="1"/>
      <c r="G12" s="2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/>
      <c r="K12" s="2"/>
      <c r="L12" s="1"/>
      <c r="M12" s="2"/>
      <c r="N12" s="1"/>
      <c r="O12" s="2"/>
      <c r="P12" s="1"/>
      <c r="Q12" s="2"/>
      <c r="R12" s="1">
        <f>MIN($B12,$D12,$F12,$H12,$J12,$L12,$N12,$P12)</f>
        <v>0</v>
      </c>
      <c r="S12" s="1">
        <f>MIN($C12,$E12,$G12,$I12,$K12,$M12,$O12,$Q12)</f>
        <v>0</v>
      </c>
      <c r="T12" s="1">
        <f>MEDIAN($B12,$D12,$F12,$H12,$J12,$L12,$N12,$P12)</f>
        <v>0</v>
      </c>
      <c r="U12" s="1">
        <f>MEDIAN($C12,$E12,$G12,$I12,$K12,$M12,$O12,$Q12)</f>
        <v>0</v>
      </c>
      <c r="V12" s="1">
        <f>MAX($B12,$D12,$F12,$H12,$J12,$L12,$N12,$P12)</f>
        <v>0</v>
      </c>
      <c r="W12" s="1">
        <f>MAX($C12,$E12,$G12,$I12,$K12,$M12,$O12,$Q12)</f>
        <v>0</v>
      </c>
    </row>
    <row r="13" spans="1:2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2"/>
      <c r="F13" s="1"/>
      <c r="G13" s="2"/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/>
      <c r="K13" s="2"/>
      <c r="L13" s="1"/>
      <c r="M13" s="2"/>
      <c r="N13" s="1"/>
      <c r="O13" s="2"/>
      <c r="P13" s="1"/>
      <c r="Q13" s="2"/>
      <c r="R13" s="1">
        <f>MIN($B13,$D13,$F13,$H13,$J13,$L13,$N13,$P13)</f>
        <v>0</v>
      </c>
      <c r="S13" s="1">
        <f>MIN($C13,$E13,$G13,$I13,$K13,$M13,$O13,$Q13)</f>
        <v>0</v>
      </c>
      <c r="T13" s="1">
        <f>MEDIAN($B13,$D13,$F13,$H13,$J13,$L13,$N13,$P13)</f>
        <v>0</v>
      </c>
      <c r="U13" s="1">
        <f>MEDIAN($C13,$E13,$G13,$I13,$K13,$M13,$O13,$Q13)</f>
        <v>0</v>
      </c>
      <c r="V13" s="1">
        <f>MAX($B13,$D13,$F13,$H13,$J13,$L13,$N13,$P13)</f>
        <v>0</v>
      </c>
      <c r="W13" s="1">
        <f>MAX($C13,$E13,$G13,$I13,$K13,$M13,$O13,$Q13)</f>
        <v>0</v>
      </c>
    </row>
    <row r="14" spans="1:2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2"/>
      <c r="F14" s="1"/>
      <c r="G14" s="2"/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/>
      <c r="K14" s="2"/>
      <c r="L14" s="1"/>
      <c r="M14" s="2"/>
      <c r="N14" s="1"/>
      <c r="O14" s="2"/>
      <c r="P14" s="1"/>
      <c r="Q14" s="2"/>
      <c r="R14" s="1">
        <f>MIN($B14,$D14,$F14,$H14,$J14,$L14,$N14,$P14)</f>
        <v>0</v>
      </c>
      <c r="S14" s="1">
        <f>MIN($C14,$E14,$G14,$I14,$K14,$M14,$O14,$Q14)</f>
        <v>0</v>
      </c>
      <c r="T14" s="1">
        <f>MEDIAN($B14,$D14,$F14,$H14,$J14,$L14,$N14,$P14)</f>
        <v>0</v>
      </c>
      <c r="U14" s="1">
        <f>MEDIAN($C14,$E14,$G14,$I14,$K14,$M14,$O14,$Q14)</f>
        <v>0</v>
      </c>
      <c r="V14" s="1">
        <f>MAX($B14,$D14,$F14,$H14,$J14,$L14,$N14,$P14)</f>
        <v>0</v>
      </c>
      <c r="W14" s="1">
        <f>MAX($C14,$E14,$G14,$I14,$K14,$M14,$O14,$Q14)</f>
        <v>0</v>
      </c>
    </row>
    <row r="15" spans="1:2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/>
      <c r="E15" s="2"/>
      <c r="F15" s="1"/>
      <c r="G15" s="2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/>
      <c r="K15" s="2"/>
      <c r="L15" s="1"/>
      <c r="M15" s="2"/>
      <c r="N15" s="1"/>
      <c r="O15" s="2"/>
      <c r="P15" s="1"/>
      <c r="Q15" s="2"/>
      <c r="R15" s="1">
        <f>MIN($B15,$D15,$F15,$H15,$J15,$L15,$N15,$P15)</f>
        <v>0</v>
      </c>
      <c r="S15" s="1">
        <f>MIN($C15,$E15,$G15,$I15,$K15,$M15,$O15,$Q15)</f>
        <v>0</v>
      </c>
      <c r="T15" s="1">
        <f>MEDIAN($B15,$D15,$F15,$H15,$J15,$L15,$N15,$P15)</f>
        <v>0</v>
      </c>
      <c r="U15" s="1">
        <f>MEDIAN($C15,$E15,$G15,$I15,$K15,$M15,$O15,$Q15)</f>
        <v>0</v>
      </c>
      <c r="V15" s="1">
        <f>MAX($B15,$D15,$F15,$H15,$J15,$L15,$N15,$P15)</f>
        <v>0</v>
      </c>
      <c r="W15" s="1">
        <f>MAX($C15,$E15,$G15,$I15,$K15,$M15,$O15,$Q15)</f>
        <v>0</v>
      </c>
    </row>
    <row r="16" spans="1:2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2"/>
      <c r="F16" s="1"/>
      <c r="G16" s="2"/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/>
      <c r="K16" s="2"/>
      <c r="L16" s="1"/>
      <c r="M16" s="2"/>
      <c r="N16" s="1"/>
      <c r="O16" s="2"/>
      <c r="P16" s="1"/>
      <c r="Q16" s="2"/>
      <c r="R16" s="1">
        <f>MIN($B16,$D16,$F16,$H16,$J16,$L16,$N16,$P16)</f>
        <v>0</v>
      </c>
      <c r="S16" s="1">
        <f>MIN($C16,$E16,$G16,$I16,$K16,$M16,$O16,$Q16)</f>
        <v>0</v>
      </c>
      <c r="T16" s="1">
        <f>MEDIAN($B16,$D16,$F16,$H16,$J16,$L16,$N16,$P16)</f>
        <v>0</v>
      </c>
      <c r="U16" s="1">
        <f>MEDIAN($C16,$E16,$G16,$I16,$K16,$M16,$O16,$Q16)</f>
        <v>0</v>
      </c>
      <c r="V16" s="1">
        <f>MAX($B16,$D16,$F16,$H16,$J16,$L16,$N16,$P16)</f>
        <v>0</v>
      </c>
      <c r="W16" s="1">
        <f>MAX($C16,$E16,$G16,$I16,$K16,$M16,$O16,$Q16)</f>
        <v>0</v>
      </c>
    </row>
    <row r="17" spans="1:2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2"/>
      <c r="F17" s="1"/>
      <c r="G17" s="2"/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/>
      <c r="K17" s="2"/>
      <c r="L17" s="1"/>
      <c r="M17" s="2"/>
      <c r="N17" s="1"/>
      <c r="O17" s="2"/>
      <c r="P17" s="1"/>
      <c r="Q17" s="2"/>
      <c r="R17" s="1">
        <f>MIN($B17,$D17,$F17,$H17,$J17,$L17,$N17,$P17)</f>
        <v>0</v>
      </c>
      <c r="S17" s="1">
        <f>MIN($C17,$E17,$G17,$I17,$K17,$M17,$O17,$Q17)</f>
        <v>0</v>
      </c>
      <c r="T17" s="1">
        <f>MEDIAN($B17,$D17,$F17,$H17,$J17,$L17,$N17,$P17)</f>
        <v>0</v>
      </c>
      <c r="U17" s="1">
        <f>MEDIAN($C17,$E17,$G17,$I17,$K17,$M17,$O17,$Q17)</f>
        <v>0</v>
      </c>
      <c r="V17" s="1">
        <f>MAX($B17,$D17,$F17,$H17,$J17,$L17,$N17,$P17)</f>
        <v>0</v>
      </c>
      <c r="W17" s="1">
        <f>MAX($C17,$E17,$G17,$I17,$K17,$M17,$O17,$Q17)</f>
        <v>0</v>
      </c>
    </row>
    <row r="18" spans="1:2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2"/>
      <c r="F18" s="1"/>
      <c r="G18" s="2"/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/>
      <c r="K18" s="2"/>
      <c r="L18" s="1"/>
      <c r="M18" s="2"/>
      <c r="N18" s="1"/>
      <c r="O18" s="2"/>
      <c r="P18" s="1"/>
      <c r="Q18" s="2"/>
      <c r="R18" s="1">
        <f>MIN($B18,$D18,$F18,$H18,$J18,$L18,$N18,$P18)</f>
        <v>0</v>
      </c>
      <c r="S18" s="1">
        <f>MIN($C18,$E18,$G18,$I18,$K18,$M18,$O18,$Q18)</f>
        <v>0</v>
      </c>
      <c r="T18" s="1">
        <f>MEDIAN($B18,$D18,$F18,$H18,$J18,$L18,$N18,$P18)</f>
        <v>0</v>
      </c>
      <c r="U18" s="1">
        <f>MEDIAN($C18,$E18,$G18,$I18,$K18,$M18,$O18,$Q18)</f>
        <v>0</v>
      </c>
      <c r="V18" s="1">
        <f>MAX($B18,$D18,$F18,$H18,$J18,$L18,$N18,$P18)</f>
        <v>0</v>
      </c>
      <c r="W18" s="1">
        <f>MAX($C18,$E18,$G18,$I18,$K18,$M18,$O18,$Q18)</f>
        <v>0</v>
      </c>
    </row>
    <row r="19" spans="1:2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2"/>
      <c r="F19" s="1"/>
      <c r="G19" s="2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/>
      <c r="K19" s="2"/>
      <c r="L19" s="1"/>
      <c r="M19" s="2"/>
      <c r="N19" s="1"/>
      <c r="O19" s="2"/>
      <c r="P19" s="1"/>
      <c r="Q19" s="2"/>
      <c r="R19" s="1">
        <f>MIN($B19,$D19,$F19,$H19,$J19,$L19,$N19,$P19)</f>
        <v>0</v>
      </c>
      <c r="S19" s="1">
        <f>MIN($C19,$E19,$G19,$I19,$K19,$M19,$O19,$Q19)</f>
        <v>0</v>
      </c>
      <c r="T19" s="1">
        <f>MEDIAN($B19,$D19,$F19,$H19,$J19,$L19,$N19,$P19)</f>
        <v>0</v>
      </c>
      <c r="U19" s="1">
        <f>MEDIAN($C19,$E19,$G19,$I19,$K19,$M19,$O19,$Q19)</f>
        <v>0</v>
      </c>
      <c r="V19" s="1">
        <f>MAX($B19,$D19,$F19,$H19,$J19,$L19,$N19,$P19)</f>
        <v>0</v>
      </c>
      <c r="W19" s="1">
        <f>MAX($C19,$E19,$G19,$I19,$K19,$M19,$O19,$Q19)</f>
        <v>0</v>
      </c>
    </row>
    <row r="20" spans="1:2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2"/>
      <c r="F20" s="1"/>
      <c r="G20" s="2"/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/>
      <c r="K20" s="2"/>
      <c r="L20" s="1"/>
      <c r="M20" s="2"/>
      <c r="N20" s="1"/>
      <c r="O20" s="2"/>
      <c r="P20" s="1"/>
      <c r="Q20" s="2"/>
      <c r="R20" s="1">
        <f>MIN($B20,$D20,$F20,$H20,$J20,$L20,$N20,$P20)</f>
        <v>0</v>
      </c>
      <c r="S20" s="1">
        <f>MIN($C20,$E20,$G20,$I20,$K20,$M20,$O20,$Q20)</f>
        <v>0</v>
      </c>
      <c r="T20" s="1">
        <f>MEDIAN($B20,$D20,$F20,$H20,$J20,$L20,$N20,$P20)</f>
        <v>0</v>
      </c>
      <c r="U20" s="1">
        <f>MEDIAN($C20,$E20,$G20,$I20,$K20,$M20,$O20,$Q20)</f>
        <v>0</v>
      </c>
      <c r="V20" s="1">
        <f>MAX($B20,$D20,$F20,$H20,$J20,$L20,$N20,$P20)</f>
        <v>0</v>
      </c>
      <c r="W20" s="1">
        <f>MAX($C20,$E20,$G20,$I20,$K20,$M20,$O20,$Q20)</f>
        <v>0</v>
      </c>
    </row>
    <row r="21" spans="1:2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2"/>
      <c r="F21" s="1"/>
      <c r="G21" s="2"/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/>
      <c r="K21" s="2"/>
      <c r="L21" s="1"/>
      <c r="M21" s="2"/>
      <c r="N21" s="1"/>
      <c r="O21" s="2"/>
      <c r="P21" s="1"/>
      <c r="Q21" s="2"/>
      <c r="R21" s="1">
        <f>MIN($B21,$D21,$F21,$H21,$J21,$L21,$N21,$P21)</f>
        <v>0</v>
      </c>
      <c r="S21" s="1">
        <f>MIN($C21,$E21,$G21,$I21,$K21,$M21,$O21,$Q21)</f>
        <v>0</v>
      </c>
      <c r="T21" s="1">
        <f>MEDIAN($B21,$D21,$F21,$H21,$J21,$L21,$N21,$P21)</f>
        <v>0</v>
      </c>
      <c r="U21" s="1">
        <f>MEDIAN($C21,$E21,$G21,$I21,$K21,$M21,$O21,$Q21)</f>
        <v>0</v>
      </c>
      <c r="V21" s="1">
        <f>MAX($B21,$D21,$F21,$H21,$J21,$L21,$N21,$P21)</f>
        <v>0</v>
      </c>
      <c r="W21" s="1">
        <f>MAX($C21,$E21,$G21,$I21,$K21,$M21,$O21,$Q21)</f>
        <v>0</v>
      </c>
    </row>
    <row r="22" spans="1:2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2"/>
      <c r="F22" s="1"/>
      <c r="G22" s="2"/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/>
      <c r="K22" s="2"/>
      <c r="L22" s="1"/>
      <c r="M22" s="2"/>
      <c r="N22" s="1"/>
      <c r="O22" s="2"/>
      <c r="P22" s="1"/>
      <c r="Q22" s="2"/>
      <c r="R22" s="1">
        <f>MIN($B22,$D22,$F22,$H22,$J22,$L22,$N22,$P22)</f>
        <v>0</v>
      </c>
      <c r="S22" s="1">
        <f>MIN($C22,$E22,$G22,$I22,$K22,$M22,$O22,$Q22)</f>
        <v>0</v>
      </c>
      <c r="T22" s="1">
        <f>MEDIAN($B22,$D22,$F22,$H22,$J22,$L22,$N22,$P22)</f>
        <v>0</v>
      </c>
      <c r="U22" s="1">
        <f>MEDIAN($C22,$E22,$G22,$I22,$K22,$M22,$O22,$Q22)</f>
        <v>0</v>
      </c>
      <c r="V22" s="1">
        <f>MAX($B22,$D22,$F22,$H22,$J22,$L22,$N22,$P22)</f>
        <v>0</v>
      </c>
      <c r="W22" s="1">
        <f>MAX($C22,$E22,$G22,$I22,$K22,$M22,$O22,$Q22)</f>
        <v>0</v>
      </c>
    </row>
    <row r="23" spans="1:2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2"/>
      <c r="F23" s="1"/>
      <c r="G23" s="2"/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/>
      <c r="K23" s="2"/>
      <c r="L23" s="1"/>
      <c r="M23" s="2"/>
      <c r="N23" s="1"/>
      <c r="O23" s="2"/>
      <c r="P23" s="1"/>
      <c r="Q23" s="2"/>
      <c r="R23" s="1">
        <f>MIN($B23,$D23,$F23,$H23,$J23,$L23,$N23,$P23)</f>
        <v>0</v>
      </c>
      <c r="S23" s="1">
        <f>MIN($C23,$E23,$G23,$I23,$K23,$M23,$O23,$Q23)</f>
        <v>0</v>
      </c>
      <c r="T23" s="1">
        <f>MEDIAN($B23,$D23,$F23,$H23,$J23,$L23,$N23,$P23)</f>
        <v>0</v>
      </c>
      <c r="U23" s="1">
        <f>MEDIAN($C23,$E23,$G23,$I23,$K23,$M23,$O23,$Q23)</f>
        <v>0</v>
      </c>
      <c r="V23" s="1">
        <f>MAX($B23,$D23,$F23,$H23,$J23,$L23,$N23,$P23)</f>
        <v>0</v>
      </c>
      <c r="W23" s="1">
        <f>MAX($C23,$E23,$G23,$I23,$K23,$M23,$O23,$Q23)</f>
        <v>0</v>
      </c>
    </row>
    <row r="24" spans="1:2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2"/>
      <c r="F24" s="1"/>
      <c r="G24" s="2"/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/>
      <c r="K24" s="2"/>
      <c r="L24" s="1"/>
      <c r="M24" s="2"/>
      <c r="N24" s="1"/>
      <c r="O24" s="2"/>
      <c r="P24" s="1"/>
      <c r="Q24" s="2"/>
      <c r="R24" s="1">
        <f>MIN($B24,$D24,$F24,$H24,$J24,$L24,$N24,$P24)</f>
        <v>0</v>
      </c>
      <c r="S24" s="1">
        <f>MIN($C24,$E24,$G24,$I24,$K24,$M24,$O24,$Q24)</f>
        <v>0</v>
      </c>
      <c r="T24" s="1">
        <f>MEDIAN($B24,$D24,$F24,$H24,$J24,$L24,$N24,$P24)</f>
        <v>0</v>
      </c>
      <c r="U24" s="1">
        <f>MEDIAN($C24,$E24,$G24,$I24,$K24,$M24,$O24,$Q24)</f>
        <v>0</v>
      </c>
      <c r="V24" s="1">
        <f>MAX($B24,$D24,$F24,$H24,$J24,$L24,$N24,$P24)</f>
        <v>0</v>
      </c>
      <c r="W24" s="1">
        <f>MAX($C24,$E24,$G24,$I24,$K24,$M24,$O24,$Q24)</f>
        <v>0</v>
      </c>
    </row>
    <row r="25" spans="1:2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2"/>
      <c r="F25" s="1"/>
      <c r="G25" s="2"/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/>
      <c r="K25" s="2"/>
      <c r="L25" s="1"/>
      <c r="M25" s="2"/>
      <c r="N25" s="1"/>
      <c r="O25" s="2"/>
      <c r="P25" s="1"/>
      <c r="Q25" s="2"/>
      <c r="R25" s="1">
        <f>MIN($B25,$D25,$F25,$H25,$J25,$L25,$N25,$P25)</f>
        <v>0</v>
      </c>
      <c r="S25" s="1">
        <f>MIN($C25,$E25,$G25,$I25,$K25,$M25,$O25,$Q25)</f>
        <v>0</v>
      </c>
      <c r="T25" s="1">
        <f>MEDIAN($B25,$D25,$F25,$H25,$J25,$L25,$N25,$P25)</f>
        <v>0</v>
      </c>
      <c r="U25" s="1">
        <f>MEDIAN($C25,$E25,$G25,$I25,$K25,$M25,$O25,$Q25)</f>
        <v>0</v>
      </c>
      <c r="V25" s="1">
        <f>MAX($B25,$D25,$F25,$H25,$J25,$L25,$N25,$P25)</f>
        <v>0</v>
      </c>
      <c r="W25" s="1">
        <f>MAX($C25,$E25,$G25,$I25,$K25,$M25,$O25,$Q25)</f>
        <v>0</v>
      </c>
    </row>
    <row r="26" spans="1:2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2"/>
      <c r="F26" s="1"/>
      <c r="G26" s="2"/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/>
      <c r="K26" s="2"/>
      <c r="L26" s="1"/>
      <c r="M26" s="2"/>
      <c r="N26" s="1"/>
      <c r="O26" s="2"/>
      <c r="P26" s="1"/>
      <c r="Q26" s="2"/>
      <c r="R26" s="1">
        <f>MIN($B26,$D26,$F26,$H26,$J26,$L26,$N26,$P26)</f>
        <v>0</v>
      </c>
      <c r="S26" s="1">
        <f>MIN($C26,$E26,$G26,$I26,$K26,$M26,$O26,$Q26)</f>
        <v>0</v>
      </c>
      <c r="T26" s="1">
        <f>MEDIAN($B26,$D26,$F26,$H26,$J26,$L26,$N26,$P26)</f>
        <v>0</v>
      </c>
      <c r="U26" s="1">
        <f>MEDIAN($C26,$E26,$G26,$I26,$K26,$M26,$O26,$Q26)</f>
        <v>0</v>
      </c>
      <c r="V26" s="1">
        <f>MAX($B26,$D26,$F26,$H26,$J26,$L26,$N26,$P26)</f>
        <v>0</v>
      </c>
      <c r="W26" s="1">
        <f>MAX($C26,$E26,$G26,$I26,$K26,$M26,$O26,$Q26)</f>
        <v>0</v>
      </c>
    </row>
    <row r="27" spans="1:2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2"/>
      <c r="F27" s="1"/>
      <c r="G27" s="2"/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/>
      <c r="K27" s="2"/>
      <c r="L27" s="1"/>
      <c r="M27" s="2"/>
      <c r="N27" s="1"/>
      <c r="O27" s="2"/>
      <c r="P27" s="1"/>
      <c r="Q27" s="2"/>
      <c r="R27" s="1">
        <f>MIN($B27,$D27,$F27,$H27,$J27,$L27,$N27,$P27)</f>
        <v>0</v>
      </c>
      <c r="S27" s="1">
        <f>MIN($C27,$E27,$G27,$I27,$K27,$M27,$O27,$Q27)</f>
        <v>0</v>
      </c>
      <c r="T27" s="1">
        <f>MEDIAN($B27,$D27,$F27,$H27,$J27,$L27,$N27,$P27)</f>
        <v>0</v>
      </c>
      <c r="U27" s="1">
        <f>MEDIAN($C27,$E27,$G27,$I27,$K27,$M27,$O27,$Q27)</f>
        <v>0</v>
      </c>
      <c r="V27" s="1">
        <f>MAX($B27,$D27,$F27,$H27,$J27,$L27,$N27,$P27)</f>
        <v>0</v>
      </c>
      <c r="W27" s="1">
        <f>MAX($C27,$E27,$G27,$I27,$K27,$M27,$O27,$Q27)</f>
        <v>0</v>
      </c>
    </row>
    <row r="28" spans="1:2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2"/>
      <c r="F28" s="1"/>
      <c r="G28" s="2"/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/>
      <c r="K28" s="2"/>
      <c r="L28" s="1"/>
      <c r="M28" s="2"/>
      <c r="N28" s="1"/>
      <c r="O28" s="2"/>
      <c r="P28" s="1"/>
      <c r="Q28" s="2"/>
      <c r="R28" s="1">
        <f>MIN($B28,$D28,$F28,$H28,$J28,$L28,$N28,$P28)</f>
        <v>0</v>
      </c>
      <c r="S28" s="1">
        <f>MIN($C28,$E28,$G28,$I28,$K28,$M28,$O28,$Q28)</f>
        <v>0</v>
      </c>
      <c r="T28" s="1">
        <f>MEDIAN($B28,$D28,$F28,$H28,$J28,$L28,$N28,$P28)</f>
        <v>0</v>
      </c>
      <c r="U28" s="1">
        <f>MEDIAN($C28,$E28,$G28,$I28,$K28,$M28,$O28,$Q28)</f>
        <v>0</v>
      </c>
      <c r="V28" s="1">
        <f>MAX($B28,$D28,$F28,$H28,$J28,$L28,$N28,$P28)</f>
        <v>0</v>
      </c>
      <c r="W28" s="1">
        <f>MAX($C28,$E28,$G28,$I28,$K28,$M28,$O28,$Q28)</f>
        <v>0</v>
      </c>
    </row>
    <row r="29" spans="1:2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2"/>
      <c r="F29" s="1"/>
      <c r="G29" s="2"/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/>
      <c r="K29" s="2"/>
      <c r="L29" s="1"/>
      <c r="M29" s="2"/>
      <c r="N29" s="1"/>
      <c r="O29" s="2"/>
      <c r="P29" s="1"/>
      <c r="Q29" s="2"/>
      <c r="R29" s="1">
        <f>MIN($B29,$D29,$F29,$H29,$J29,$L29,$N29,$P29)</f>
        <v>0</v>
      </c>
      <c r="S29" s="1">
        <f>MIN($C29,$E29,$G29,$I29,$K29,$M29,$O29,$Q29)</f>
        <v>0</v>
      </c>
      <c r="T29" s="1">
        <f>MEDIAN($B29,$D29,$F29,$H29,$J29,$L29,$N29,$P29)</f>
        <v>0</v>
      </c>
      <c r="U29" s="1">
        <f>MEDIAN($C29,$E29,$G29,$I29,$K29,$M29,$O29,$Q29)</f>
        <v>0</v>
      </c>
      <c r="V29" s="1">
        <f>MAX($B29,$D29,$F29,$H29,$J29,$L29,$N29,$P29)</f>
        <v>0</v>
      </c>
      <c r="W29" s="1">
        <f>MAX($C29,$E29,$G29,$I29,$K29,$M29,$O29,$Q29)</f>
        <v>0</v>
      </c>
    </row>
    <row r="30" spans="1:2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2"/>
      <c r="F30" s="1"/>
      <c r="G30" s="2"/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/>
      <c r="K30" s="2"/>
      <c r="L30" s="1"/>
      <c r="M30" s="2"/>
      <c r="N30" s="1"/>
      <c r="O30" s="2"/>
      <c r="P30" s="1"/>
      <c r="Q30" s="2"/>
      <c r="R30" s="1">
        <f>MIN($B30,$D30,$F30,$H30,$J30,$L30,$N30,$P30)</f>
        <v>0</v>
      </c>
      <c r="S30" s="1">
        <f>MIN($C30,$E30,$G30,$I30,$K30,$M30,$O30,$Q30)</f>
        <v>0</v>
      </c>
      <c r="T30" s="1">
        <f>MEDIAN($B30,$D30,$F30,$H30,$J30,$L30,$N30,$P30)</f>
        <v>0</v>
      </c>
      <c r="U30" s="1">
        <f>MEDIAN($C30,$E30,$G30,$I30,$K30,$M30,$O30,$Q30)</f>
        <v>0</v>
      </c>
      <c r="V30" s="1">
        <f>MAX($B30,$D30,$F30,$H30,$J30,$L30,$N30,$P30)</f>
        <v>0</v>
      </c>
      <c r="W30" s="1">
        <f>MAX($C30,$E30,$G30,$I30,$K30,$M30,$O30,$Q30)</f>
        <v>0</v>
      </c>
    </row>
    <row r="31" spans="1:2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2"/>
      <c r="F31" s="1"/>
      <c r="G31" s="2"/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/>
      <c r="K31" s="2"/>
      <c r="L31" s="1"/>
      <c r="M31" s="2"/>
      <c r="N31" s="1"/>
      <c r="O31" s="2"/>
      <c r="P31" s="1"/>
      <c r="Q31" s="2"/>
      <c r="R31" s="1">
        <f>MIN($B31,$D31,$F31,$H31,$J31,$L31,$N31,$P31)</f>
        <v>0</v>
      </c>
      <c r="S31" s="1">
        <f>MIN($C31,$E31,$G31,$I31,$K31,$M31,$O31,$Q31)</f>
        <v>0</v>
      </c>
      <c r="T31" s="1">
        <f>MEDIAN($B31,$D31,$F31,$H31,$J31,$L31,$N31,$P31)</f>
        <v>0</v>
      </c>
      <c r="U31" s="1">
        <f>MEDIAN($C31,$E31,$G31,$I31,$K31,$M31,$O31,$Q31)</f>
        <v>0</v>
      </c>
      <c r="V31" s="1">
        <f>MAX($B31,$D31,$F31,$H31,$J31,$L31,$N31,$P31)</f>
        <v>0</v>
      </c>
      <c r="W31" s="1">
        <f>MAX($C31,$E31,$G31,$I31,$K31,$M31,$O31,$Q31)</f>
        <v>0</v>
      </c>
    </row>
    <row r="32" spans="1:2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2"/>
      <c r="F32" s="1"/>
      <c r="G32" s="2"/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/>
      <c r="K32" s="2"/>
      <c r="L32" s="1"/>
      <c r="M32" s="2"/>
      <c r="N32" s="1"/>
      <c r="O32" s="2"/>
      <c r="P32" s="1"/>
      <c r="Q32" s="2"/>
      <c r="R32" s="1">
        <f>MIN($B32,$D32,$F32,$H32,$J32,$L32,$N32,$P32)</f>
        <v>0</v>
      </c>
      <c r="S32" s="1">
        <f>MIN($C32,$E32,$G32,$I32,$K32,$M32,$O32,$Q32)</f>
        <v>0</v>
      </c>
      <c r="T32" s="1">
        <f>MEDIAN($B32,$D32,$F32,$H32,$J32,$L32,$N32,$P32)</f>
        <v>0</v>
      </c>
      <c r="U32" s="1">
        <f>MEDIAN($C32,$E32,$G32,$I32,$K32,$M32,$O32,$Q32)</f>
        <v>0</v>
      </c>
      <c r="V32" s="1">
        <f>MAX($B32,$D32,$F32,$H32,$J32,$L32,$N32,$P32)</f>
        <v>0</v>
      </c>
      <c r="W32" s="1">
        <f>MAX($C32,$E32,$G32,$I32,$K32,$M32,$O32,$Q32)</f>
        <v>0</v>
      </c>
    </row>
    <row r="33" spans="1:2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2"/>
      <c r="F33" s="1"/>
      <c r="G33" s="2"/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/>
      <c r="K33" s="2"/>
      <c r="L33" s="1"/>
      <c r="M33" s="2"/>
      <c r="N33" s="1"/>
      <c r="O33" s="2"/>
      <c r="P33" s="1"/>
      <c r="Q33" s="2"/>
      <c r="R33" s="1">
        <f>MIN($B33,$D33,$F33,$H33,$J33,$L33,$N33,$P33)</f>
        <v>0</v>
      </c>
      <c r="S33" s="1">
        <f>MIN($C33,$E33,$G33,$I33,$K33,$M33,$O33,$Q33)</f>
        <v>0</v>
      </c>
      <c r="T33" s="1">
        <f>MEDIAN($B33,$D33,$F33,$H33,$J33,$L33,$N33,$P33)</f>
        <v>0</v>
      </c>
      <c r="U33" s="1">
        <f>MEDIAN($C33,$E33,$G33,$I33,$K33,$M33,$O33,$Q33)</f>
        <v>0</v>
      </c>
      <c r="V33" s="1">
        <f>MAX($B33,$D33,$F33,$H33,$J33,$L33,$N33,$P33)</f>
        <v>0</v>
      </c>
      <c r="W33" s="1">
        <f>MAX($C33,$E33,$G33,$I33,$K33,$M33,$O33,$Q33)</f>
        <v>0</v>
      </c>
    </row>
    <row r="34" spans="1:2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2"/>
      <c r="F34" s="1"/>
      <c r="G34" s="2"/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/>
      <c r="K34" s="2"/>
      <c r="L34" s="1"/>
      <c r="M34" s="2"/>
      <c r="N34" s="1"/>
      <c r="O34" s="2"/>
      <c r="P34" s="1"/>
      <c r="Q34" s="2"/>
      <c r="R34" s="1">
        <f>MIN($B34,$D34,$F34,$H34,$J34,$L34,$N34,$P34)</f>
        <v>0</v>
      </c>
      <c r="S34" s="1">
        <f>MIN($C34,$E34,$G34,$I34,$K34,$M34,$O34,$Q34)</f>
        <v>0</v>
      </c>
      <c r="T34" s="1">
        <f>MEDIAN($B34,$D34,$F34,$H34,$J34,$L34,$N34,$P34)</f>
        <v>0</v>
      </c>
      <c r="U34" s="1">
        <f>MEDIAN($C34,$E34,$G34,$I34,$K34,$M34,$O34,$Q34)</f>
        <v>0</v>
      </c>
      <c r="V34" s="1">
        <f>MAX($B34,$D34,$F34,$H34,$J34,$L34,$N34,$P34)</f>
        <v>0</v>
      </c>
      <c r="W34" s="1">
        <f>MAX($C34,$E34,$G34,$I34,$K34,$M34,$O34,$Q34)</f>
        <v>0</v>
      </c>
    </row>
    <row r="35" spans="1:2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2"/>
      <c r="F35" s="1"/>
      <c r="G35" s="2"/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/>
      <c r="K35" s="2"/>
      <c r="L35" s="1"/>
      <c r="M35" s="2"/>
      <c r="N35" s="1"/>
      <c r="O35" s="2"/>
      <c r="P35" s="1"/>
      <c r="Q35" s="2"/>
      <c r="R35" s="1">
        <f>MIN($B35,$D35,$F35,$H35,$J35,$L35,$N35,$P35)</f>
        <v>0</v>
      </c>
      <c r="S35" s="1">
        <f>MIN($C35,$E35,$G35,$I35,$K35,$M35,$O35,$Q35)</f>
        <v>0</v>
      </c>
      <c r="T35" s="1">
        <f>MEDIAN($B35,$D35,$F35,$H35,$J35,$L35,$N35,$P35)</f>
        <v>0</v>
      </c>
      <c r="U35" s="1">
        <f>MEDIAN($C35,$E35,$G35,$I35,$K35,$M35,$O35,$Q35)</f>
        <v>0</v>
      </c>
      <c r="V35" s="1">
        <f>MAX($B35,$D35,$F35,$H35,$J35,$L35,$N35,$P35)</f>
        <v>0</v>
      </c>
      <c r="W35" s="1">
        <f>MAX($C35,$E35,$G35,$I35,$K35,$M35,$O35,$Q35)</f>
        <v>0</v>
      </c>
    </row>
    <row r="36" spans="1:2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2"/>
      <c r="F36" s="1"/>
      <c r="G36" s="2"/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/>
      <c r="K36" s="2"/>
      <c r="L36" s="1"/>
      <c r="M36" s="2"/>
      <c r="N36" s="1"/>
      <c r="O36" s="2"/>
      <c r="P36" s="1"/>
      <c r="Q36" s="2"/>
      <c r="R36" s="1">
        <f>MIN($B36,$D36,$F36,$H36,$J36,$L36,$N36,$P36)</f>
        <v>0</v>
      </c>
      <c r="S36" s="1">
        <f>MIN($C36,$E36,$G36,$I36,$K36,$M36,$O36,$Q36)</f>
        <v>0</v>
      </c>
      <c r="T36" s="1">
        <f>MEDIAN($B36,$D36,$F36,$H36,$J36,$L36,$N36,$P36)</f>
        <v>0</v>
      </c>
      <c r="U36" s="1">
        <f>MEDIAN($C36,$E36,$G36,$I36,$K36,$M36,$O36,$Q36)</f>
        <v>0</v>
      </c>
      <c r="V36" s="1">
        <f>MAX($B36,$D36,$F36,$H36,$J36,$L36,$N36,$P36)</f>
        <v>0</v>
      </c>
      <c r="W36" s="1">
        <f>MAX($C36,$E36,$G36,$I36,$K36,$M36,$O36,$Q36)</f>
        <v>0</v>
      </c>
    </row>
    <row r="37" spans="1:2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2"/>
      <c r="F37" s="1"/>
      <c r="G37" s="2"/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/>
      <c r="K37" s="2"/>
      <c r="L37" s="1"/>
      <c r="M37" s="2"/>
      <c r="N37" s="1"/>
      <c r="O37" s="2"/>
      <c r="P37" s="1"/>
      <c r="Q37" s="2"/>
      <c r="R37" s="1">
        <f>MIN($B37,$D37,$F37,$H37,$J37,$L37,$N37,$P37)</f>
        <v>0</v>
      </c>
      <c r="S37" s="1">
        <f>MIN($C37,$E37,$G37,$I37,$K37,$M37,$O37,$Q37)</f>
        <v>0</v>
      </c>
      <c r="T37" s="1">
        <f>MEDIAN($B37,$D37,$F37,$H37,$J37,$L37,$N37,$P37)</f>
        <v>0</v>
      </c>
      <c r="U37" s="1">
        <f>MEDIAN($C37,$E37,$G37,$I37,$K37,$M37,$O37,$Q37)</f>
        <v>0</v>
      </c>
      <c r="V37" s="1">
        <f>MAX($B37,$D37,$F37,$H37,$J37,$L37,$N37,$P37)</f>
        <v>0</v>
      </c>
      <c r="W37" s="1">
        <f>MAX($C37,$E37,$G37,$I37,$K37,$M37,$O37,$Q37)</f>
        <v>0</v>
      </c>
    </row>
    <row r="38" spans="1:2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2"/>
      <c r="F38" s="1"/>
      <c r="G38" s="2"/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/>
      <c r="K38" s="2"/>
      <c r="L38" s="1"/>
      <c r="M38" s="2"/>
      <c r="N38" s="1"/>
      <c r="O38" s="2"/>
      <c r="P38" s="1"/>
      <c r="Q38" s="2"/>
      <c r="R38" s="1">
        <f>MIN($B38,$D38,$F38,$H38,$J38,$L38,$N38,$P38)</f>
        <v>0</v>
      </c>
      <c r="S38" s="1">
        <f>MIN($C38,$E38,$G38,$I38,$K38,$M38,$O38,$Q38)</f>
        <v>0</v>
      </c>
      <c r="T38" s="1">
        <f>MEDIAN($B38,$D38,$F38,$H38,$J38,$L38,$N38,$P38)</f>
        <v>0</v>
      </c>
      <c r="U38" s="1">
        <f>MEDIAN($C38,$E38,$G38,$I38,$K38,$M38,$O38,$Q38)</f>
        <v>0</v>
      </c>
      <c r="V38" s="1">
        <f>MAX($B38,$D38,$F38,$H38,$J38,$L38,$N38,$P38)</f>
        <v>0</v>
      </c>
      <c r="W38" s="1">
        <f>MAX($C38,$E38,$G38,$I38,$K38,$M38,$O38,$Q38)</f>
        <v>0</v>
      </c>
    </row>
    <row r="39" spans="1:2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/>
      <c r="E39" s="2"/>
      <c r="F39" s="1"/>
      <c r="G39" s="2"/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/>
      <c r="K39" s="2"/>
      <c r="L39" s="1"/>
      <c r="M39" s="2"/>
      <c r="N39" s="1"/>
      <c r="O39" s="2"/>
      <c r="P39" s="1"/>
      <c r="Q39" s="2"/>
      <c r="R39" s="1">
        <f>MIN($B39,$D39,$F39,$H39,$J39,$L39,$N39,$P39)</f>
        <v>0</v>
      </c>
      <c r="S39" s="1">
        <f>MIN($C39,$E39,$G39,$I39,$K39,$M39,$O39,$Q39)</f>
        <v>0</v>
      </c>
      <c r="T39" s="1">
        <f>MEDIAN($B39,$D39,$F39,$H39,$J39,$L39,$N39,$P39)</f>
        <v>0</v>
      </c>
      <c r="U39" s="1">
        <f>MEDIAN($C39,$E39,$G39,$I39,$K39,$M39,$O39,$Q39)</f>
        <v>0</v>
      </c>
      <c r="V39" s="1">
        <f>MAX($B39,$D39,$F39,$H39,$J39,$L39,$N39,$P39)</f>
        <v>0</v>
      </c>
      <c r="W39" s="1">
        <f>MAX($C39,$E39,$G39,$I39,$K39,$M39,$O39,$Q39)</f>
        <v>0</v>
      </c>
    </row>
    <row r="40" spans="1:2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/>
      <c r="E40" s="2"/>
      <c r="F40" s="1"/>
      <c r="G40" s="2"/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/>
      <c r="K40" s="2"/>
      <c r="L40" s="1"/>
      <c r="M40" s="2"/>
      <c r="N40" s="1"/>
      <c r="O40" s="2"/>
      <c r="P40" s="1"/>
      <c r="Q40" s="2"/>
      <c r="R40" s="1">
        <f>MIN($B40,$D40,$F40,$H40,$J40,$L40,$N40,$P40)</f>
        <v>0</v>
      </c>
      <c r="S40" s="1">
        <f>MIN($C40,$E40,$G40,$I40,$K40,$M40,$O40,$Q40)</f>
        <v>0</v>
      </c>
      <c r="T40" s="1">
        <f>MEDIAN($B40,$D40,$F40,$H40,$J40,$L40,$N40,$P40)</f>
        <v>0</v>
      </c>
      <c r="U40" s="1">
        <f>MEDIAN($C40,$E40,$G40,$I40,$K40,$M40,$O40,$Q40)</f>
        <v>0</v>
      </c>
      <c r="V40" s="1">
        <f>MAX($B40,$D40,$F40,$H40,$J40,$L40,$N40,$P40)</f>
        <v>0</v>
      </c>
      <c r="W40" s="1">
        <f>MAX($C40,$E40,$G40,$I40,$K40,$M40,$O40,$Q40)</f>
        <v>0</v>
      </c>
    </row>
    <row r="41" spans="1:2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/>
      <c r="E41" s="2"/>
      <c r="F41" s="1"/>
      <c r="G41" s="2"/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/>
      <c r="K41" s="2"/>
      <c r="L41" s="1"/>
      <c r="M41" s="2"/>
      <c r="N41" s="1"/>
      <c r="O41" s="2"/>
      <c r="P41" s="1"/>
      <c r="Q41" s="2"/>
      <c r="R41" s="1">
        <f>MIN($B41,$D41,$F41,$H41,$J41,$L41,$N41,$P41)</f>
        <v>0</v>
      </c>
      <c r="S41" s="1">
        <f>MIN($C41,$E41,$G41,$I41,$K41,$M41,$O41,$Q41)</f>
        <v>0</v>
      </c>
      <c r="T41" s="1">
        <f>MEDIAN($B41,$D41,$F41,$H41,$J41,$L41,$N41,$P41)</f>
        <v>0</v>
      </c>
      <c r="U41" s="1">
        <f>MEDIAN($C41,$E41,$G41,$I41,$K41,$M41,$O41,$Q41)</f>
        <v>0</v>
      </c>
      <c r="V41" s="1">
        <f>MAX($B41,$D41,$F41,$H41,$J41,$L41,$N41,$P41)</f>
        <v>0</v>
      </c>
      <c r="W41" s="1">
        <f>MAX($C41,$E41,$G41,$I41,$K41,$M41,$O41,$Q41)</f>
        <v>0</v>
      </c>
    </row>
    <row r="42" spans="1:2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/>
      <c r="E42" s="2"/>
      <c r="F42" s="1"/>
      <c r="G42" s="2"/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/>
      <c r="K42" s="2"/>
      <c r="L42" s="1"/>
      <c r="M42" s="2"/>
      <c r="N42" s="1"/>
      <c r="O42" s="2"/>
      <c r="P42" s="1"/>
      <c r="Q42" s="2"/>
      <c r="R42" s="1">
        <f>MIN($B42,$D42,$F42,$H42,$J42,$L42,$N42,$P42)</f>
        <v>0</v>
      </c>
      <c r="S42" s="1">
        <f>MIN($C42,$E42,$G42,$I42,$K42,$M42,$O42,$Q42)</f>
        <v>0</v>
      </c>
      <c r="T42" s="1">
        <f>MEDIAN($B42,$D42,$F42,$H42,$J42,$L42,$N42,$P42)</f>
        <v>0</v>
      </c>
      <c r="U42" s="1">
        <f>MEDIAN($C42,$E42,$G42,$I42,$K42,$M42,$O42,$Q42)</f>
        <v>0</v>
      </c>
      <c r="V42" s="1">
        <f>MAX($B42,$D42,$F42,$H42,$J42,$L42,$N42,$P42)</f>
        <v>0</v>
      </c>
      <c r="W42" s="1">
        <f>MAX($C42,$E42,$G42,$I42,$K42,$M42,$O42,$Q42)</f>
        <v>0</v>
      </c>
    </row>
    <row r="43" spans="1:23">
      <c r="A43" s="1" t="s">
        <v>0</v>
      </c>
      <c r="B43" s="1"/>
      <c r="C43" s="1"/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/>
      <c r="I43" s="1"/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 cm="1">
        <f t="array" ref="L43">_xlfn.SWITCH($A$2,"average", AVERAGE(Instances!L43:Instances!L43),"median", MEDIAN(Instances!L43:Instances!L43),"min", MIN(Instances!L43:Instances!L43),"max", MAX(Instances!L43:Instances!L43),"diff", MAX(Instances!L43:Instances!L43)-MIN(Instances!L43:Instances!L43))</f>
        <v>0</v>
      </c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 cm="1">
        <f t="array" ref="O43">_xlfn.SWITCH($A$2,"average", AVERAGE(Instances!O43:Instances!O43),"median", MEDIAN(Instances!O43:Instances!O43),"min", MIN(Instances!O43:Instances!O43),"max", MAX(Instances!O43:Instances!O43),"diff", MAX(Instances!O43:Instances!O43)-MIN(Instances!O43:Instances!O43))</f>
        <v>0</v>
      </c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>
        <f>MIN($B43,$D43,$F43,$H43,$J43,$L43,$N43,$P43)</f>
        <v>0</v>
      </c>
      <c r="S43" s="1">
        <f>MIN($C43,$E43,$G43,$I43,$K43,$M43,$O43,$Q43)</f>
        <v>0</v>
      </c>
      <c r="T43" s="1">
        <f>MEDIAN($B43,$D43,$F43,$H43,$J43,$L43,$N43,$P43)</f>
        <v>0</v>
      </c>
      <c r="U43" s="1">
        <f>MEDIAN($C43,$E43,$G43,$I43,$K43,$M43,$O43,$Q43)</f>
        <v>0</v>
      </c>
      <c r="V43" s="1">
        <f>MAX($B43,$D43,$F43,$H43,$J43,$L43,$N43,$P43)</f>
        <v>0</v>
      </c>
      <c r="W43" s="1">
        <f>MAX($C43,$E43,$G43,$I43,$K43,$M43,$O43,$Q43)</f>
        <v>0</v>
      </c>
    </row>
    <row r="44" spans="1:23">
      <c r="A44" s="1" t="s">
        <v>1</v>
      </c>
      <c r="B44" s="1"/>
      <c r="C44" s="1"/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/>
      <c r="I44" s="1"/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 cm="1">
        <f t="array" ref="L44">_xlfn.SWITCH($A$2,"average", AVERAGE(Instances!L44:Instances!L44),"median", MEDIAN(Instances!L44:Instances!L44),"min", MIN(Instances!L44:Instances!L44),"max", MAX(Instances!L44:Instances!L44),"diff", MAX(Instances!L44:Instances!L44)-MIN(Instances!L44:Instances!L44))</f>
        <v>0</v>
      </c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 cm="1">
        <f t="array" ref="O44">_xlfn.SWITCH($A$2,"average", AVERAGE(Instances!O44:Instances!O44),"median", MEDIAN(Instances!O44:Instances!O44),"min", MIN(Instances!O44:Instances!O44),"max", MAX(Instances!O44:Instances!O44),"diff", MAX(Instances!O44:Instances!O44)-MIN(Instances!O44:Instances!O44))</f>
        <v>0</v>
      </c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>
        <f>MIN($B44,$D44,$F44,$H44,$J44,$L44,$N44,$P44)</f>
        <v>0</v>
      </c>
      <c r="S44" s="1">
        <f>MIN($C44,$E44,$G44,$I44,$K44,$M44,$O44,$Q44)</f>
        <v>0</v>
      </c>
      <c r="T44" s="1">
        <f>MEDIAN($B44,$D44,$F44,$H44,$J44,$L44,$N44,$P44)</f>
        <v>0</v>
      </c>
      <c r="U44" s="1">
        <f>MEDIAN($C44,$E44,$G44,$I44,$K44,$M44,$O44,$Q44)</f>
        <v>0</v>
      </c>
      <c r="V44" s="1">
        <f>MAX($B44,$D44,$F44,$H44,$J44,$L44,$N44,$P44)</f>
        <v>0</v>
      </c>
      <c r="W44" s="1">
        <f>MAX($C44,$E44,$G44,$I44,$K44,$M44,$O44,$Q44)</f>
        <v>0</v>
      </c>
    </row>
    <row r="45" spans="1:23">
      <c r="A45" s="1" t="s">
        <v>2</v>
      </c>
      <c r="B45" s="1"/>
      <c r="C45" s="1"/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/>
      <c r="I45" s="1"/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 cm="1">
        <f t="array" ref="L45">_xlfn.SWITCH($A$2,"average", AVERAGE(Instances!L45:Instances!L45),"median", MEDIAN(Instances!L45:Instances!L45),"min", MIN(Instances!L45:Instances!L45),"max", MAX(Instances!L45:Instances!L45),"diff", MAX(Instances!L45:Instances!L45)-MIN(Instances!L45:Instances!L45))</f>
        <v>0</v>
      </c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 cm="1">
        <f t="array" ref="O45">_xlfn.SWITCH($A$2,"average", AVERAGE(Instances!O45:Instances!O45),"median", MEDIAN(Instances!O45:Instances!O45),"min", MIN(Instances!O45:Instances!O45),"max", MAX(Instances!O45:Instances!O45),"diff", MAX(Instances!O45:Instances!O45)-MIN(Instances!O45:Instances!O45))</f>
        <v>0</v>
      </c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>
        <f>MIN($B45,$D45,$F45,$H45,$J45,$L45,$N45,$P45)</f>
        <v>0</v>
      </c>
      <c r="S45" s="1">
        <f>MIN($C45,$E45,$G45,$I45,$K45,$M45,$O45,$Q45)</f>
        <v>0</v>
      </c>
      <c r="T45" s="1">
        <f>MEDIAN($B45,$D45,$F45,$H45,$J45,$L45,$N45,$P45)</f>
        <v>0</v>
      </c>
      <c r="U45" s="1">
        <f>MEDIAN($C45,$E45,$G45,$I45,$K45,$M45,$O45,$Q45)</f>
        <v>0</v>
      </c>
      <c r="V45" s="1">
        <f>MAX($B45,$D45,$F45,$H45,$J45,$L45,$N45,$P45)</f>
        <v>0</v>
      </c>
      <c r="W45" s="1">
        <f>MAX($C45,$E45,$G45,$I45,$K45,$M45,$O45,$Q45)</f>
        <v>0</v>
      </c>
    </row>
    <row r="46" spans="1:23">
      <c r="A46" s="1" t="s">
        <v>3</v>
      </c>
      <c r="B46" s="1"/>
      <c r="C46" s="1"/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/>
      <c r="I46" s="1"/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 cm="1">
        <f t="array" ref="L46">_xlfn.SWITCH($A$2,"average", AVERAGE(Instances!L46:Instances!L46),"median", MEDIAN(Instances!L46:Instances!L46),"min", MIN(Instances!L46:Instances!L46),"max", MAX(Instances!L46:Instances!L46),"diff", MAX(Instances!L46:Instances!L46)-MIN(Instances!L46:Instances!L46))</f>
        <v>0</v>
      </c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 cm="1">
        <f t="array" ref="O46">_xlfn.SWITCH($A$2,"average", AVERAGE(Instances!O46:Instances!O46),"median", MEDIAN(Instances!O46:Instances!O46),"min", MIN(Instances!O46:Instances!O46),"max", MAX(Instances!O46:Instances!O46),"diff", MAX(Instances!O46:Instances!O46)-MIN(Instances!O46:Instances!O46))</f>
        <v>0</v>
      </c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>
        <f>MIN($B46,$D46,$F46,$H46,$J46,$L46,$N46,$P46)</f>
        <v>0</v>
      </c>
      <c r="S46" s="1">
        <f>MIN($C46,$E46,$G46,$I46,$K46,$M46,$O46,$Q46)</f>
        <v>0</v>
      </c>
      <c r="T46" s="1">
        <f>MEDIAN($B46,$D46,$F46,$H46,$J46,$L46,$N46,$P46)</f>
        <v>0</v>
      </c>
      <c r="U46" s="1">
        <f>MEDIAN($C46,$E46,$G46,$I46,$K46,$M46,$O46,$Q46)</f>
        <v>0</v>
      </c>
      <c r="V46" s="1">
        <f>MAX($B46,$D46,$F46,$H46,$J46,$L46,$N46,$P46)</f>
        <v>0</v>
      </c>
      <c r="W46" s="1">
        <f>MAX($C46,$E46,$G46,$I46,$K46,$M46,$O46,$Q46)</f>
        <v>0</v>
      </c>
    </row>
    <row r="47" spans="1:23">
      <c r="A47" s="1" t="s">
        <v>4</v>
      </c>
      <c r="B47" s="1"/>
      <c r="C47" s="1"/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/>
      <c r="I47" s="1"/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 cm="1">
        <f t="array" ref="L47">_xlfn.SWITCH($A$2,"average", AVERAGE(Instances!L47:Instances!L47),"median", MEDIAN(Instances!L47:Instances!L47),"min", MIN(Instances!L47:Instances!L47),"max", MAX(Instances!L47:Instances!L47),"diff", MAX(Instances!L47:Instances!L47)-MIN(Instances!L47:Instances!L47))</f>
        <v>0</v>
      </c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 cm="1">
        <f t="array" ref="O47">_xlfn.SWITCH($A$2,"average", AVERAGE(Instances!O47:Instances!O47),"median", MEDIAN(Instances!O47:Instances!O47),"min", MIN(Instances!O47:Instances!O47),"max", MAX(Instances!O47:Instances!O47),"diff", MAX(Instances!O47:Instances!O47)-MIN(Instances!O47:Instances!O47))</f>
        <v>0</v>
      </c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>
        <f>MIN($B47,$D47,$F47,$H47,$J47,$L47,$N47,$P47)</f>
        <v>0</v>
      </c>
      <c r="S47" s="1">
        <f>MIN($C47,$E47,$G47,$I47,$K47,$M47,$O47,$Q47)</f>
        <v>0</v>
      </c>
      <c r="T47" s="1">
        <f>MEDIAN($B47,$D47,$F47,$H47,$J47,$L47,$N47,$P47)</f>
        <v>0</v>
      </c>
      <c r="U47" s="1">
        <f>MEDIAN($C47,$E47,$G47,$I47,$K47,$M47,$O47,$Q47)</f>
        <v>0</v>
      </c>
      <c r="V47" s="1">
        <f>MAX($B47,$D47,$F47,$H47,$J47,$L47,$N47,$P47)</f>
        <v>0</v>
      </c>
      <c r="W47" s="1">
        <f>MAX($C47,$E47,$G47,$I47,$K47,$M47,$O47,$Q47)</f>
        <v>0</v>
      </c>
    </row>
    <row r="48" spans="1:23">
      <c r="A48" s="1" t="s">
        <v>5</v>
      </c>
      <c r="B48" s="1"/>
      <c r="C48" s="1"/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/>
      <c r="I48" s="1"/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 cm="1">
        <f t="array" ref="L48">_xlfn.SWITCH($A$2,"average", AVERAGE(Instances!L48:Instances!L48),"median", MEDIAN(Instances!L48:Instances!L48),"min", MIN(Instances!L48:Instances!L48),"max", MAX(Instances!L48:Instances!L48),"diff", MAX(Instances!L48:Instances!L48)-MIN(Instances!L48:Instances!L48))</f>
        <v>0</v>
      </c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 cm="1">
        <f t="array" ref="O48">_xlfn.SWITCH($A$2,"average", AVERAGE(Instances!O48:Instances!O48),"median", MEDIAN(Instances!O48:Instances!O48),"min", MIN(Instances!O48:Instances!O48),"max", MAX(Instances!O48:Instances!O48),"diff", MAX(Instances!O48:Instances!O48)-MIN(Instances!O48:Instances!O48))</f>
        <v>0</v>
      </c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>
        <f>MIN($B48,$D48,$F48,$H48,$J48,$L48,$N48,$P48)</f>
        <v>0</v>
      </c>
      <c r="S48" s="1">
        <f>MIN($C48,$E48,$G48,$I48,$K48,$M48,$O48,$Q48)</f>
        <v>0</v>
      </c>
      <c r="T48" s="1">
        <f>MEDIAN($B48,$D48,$F48,$H48,$J48,$L48,$N48,$P48)</f>
        <v>0</v>
      </c>
      <c r="U48" s="1">
        <f>MEDIAN($C48,$E48,$G48,$I48,$K48,$M48,$O48,$Q48)</f>
        <v>0</v>
      </c>
      <c r="V48" s="1">
        <f>MAX($B48,$D48,$F48,$H48,$J48,$L48,$N48,$P48)</f>
        <v>0</v>
      </c>
      <c r="W48" s="1">
        <f>MAX($C48,$E48,$G48,$I48,$K48,$M48,$O48,$Q48)</f>
        <v>0</v>
      </c>
    </row>
    <row r="49" spans="1:23">
      <c r="A49" s="1" t="s">
        <v>6</v>
      </c>
      <c r="B49" s="1"/>
      <c r="C49" s="1"/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/>
      <c r="I49" s="1"/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 cm="1">
        <f t="array" ref="L49">_xlfn.SWITCH($A$2,"average", AVERAGE(Instances!L49:Instances!L49),"median", MEDIAN(Instances!L49:Instances!L49),"min", MIN(Instances!L49:Instances!L49),"max", MAX(Instances!L49:Instances!L49),"diff", MAX(Instances!L49:Instances!L49)-MIN(Instances!L49:Instances!L49))</f>
        <v>0</v>
      </c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 cm="1">
        <f t="array" ref="O49">_xlfn.SWITCH($A$2,"average", AVERAGE(Instances!O49:Instances!O49),"median", MEDIAN(Instances!O49:Instances!O49),"min", MIN(Instances!O49:Instances!O49),"max", MAX(Instances!O49:Instances!O49),"diff", MAX(Instances!O49:Instances!O49)-MIN(Instances!O49:Instances!O49))</f>
        <v>0</v>
      </c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>
        <f>MIN($B49,$D49,$F49,$H49,$J49,$L49,$N49,$P49)</f>
        <v>0</v>
      </c>
      <c r="S49" s="1">
        <f>MIN($C49,$E49,$G49,$I49,$K49,$M49,$O49,$Q49)</f>
        <v>0</v>
      </c>
      <c r="T49" s="1">
        <f>MEDIAN($B49,$D49,$F49,$H49,$J49,$L49,$N49,$P49)</f>
        <v>0</v>
      </c>
      <c r="U49" s="1">
        <f>MEDIAN($C49,$E49,$G49,$I49,$K49,$M49,$O49,$Q49)</f>
        <v>0</v>
      </c>
      <c r="V49" s="1">
        <f>MAX($B49,$D49,$F49,$H49,$J49,$L49,$N49,$P49)</f>
        <v>0</v>
      </c>
      <c r="W49" s="1">
        <f>MAX($C49,$E49,$G49,$I49,$K49,$M49,$O49,$Q49)</f>
        <v>0</v>
      </c>
    </row>
    <row r="50" spans="1:23">
      <c r="A50" s="1" t="s">
        <v>7</v>
      </c>
      <c r="B50" s="1"/>
      <c r="C50" s="1"/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/>
      <c r="I50" s="1"/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 cm="1">
        <f t="array" ref="L50">_xlfn.SWITCH($A$2,"average", AVERAGE(Instances!L50:Instances!L50),"median", MEDIAN(Instances!L50:Instances!L50),"min", MIN(Instances!L50:Instances!L50),"max", MAX(Instances!L50:Instances!L50),"diff", MAX(Instances!L50:Instances!L50)-MIN(Instances!L50:Instances!L50))</f>
        <v>0</v>
      </c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 cm="1">
        <f t="array" ref="O50">_xlfn.SWITCH($A$2,"average", AVERAGE(Instances!O50:Instances!O50),"median", MEDIAN(Instances!O50:Instances!O50),"min", MIN(Instances!O50:Instances!O50),"max", MAX(Instances!O50:Instances!O50),"diff", MAX(Instances!O50:Instances!O50)-MIN(Instances!O50:Instances!O50))</f>
        <v>0</v>
      </c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>
        <f>MIN($B50,$D50,$F50,$H50,$J50,$L50,$N50,$P50)</f>
        <v>0</v>
      </c>
      <c r="S50" s="1">
        <f>MIN($C50,$E50,$G50,$I50,$K50,$M50,$O50,$Q50)</f>
        <v>0</v>
      </c>
      <c r="T50" s="1">
        <f>MEDIAN($B50,$D50,$F50,$H50,$J50,$L50,$N50,$P50)</f>
        <v>0</v>
      </c>
      <c r="U50" s="1">
        <f>MEDIAN($C50,$E50,$G50,$I50,$K50,$M50,$O50,$Q50)</f>
        <v>0</v>
      </c>
      <c r="V50" s="1">
        <f>MAX($B50,$D50,$F50,$H50,$J50,$L50,$N50,$P50)</f>
        <v>0</v>
      </c>
      <c r="W50" s="1">
        <f>MAX($C50,$E50,$G50,$I50,$K50,$M50,$O50,$Q50)</f>
        <v>0</v>
      </c>
    </row>
    <row r="51" spans="1:23">
      <c r="A51" s="1" t="s">
        <v>8</v>
      </c>
      <c r="B51" s="1"/>
      <c r="C51" s="1"/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/>
      <c r="I51" s="1"/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 cm="1">
        <f t="array" ref="L51">_xlfn.SWITCH($A$2,"average", AVERAGE(Instances!L51:Instances!L51),"median", MEDIAN(Instances!L51:Instances!L51),"min", MIN(Instances!L51:Instances!L51),"max", MAX(Instances!L51:Instances!L51),"diff", MAX(Instances!L51:Instances!L51)-MIN(Instances!L51:Instances!L51))</f>
        <v>0</v>
      </c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 cm="1">
        <f t="array" ref="O51">_xlfn.SWITCH($A$2,"average", AVERAGE(Instances!O51:Instances!O51),"median", MEDIAN(Instances!O51:Instances!O51),"min", MIN(Instances!O51:Instances!O51),"max", MAX(Instances!O51:Instances!O51),"diff", MAX(Instances!O51:Instances!O51)-MIN(Instances!O51:Instances!O51))</f>
        <v>0</v>
      </c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>
        <f>MIN($B51,$D51,$F51,$H51,$J51,$L51,$N51,$P51)</f>
        <v>0</v>
      </c>
      <c r="S51" s="1">
        <f>MIN($C51,$E51,$G51,$I51,$K51,$M51,$O51,$Q51)</f>
        <v>0</v>
      </c>
      <c r="T51" s="1">
        <f>MEDIAN($B51,$D51,$F51,$H51,$J51,$L51,$N51,$P51)</f>
        <v>0</v>
      </c>
      <c r="U51" s="1">
        <f>MEDIAN($C51,$E51,$G51,$I51,$K51,$M51,$O51,$Q51)</f>
        <v>0</v>
      </c>
      <c r="V51" s="1">
        <f>MAX($B51,$D51,$F51,$H51,$J51,$L51,$N51,$P51)</f>
        <v>0</v>
      </c>
      <c r="W51" s="1">
        <f>MAX($C51,$E51,$G51,$I51,$K51,$M51,$O51,$Q51)</f>
        <v>0</v>
      </c>
    </row>
    <row r="52" spans="1:23">
      <c r="A52" s="1" t="s">
        <v>9</v>
      </c>
      <c r="B52" s="1"/>
      <c r="C52" s="1"/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/>
      <c r="I52" s="1"/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 cm="1">
        <f t="array" ref="L52">_xlfn.SWITCH($A$2,"average", AVERAGE(Instances!L52:Instances!L52),"median", MEDIAN(Instances!L52:Instances!L52),"min", MIN(Instances!L52:Instances!L52),"max", MAX(Instances!L52:Instances!L52),"diff", MAX(Instances!L52:Instances!L52)-MIN(Instances!L52:Instances!L52))</f>
        <v>0</v>
      </c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 cm="1">
        <f t="array" ref="O52">_xlfn.SWITCH($A$2,"average", AVERAGE(Instances!O52:Instances!O52),"median", MEDIAN(Instances!O52:Instances!O52),"min", MIN(Instances!O52:Instances!O52),"max", MAX(Instances!O52:Instances!O52),"diff", MAX(Instances!O52:Instances!O52)-MIN(Instances!O52:Instances!O52))</f>
        <v>0</v>
      </c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>
        <f>MIN($B52,$D52,$F52,$H52,$J52,$L52,$N52,$P52)</f>
        <v>0</v>
      </c>
      <c r="S52" s="1">
        <f>MIN($C52,$E52,$G52,$I52,$K52,$M52,$O52,$Q52)</f>
        <v>0</v>
      </c>
      <c r="T52" s="1">
        <f>MEDIAN($B52,$D52,$F52,$H52,$J52,$L52,$N52,$P52)</f>
        <v>0</v>
      </c>
      <c r="U52" s="1">
        <f>MEDIAN($C52,$E52,$G52,$I52,$K52,$M52,$O52,$Q52)</f>
        <v>0</v>
      </c>
      <c r="V52" s="1">
        <f>MAX($B52,$D52,$F52,$H52,$J52,$L52,$N52,$P52)</f>
        <v>0</v>
      </c>
      <c r="W52" s="1">
        <f>MAX($C52,$E52,$G52,$I52,$K52,$M52,$O52,$Q52)</f>
        <v>0</v>
      </c>
    </row>
    <row r="53" spans="1:23">
      <c r="A53" s="1" t="s">
        <v>10</v>
      </c>
      <c r="B53" s="1"/>
      <c r="C53" s="1"/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/>
      <c r="I53" s="1"/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 cm="1">
        <f t="array" ref="L53">_xlfn.SWITCH($A$2,"average", AVERAGE(Instances!L53:Instances!L53),"median", MEDIAN(Instances!L53:Instances!L53),"min", MIN(Instances!L53:Instances!L53),"max", MAX(Instances!L53:Instances!L53),"diff", MAX(Instances!L53:Instances!L53)-MIN(Instances!L53:Instances!L53))</f>
        <v>0</v>
      </c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 cm="1">
        <f t="array" ref="O53">_xlfn.SWITCH($A$2,"average", AVERAGE(Instances!O53:Instances!O53),"median", MEDIAN(Instances!O53:Instances!O53),"min", MIN(Instances!O53:Instances!O53),"max", MAX(Instances!O53:Instances!O53),"diff", MAX(Instances!O53:Instances!O53)-MIN(Instances!O53:Instances!O53))</f>
        <v>0</v>
      </c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>
        <f>MIN($B53,$D53,$F53,$H53,$J53,$L53,$N53,$P53)</f>
        <v>0</v>
      </c>
      <c r="S53" s="1">
        <f>MIN($C53,$E53,$G53,$I53,$K53,$M53,$O53,$Q53)</f>
        <v>0</v>
      </c>
      <c r="T53" s="1">
        <f>MEDIAN($B53,$D53,$F53,$H53,$J53,$L53,$N53,$P53)</f>
        <v>0</v>
      </c>
      <c r="U53" s="1">
        <f>MEDIAN($C53,$E53,$G53,$I53,$K53,$M53,$O53,$Q53)</f>
        <v>0</v>
      </c>
      <c r="V53" s="1">
        <f>MAX($B53,$D53,$F53,$H53,$J53,$L53,$N53,$P53)</f>
        <v>0</v>
      </c>
      <c r="W53" s="1">
        <f>MAX($C53,$E53,$G53,$I53,$K53,$M53,$O53,$Q53)</f>
        <v>0</v>
      </c>
    </row>
    <row r="54" spans="1:23">
      <c r="A54" s="1" t="s">
        <v>11</v>
      </c>
      <c r="B54" s="1"/>
      <c r="C54" s="1"/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/>
      <c r="I54" s="1"/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 cm="1">
        <f t="array" ref="L54">_xlfn.SWITCH($A$2,"average", AVERAGE(Instances!L54:Instances!L54),"median", MEDIAN(Instances!L54:Instances!L54),"min", MIN(Instances!L54:Instances!L54),"max", MAX(Instances!L54:Instances!L54),"diff", MAX(Instances!L54:Instances!L54)-MIN(Instances!L54:Instances!L54))</f>
        <v>0</v>
      </c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 cm="1">
        <f t="array" ref="O54">_xlfn.SWITCH($A$2,"average", AVERAGE(Instances!O54:Instances!O54),"median", MEDIAN(Instances!O54:Instances!O54),"min", MIN(Instances!O54:Instances!O54),"max", MAX(Instances!O54:Instances!O54),"diff", MAX(Instances!O54:Instances!O54)-MIN(Instances!O54:Instances!O54))</f>
        <v>0</v>
      </c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>
        <f>MIN($B54,$D54,$F54,$H54,$J54,$L54,$N54,$P54)</f>
        <v>0</v>
      </c>
      <c r="S54" s="1">
        <f>MIN($C54,$E54,$G54,$I54,$K54,$M54,$O54,$Q54)</f>
        <v>0</v>
      </c>
      <c r="T54" s="1">
        <f>MEDIAN($B54,$D54,$F54,$H54,$J54,$L54,$N54,$P54)</f>
        <v>0</v>
      </c>
      <c r="U54" s="1">
        <f>MEDIAN($C54,$E54,$G54,$I54,$K54,$M54,$O54,$Q54)</f>
        <v>0</v>
      </c>
      <c r="V54" s="1">
        <f>MAX($B54,$D54,$F54,$H54,$J54,$L54,$N54,$P54)</f>
        <v>0</v>
      </c>
      <c r="W54" s="1">
        <f>MAX($C54,$E54,$G54,$I54,$K54,$M54,$O54,$Q54)</f>
        <v>0</v>
      </c>
    </row>
    <row r="55" spans="1:23">
      <c r="A55" s="1" t="s">
        <v>12</v>
      </c>
      <c r="B55" s="1"/>
      <c r="C55" s="1"/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/>
      <c r="I55" s="1"/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 cm="1">
        <f t="array" ref="L55">_xlfn.SWITCH($A$2,"average", AVERAGE(Instances!L55:Instances!L55),"median", MEDIAN(Instances!L55:Instances!L55),"min", MIN(Instances!L55:Instances!L55),"max", MAX(Instances!L55:Instances!L55),"diff", MAX(Instances!L55:Instances!L55)-MIN(Instances!L55:Instances!L55))</f>
        <v>0</v>
      </c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 cm="1">
        <f t="array" ref="O55">_xlfn.SWITCH($A$2,"average", AVERAGE(Instances!O55:Instances!O55),"median", MEDIAN(Instances!O55:Instances!O55),"min", MIN(Instances!O55:Instances!O55),"max", MAX(Instances!O55:Instances!O55),"diff", MAX(Instances!O55:Instances!O55)-MIN(Instances!O55:Instances!O55))</f>
        <v>0</v>
      </c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>
        <f>MIN($B55,$D55,$F55,$H55,$J55,$L55,$N55,$P55)</f>
        <v>0</v>
      </c>
      <c r="S55" s="1">
        <f>MIN($C55,$E55,$G55,$I55,$K55,$M55,$O55,$Q55)</f>
        <v>0</v>
      </c>
      <c r="T55" s="1">
        <f>MEDIAN($B55,$D55,$F55,$H55,$J55,$L55,$N55,$P55)</f>
        <v>0</v>
      </c>
      <c r="U55" s="1">
        <f>MEDIAN($C55,$E55,$G55,$I55,$K55,$M55,$O55,$Q55)</f>
        <v>0</v>
      </c>
      <c r="V55" s="1">
        <f>MAX($B55,$D55,$F55,$H55,$J55,$L55,$N55,$P55)</f>
        <v>0</v>
      </c>
      <c r="W55" s="1">
        <f>MAX($C55,$E55,$G55,$I55,$K55,$M55,$O55,$Q55)</f>
        <v>0</v>
      </c>
    </row>
    <row r="56" spans="1:23">
      <c r="A56" s="1" t="s">
        <v>13</v>
      </c>
      <c r="B56" s="1"/>
      <c r="C56" s="1"/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/>
      <c r="I56" s="1"/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 cm="1">
        <f t="array" ref="L56">_xlfn.SWITCH($A$2,"average", AVERAGE(Instances!L56:Instances!L56),"median", MEDIAN(Instances!L56:Instances!L56),"min", MIN(Instances!L56:Instances!L56),"max", MAX(Instances!L56:Instances!L56),"diff", MAX(Instances!L56:Instances!L56)-MIN(Instances!L56:Instances!L56))</f>
        <v>0</v>
      </c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 cm="1">
        <f t="array" ref="O56">_xlfn.SWITCH($A$2,"average", AVERAGE(Instances!O56:Instances!O56),"median", MEDIAN(Instances!O56:Instances!O56),"min", MIN(Instances!O56:Instances!O56),"max", MAX(Instances!O56:Instances!O56),"diff", MAX(Instances!O56:Instances!O56)-MIN(Instances!O56:Instances!O56))</f>
        <v>0</v>
      </c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>
        <f>MIN($B56,$D56,$F56,$H56,$J56,$L56,$N56,$P56)</f>
        <v>0</v>
      </c>
      <c r="S56" s="1">
        <f>MIN($C56,$E56,$G56,$I56,$K56,$M56,$O56,$Q56)</f>
        <v>0</v>
      </c>
      <c r="T56" s="1">
        <f>MEDIAN($B56,$D56,$F56,$H56,$J56,$L56,$N56,$P56)</f>
        <v>0</v>
      </c>
      <c r="U56" s="1">
        <f>MEDIAN($C56,$E56,$G56,$I56,$K56,$M56,$O56,$Q56)</f>
        <v>0</v>
      </c>
      <c r="V56" s="1">
        <f>MAX($B56,$D56,$F56,$H56,$J56,$L56,$N56,$P56)</f>
        <v>0</v>
      </c>
      <c r="W56" s="1">
        <f>MAX($C56,$E56,$G56,$I56,$K56,$M56,$O56,$Q56)</f>
        <v>0</v>
      </c>
    </row>
    <row r="57" spans="1:23">
      <c r="A57" s="1" t="s">
        <v>14</v>
      </c>
      <c r="B57" s="1"/>
      <c r="C57" s="1"/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/>
      <c r="I57" s="1"/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 cm="1">
        <f t="array" ref="L57">_xlfn.SWITCH($A$2,"average", AVERAGE(Instances!L57:Instances!L57),"median", MEDIAN(Instances!L57:Instances!L57),"min", MIN(Instances!L57:Instances!L57),"max", MAX(Instances!L57:Instances!L57),"diff", MAX(Instances!L57:Instances!L57)-MIN(Instances!L57:Instances!L57))</f>
        <v>0</v>
      </c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 cm="1">
        <f t="array" ref="O57">_xlfn.SWITCH($A$2,"average", AVERAGE(Instances!O57:Instances!O57),"median", MEDIAN(Instances!O57:Instances!O57),"min", MIN(Instances!O57:Instances!O57),"max", MAX(Instances!O57:Instances!O57),"diff", MAX(Instances!O57:Instances!O57)-MIN(Instances!O57:Instances!O57))</f>
        <v>0</v>
      </c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>
        <f>MIN($B57,$D57,$F57,$H57,$J57,$L57,$N57,$P57)</f>
        <v>0</v>
      </c>
      <c r="S57" s="1">
        <f>MIN($C57,$E57,$G57,$I57,$K57,$M57,$O57,$Q57)</f>
        <v>0</v>
      </c>
      <c r="T57" s="1">
        <f>MEDIAN($B57,$D57,$F57,$H57,$J57,$L57,$N57,$P57)</f>
        <v>0</v>
      </c>
      <c r="U57" s="1">
        <f>MEDIAN($C57,$E57,$G57,$I57,$K57,$M57,$O57,$Q57)</f>
        <v>0</v>
      </c>
      <c r="V57" s="1">
        <f>MAX($B57,$D57,$F57,$H57,$J57,$L57,$N57,$P57)</f>
        <v>0</v>
      </c>
      <c r="W57" s="1">
        <f>MAX($C57,$E57,$G57,$I57,$K57,$M57,$O57,$Q57)</f>
        <v>0</v>
      </c>
    </row>
    <row r="58" spans="1:23">
      <c r="A58" s="1" t="s">
        <v>15</v>
      </c>
      <c r="B58" s="1"/>
      <c r="C58" s="1"/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/>
      <c r="I58" s="1"/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 cm="1">
        <f t="array" ref="L58">_xlfn.SWITCH($A$2,"average", AVERAGE(Instances!L58:Instances!L58),"median", MEDIAN(Instances!L58:Instances!L58),"min", MIN(Instances!L58:Instances!L58),"max", MAX(Instances!L58:Instances!L58),"diff", MAX(Instances!L58:Instances!L58)-MIN(Instances!L58:Instances!L58))</f>
        <v>0</v>
      </c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 cm="1">
        <f t="array" ref="O58">_xlfn.SWITCH($A$2,"average", AVERAGE(Instances!O58:Instances!O58),"median", MEDIAN(Instances!O58:Instances!O58),"min", MIN(Instances!O58:Instances!O58),"max", MAX(Instances!O58:Instances!O58),"diff", MAX(Instances!O58:Instances!O58)-MIN(Instances!O58:Instances!O58))</f>
        <v>0</v>
      </c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>
        <f>MIN($B58,$D58,$F58,$H58,$J58,$L58,$N58,$P58)</f>
        <v>0</v>
      </c>
      <c r="S58" s="1">
        <f>MIN($C58,$E58,$G58,$I58,$K58,$M58,$O58,$Q58)</f>
        <v>0</v>
      </c>
      <c r="T58" s="1">
        <f>MEDIAN($B58,$D58,$F58,$H58,$J58,$L58,$N58,$P58)</f>
        <v>0</v>
      </c>
      <c r="U58" s="1">
        <f>MEDIAN($C58,$E58,$G58,$I58,$K58,$M58,$O58,$Q58)</f>
        <v>0</v>
      </c>
      <c r="V58" s="1">
        <f>MAX($B58,$D58,$F58,$H58,$J58,$L58,$N58,$P58)</f>
        <v>0</v>
      </c>
      <c r="W58" s="1">
        <f>MAX($C58,$E58,$G58,$I58,$K58,$M58,$O58,$Q58)</f>
        <v>0</v>
      </c>
    </row>
    <row r="59" spans="1:23">
      <c r="A59" s="1" t="s">
        <v>16</v>
      </c>
      <c r="B59" s="1"/>
      <c r="C59" s="1"/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/>
      <c r="I59" s="1"/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 cm="1">
        <f t="array" ref="L59">_xlfn.SWITCH($A$2,"average", AVERAGE(Instances!L59:Instances!L59),"median", MEDIAN(Instances!L59:Instances!L59),"min", MIN(Instances!L59:Instances!L59),"max", MAX(Instances!L59:Instances!L59),"diff", MAX(Instances!L59:Instances!L59)-MIN(Instances!L59:Instances!L59))</f>
        <v>0</v>
      </c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 cm="1">
        <f t="array" ref="O59">_xlfn.SWITCH($A$2,"average", AVERAGE(Instances!O59:Instances!O59),"median", MEDIAN(Instances!O59:Instances!O59),"min", MIN(Instances!O59:Instances!O59),"max", MAX(Instances!O59:Instances!O59),"diff", MAX(Instances!O59:Instances!O59)-MIN(Instances!O59:Instances!O59))</f>
        <v>0</v>
      </c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>
        <f>MIN($B59,$D59,$F59,$H59,$J59,$L59,$N59,$P59)</f>
        <v>0</v>
      </c>
      <c r="S59" s="1">
        <f>MIN($C59,$E59,$G59,$I59,$K59,$M59,$O59,$Q59)</f>
        <v>0</v>
      </c>
      <c r="T59" s="1">
        <f>MEDIAN($B59,$D59,$F59,$H59,$J59,$L59,$N59,$P59)</f>
        <v>0</v>
      </c>
      <c r="U59" s="1">
        <f>MEDIAN($C59,$E59,$G59,$I59,$K59,$M59,$O59,$Q59)</f>
        <v>0</v>
      </c>
      <c r="V59" s="1">
        <f>MAX($B59,$D59,$F59,$H59,$J59,$L59,$N59,$P59)</f>
        <v>0</v>
      </c>
      <c r="W59" s="1">
        <f>MAX($C59,$E59,$G59,$I59,$K59,$M59,$O59,$Q59)</f>
        <v>0</v>
      </c>
    </row>
    <row r="60" spans="1:23">
      <c r="A60" s="1" t="s">
        <v>17</v>
      </c>
      <c r="B60" s="1"/>
      <c r="C60" s="1"/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/>
      <c r="I60" s="1"/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 cm="1">
        <f t="array" ref="L60">_xlfn.SWITCH($A$2,"average", AVERAGE(Instances!L60:Instances!L60),"median", MEDIAN(Instances!L60:Instances!L60),"min", MIN(Instances!L60:Instances!L60),"max", MAX(Instances!L60:Instances!L60),"diff", MAX(Instances!L60:Instances!L60)-MIN(Instances!L60:Instances!L60))</f>
        <v>0</v>
      </c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 cm="1">
        <f t="array" ref="O60">_xlfn.SWITCH($A$2,"average", AVERAGE(Instances!O60:Instances!O60),"median", MEDIAN(Instances!O60:Instances!O60),"min", MIN(Instances!O60:Instances!O60),"max", MAX(Instances!O60:Instances!O60),"diff", MAX(Instances!O60:Instances!O60)-MIN(Instances!O60:Instances!O60))</f>
        <v>0</v>
      </c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>
        <f>MIN($B60,$D60,$F60,$H60,$J60,$L60,$N60,$P60)</f>
        <v>0</v>
      </c>
      <c r="S60" s="1">
        <f>MIN($C60,$E60,$G60,$I60,$K60,$M60,$O60,$Q60)</f>
        <v>0</v>
      </c>
      <c r="T60" s="1">
        <f>MEDIAN($B60,$D60,$F60,$H60,$J60,$L60,$N60,$P60)</f>
        <v>0</v>
      </c>
      <c r="U60" s="1">
        <f>MEDIAN($C60,$E60,$G60,$I60,$K60,$M60,$O60,$Q60)</f>
        <v>0</v>
      </c>
      <c r="V60" s="1">
        <f>MAX($B60,$D60,$F60,$H60,$J60,$L60,$N60,$P60)</f>
        <v>0</v>
      </c>
      <c r="W60" s="1">
        <f>MAX($C60,$E60,$G60,$I60,$K60,$M60,$O60,$Q60)</f>
        <v>0</v>
      </c>
    </row>
    <row r="61" spans="1:23">
      <c r="A61" s="1" t="s">
        <v>18</v>
      </c>
      <c r="B61" s="1"/>
      <c r="C61" s="1"/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/>
      <c r="I61" s="1"/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 cm="1">
        <f t="array" ref="L61">_xlfn.SWITCH($A$2,"average", AVERAGE(Instances!L61:Instances!L61),"median", MEDIAN(Instances!L61:Instances!L61),"min", MIN(Instances!L61:Instances!L61),"max", MAX(Instances!L61:Instances!L61),"diff", MAX(Instances!L61:Instances!L61)-MIN(Instances!L61:Instances!L61))</f>
        <v>0</v>
      </c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 cm="1">
        <f t="array" ref="O61">_xlfn.SWITCH($A$2,"average", AVERAGE(Instances!O61:Instances!O61),"median", MEDIAN(Instances!O61:Instances!O61),"min", MIN(Instances!O61:Instances!O61),"max", MAX(Instances!O61:Instances!O61),"diff", MAX(Instances!O61:Instances!O61)-MIN(Instances!O61:Instances!O61))</f>
        <v>0</v>
      </c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>
        <f>MIN($B61,$D61,$F61,$H61,$J61,$L61,$N61,$P61)</f>
        <v>0</v>
      </c>
      <c r="S61" s="1">
        <f>MIN($C61,$E61,$G61,$I61,$K61,$M61,$O61,$Q61)</f>
        <v>0</v>
      </c>
      <c r="T61" s="1">
        <f>MEDIAN($B61,$D61,$F61,$H61,$J61,$L61,$N61,$P61)</f>
        <v>0</v>
      </c>
      <c r="U61" s="1">
        <f>MEDIAN($C61,$E61,$G61,$I61,$K61,$M61,$O61,$Q61)</f>
        <v>0</v>
      </c>
      <c r="V61" s="1">
        <f>MAX($B61,$D61,$F61,$H61,$J61,$L61,$N61,$P61)</f>
        <v>0</v>
      </c>
      <c r="W61" s="1">
        <f>MAX($C61,$E61,$G61,$I61,$K61,$M61,$O61,$Q61)</f>
        <v>0</v>
      </c>
    </row>
    <row r="62" spans="1:23">
      <c r="A62" s="1" t="s">
        <v>19</v>
      </c>
      <c r="B62" s="1"/>
      <c r="C62" s="1"/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/>
      <c r="I62" s="1"/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 cm="1">
        <f t="array" ref="L62">_xlfn.SWITCH($A$2,"average", AVERAGE(Instances!L62:Instances!L62),"median", MEDIAN(Instances!L62:Instances!L62),"min", MIN(Instances!L62:Instances!L62),"max", MAX(Instances!L62:Instances!L62),"diff", MAX(Instances!L62:Instances!L62)-MIN(Instances!L62:Instances!L62))</f>
        <v>0</v>
      </c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 cm="1">
        <f t="array" ref="O62">_xlfn.SWITCH($A$2,"average", AVERAGE(Instances!O62:Instances!O62),"median", MEDIAN(Instances!O62:Instances!O62),"min", MIN(Instances!O62:Instances!O62),"max", MAX(Instances!O62:Instances!O62),"diff", MAX(Instances!O62:Instances!O62)-MIN(Instances!O62:Instances!O62))</f>
        <v>0</v>
      </c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>
        <f>MIN($B62,$D62,$F62,$H62,$J62,$L62,$N62,$P62)</f>
        <v>0</v>
      </c>
      <c r="S62" s="1">
        <f>MIN($C62,$E62,$G62,$I62,$K62,$M62,$O62,$Q62)</f>
        <v>0</v>
      </c>
      <c r="T62" s="1">
        <f>MEDIAN($B62,$D62,$F62,$H62,$J62,$L62,$N62,$P62)</f>
        <v>0</v>
      </c>
      <c r="U62" s="1">
        <f>MEDIAN($C62,$E62,$G62,$I62,$K62,$M62,$O62,$Q62)</f>
        <v>0</v>
      </c>
      <c r="V62" s="1">
        <f>MAX($B62,$D62,$F62,$H62,$J62,$L62,$N62,$P62)</f>
        <v>0</v>
      </c>
      <c r="W62" s="1">
        <f>MAX($C62,$E62,$G62,$I62,$K62,$M62,$O62,$Q62)</f>
        <v>0</v>
      </c>
    </row>
    <row r="63" spans="1:23">
      <c r="A63" s="1" t="s">
        <v>20</v>
      </c>
      <c r="B63" s="1"/>
      <c r="C63" s="1"/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/>
      <c r="I63" s="1"/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 cm="1">
        <f t="array" ref="L63">_xlfn.SWITCH($A$2,"average", AVERAGE(Instances!L63:Instances!L63),"median", MEDIAN(Instances!L63:Instances!L63),"min", MIN(Instances!L63:Instances!L63),"max", MAX(Instances!L63:Instances!L63),"diff", MAX(Instances!L63:Instances!L63)-MIN(Instances!L63:Instances!L63))</f>
        <v>0</v>
      </c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 cm="1">
        <f t="array" ref="O63">_xlfn.SWITCH($A$2,"average", AVERAGE(Instances!O63:Instances!O63),"median", MEDIAN(Instances!O63:Instances!O63),"min", MIN(Instances!O63:Instances!O63),"max", MAX(Instances!O63:Instances!O63),"diff", MAX(Instances!O63:Instances!O63)-MIN(Instances!O63:Instances!O63))</f>
        <v>0</v>
      </c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>
        <f>MIN($B63,$D63,$F63,$H63,$J63,$L63,$N63,$P63)</f>
        <v>0</v>
      </c>
      <c r="S63" s="1">
        <f>MIN($C63,$E63,$G63,$I63,$K63,$M63,$O63,$Q63)</f>
        <v>0</v>
      </c>
      <c r="T63" s="1">
        <f>MEDIAN($B63,$D63,$F63,$H63,$J63,$L63,$N63,$P63)</f>
        <v>0</v>
      </c>
      <c r="U63" s="1">
        <f>MEDIAN($C63,$E63,$G63,$I63,$K63,$M63,$O63,$Q63)</f>
        <v>0</v>
      </c>
      <c r="V63" s="1">
        <f>MAX($B63,$D63,$F63,$H63,$J63,$L63,$N63,$P63)</f>
        <v>0</v>
      </c>
      <c r="W63" s="1">
        <f>MAX($C63,$E63,$G63,$I63,$K63,$M63,$O63,$Q63)</f>
        <v>0</v>
      </c>
    </row>
    <row r="64" spans="1:23">
      <c r="A64" s="1" t="s">
        <v>21</v>
      </c>
      <c r="B64" s="1"/>
      <c r="C64" s="1"/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/>
      <c r="I64" s="1"/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 cm="1">
        <f t="array" ref="L64">_xlfn.SWITCH($A$2,"average", AVERAGE(Instances!L64:Instances!L64),"median", MEDIAN(Instances!L64:Instances!L64),"min", MIN(Instances!L64:Instances!L64),"max", MAX(Instances!L64:Instances!L64),"diff", MAX(Instances!L64:Instances!L64)-MIN(Instances!L64:Instances!L64))</f>
        <v>0</v>
      </c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 cm="1">
        <f t="array" ref="O64">_xlfn.SWITCH($A$2,"average", AVERAGE(Instances!O64:Instances!O64),"median", MEDIAN(Instances!O64:Instances!O64),"min", MIN(Instances!O64:Instances!O64),"max", MAX(Instances!O64:Instances!O64),"diff", MAX(Instances!O64:Instances!O64)-MIN(Instances!O64:Instances!O64))</f>
        <v>0</v>
      </c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>
        <f>MIN($B64,$D64,$F64,$H64,$J64,$L64,$N64,$P64)</f>
        <v>0</v>
      </c>
      <c r="S64" s="1">
        <f>MIN($C64,$E64,$G64,$I64,$K64,$M64,$O64,$Q64)</f>
        <v>0</v>
      </c>
      <c r="T64" s="1">
        <f>MEDIAN($B64,$D64,$F64,$H64,$J64,$L64,$N64,$P64)</f>
        <v>0</v>
      </c>
      <c r="U64" s="1">
        <f>MEDIAN($C64,$E64,$G64,$I64,$K64,$M64,$O64,$Q64)</f>
        <v>0</v>
      </c>
      <c r="V64" s="1">
        <f>MAX($B64,$D64,$F64,$H64,$J64,$L64,$N64,$P64)</f>
        <v>0</v>
      </c>
      <c r="W64" s="1">
        <f>MAX($C64,$E64,$G64,$I64,$K64,$M64,$O64,$Q64)</f>
        <v>0</v>
      </c>
    </row>
    <row r="65" spans="1:23">
      <c r="A65" s="1" t="s">
        <v>22</v>
      </c>
      <c r="B65" s="1"/>
      <c r="C65" s="1"/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/>
      <c r="I65" s="1"/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 cm="1">
        <f t="array" ref="L65">_xlfn.SWITCH($A$2,"average", AVERAGE(Instances!L65:Instances!L65),"median", MEDIAN(Instances!L65:Instances!L65),"min", MIN(Instances!L65:Instances!L65),"max", MAX(Instances!L65:Instances!L65),"diff", MAX(Instances!L65:Instances!L65)-MIN(Instances!L65:Instances!L65))</f>
        <v>0</v>
      </c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 cm="1">
        <f t="array" ref="O65">_xlfn.SWITCH($A$2,"average", AVERAGE(Instances!O65:Instances!O65),"median", MEDIAN(Instances!O65:Instances!O65),"min", MIN(Instances!O65:Instances!O65),"max", MAX(Instances!O65:Instances!O65),"diff", MAX(Instances!O65:Instances!O65)-MIN(Instances!O65:Instances!O65))</f>
        <v>0</v>
      </c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>
        <f>MIN($B65,$D65,$F65,$H65,$J65,$L65,$N65,$P65)</f>
        <v>0</v>
      </c>
      <c r="S65" s="1">
        <f>MIN($C65,$E65,$G65,$I65,$K65,$M65,$O65,$Q65)</f>
        <v>0</v>
      </c>
      <c r="T65" s="1">
        <f>MEDIAN($B65,$D65,$F65,$H65,$J65,$L65,$N65,$P65)</f>
        <v>0</v>
      </c>
      <c r="U65" s="1">
        <f>MEDIAN($C65,$E65,$G65,$I65,$K65,$M65,$O65,$Q65)</f>
        <v>0</v>
      </c>
      <c r="V65" s="1">
        <f>MAX($B65,$D65,$F65,$H65,$J65,$L65,$N65,$P65)</f>
        <v>0</v>
      </c>
      <c r="W65" s="1">
        <f>MAX($C65,$E65,$G65,$I65,$K65,$M65,$O65,$Q65)</f>
        <v>0</v>
      </c>
    </row>
    <row r="66" spans="1:23">
      <c r="A66" s="1" t="s">
        <v>23</v>
      </c>
      <c r="B66" s="1"/>
      <c r="C66" s="1"/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/>
      <c r="I66" s="1"/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 cm="1">
        <f t="array" ref="L66">_xlfn.SWITCH($A$2,"average", AVERAGE(Instances!L66:Instances!L66),"median", MEDIAN(Instances!L66:Instances!L66),"min", MIN(Instances!L66:Instances!L66),"max", MAX(Instances!L66:Instances!L66),"diff", MAX(Instances!L66:Instances!L66)-MIN(Instances!L66:Instances!L66))</f>
        <v>0</v>
      </c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 cm="1">
        <f t="array" ref="O66">_xlfn.SWITCH($A$2,"average", AVERAGE(Instances!O66:Instances!O66),"median", MEDIAN(Instances!O66:Instances!O66),"min", MIN(Instances!O66:Instances!O66),"max", MAX(Instances!O66:Instances!O66),"diff", MAX(Instances!O66:Instances!O66)-MIN(Instances!O66:Instances!O66))</f>
        <v>0</v>
      </c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>
        <f>MIN($B66,$D66,$F66,$H66,$J66,$L66,$N66,$P66)</f>
        <v>0</v>
      </c>
      <c r="S66" s="1">
        <f>MIN($C66,$E66,$G66,$I66,$K66,$M66,$O66,$Q66)</f>
        <v>0</v>
      </c>
      <c r="T66" s="1">
        <f>MEDIAN($B66,$D66,$F66,$H66,$J66,$L66,$N66,$P66)</f>
        <v>0</v>
      </c>
      <c r="U66" s="1">
        <f>MEDIAN($C66,$E66,$G66,$I66,$K66,$M66,$O66,$Q66)</f>
        <v>0</v>
      </c>
      <c r="V66" s="1">
        <f>MAX($B66,$D66,$F66,$H66,$J66,$L66,$N66,$P66)</f>
        <v>0</v>
      </c>
      <c r="W66" s="1">
        <f>MAX($C66,$E66,$G66,$I66,$K66,$M66,$O66,$Q66)</f>
        <v>0</v>
      </c>
    </row>
    <row r="67" spans="1:23">
      <c r="A67" s="1" t="s">
        <v>24</v>
      </c>
      <c r="B67" s="1"/>
      <c r="C67" s="1"/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/>
      <c r="I67" s="1"/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 cm="1">
        <f t="array" ref="L67">_xlfn.SWITCH($A$2,"average", AVERAGE(Instances!L67:Instances!L67),"median", MEDIAN(Instances!L67:Instances!L67),"min", MIN(Instances!L67:Instances!L67),"max", MAX(Instances!L67:Instances!L67),"diff", MAX(Instances!L67:Instances!L67)-MIN(Instances!L67:Instances!L67))</f>
        <v>0</v>
      </c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 cm="1">
        <f t="array" ref="O67">_xlfn.SWITCH($A$2,"average", AVERAGE(Instances!O67:Instances!O67),"median", MEDIAN(Instances!O67:Instances!O67),"min", MIN(Instances!O67:Instances!O67),"max", MAX(Instances!O67:Instances!O67),"diff", MAX(Instances!O67:Instances!O67)-MIN(Instances!O67:Instances!O67))</f>
        <v>0</v>
      </c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>
        <f>MIN($B67,$D67,$F67,$H67,$J67,$L67,$N67,$P67)</f>
        <v>0</v>
      </c>
      <c r="S67" s="1">
        <f>MIN($C67,$E67,$G67,$I67,$K67,$M67,$O67,$Q67)</f>
        <v>0</v>
      </c>
      <c r="T67" s="1">
        <f>MEDIAN($B67,$D67,$F67,$H67,$J67,$L67,$N67,$P67)</f>
        <v>0</v>
      </c>
      <c r="U67" s="1">
        <f>MEDIAN($C67,$E67,$G67,$I67,$K67,$M67,$O67,$Q67)</f>
        <v>0</v>
      </c>
      <c r="V67" s="1">
        <f>MAX($B67,$D67,$F67,$H67,$J67,$L67,$N67,$P67)</f>
        <v>0</v>
      </c>
      <c r="W67" s="1">
        <f>MAX($C67,$E67,$G67,$I67,$K67,$M67,$O67,$Q67)</f>
        <v>0</v>
      </c>
    </row>
    <row r="68" spans="1:23">
      <c r="A68" s="1" t="s">
        <v>25</v>
      </c>
      <c r="B68" s="1"/>
      <c r="C68" s="1"/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/>
      <c r="I68" s="1"/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 cm="1">
        <f t="array" ref="L68">_xlfn.SWITCH($A$2,"average", AVERAGE(Instances!L68:Instances!L68),"median", MEDIAN(Instances!L68:Instances!L68),"min", MIN(Instances!L68:Instances!L68),"max", MAX(Instances!L68:Instances!L68),"diff", MAX(Instances!L68:Instances!L68)-MIN(Instances!L68:Instances!L68))</f>
        <v>0</v>
      </c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 cm="1">
        <f t="array" ref="O68">_xlfn.SWITCH($A$2,"average", AVERAGE(Instances!O68:Instances!O68),"median", MEDIAN(Instances!O68:Instances!O68),"min", MIN(Instances!O68:Instances!O68),"max", MAX(Instances!O68:Instances!O68),"diff", MAX(Instances!O68:Instances!O68)-MIN(Instances!O68:Instances!O68))</f>
        <v>0</v>
      </c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>
        <f>MIN($B68,$D68,$F68,$H68,$J68,$L68,$N68,$P68)</f>
        <v>0</v>
      </c>
      <c r="S68" s="1">
        <f>MIN($C68,$E68,$G68,$I68,$K68,$M68,$O68,$Q68)</f>
        <v>0</v>
      </c>
      <c r="T68" s="1">
        <f>MEDIAN($B68,$D68,$F68,$H68,$J68,$L68,$N68,$P68)</f>
        <v>0</v>
      </c>
      <c r="U68" s="1">
        <f>MEDIAN($C68,$E68,$G68,$I68,$K68,$M68,$O68,$Q68)</f>
        <v>0</v>
      </c>
      <c r="V68" s="1">
        <f>MAX($B68,$D68,$F68,$H68,$J68,$L68,$N68,$P68)</f>
        <v>0</v>
      </c>
      <c r="W68" s="1">
        <f>MAX($C68,$E68,$G68,$I68,$K68,$M68,$O68,$Q68)</f>
        <v>0</v>
      </c>
    </row>
    <row r="69" spans="1:23">
      <c r="A69" s="1" t="s">
        <v>26</v>
      </c>
      <c r="B69" s="1"/>
      <c r="C69" s="1"/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/>
      <c r="I69" s="1"/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 cm="1">
        <f t="array" ref="L69">_xlfn.SWITCH($A$2,"average", AVERAGE(Instances!L69:Instances!L69),"median", MEDIAN(Instances!L69:Instances!L69),"min", MIN(Instances!L69:Instances!L69),"max", MAX(Instances!L69:Instances!L69),"diff", MAX(Instances!L69:Instances!L69)-MIN(Instances!L69:Instances!L69))</f>
        <v>0</v>
      </c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 cm="1">
        <f t="array" ref="O69">_xlfn.SWITCH($A$2,"average", AVERAGE(Instances!O69:Instances!O69),"median", MEDIAN(Instances!O69:Instances!O69),"min", MIN(Instances!O69:Instances!O69),"max", MAX(Instances!O69:Instances!O69),"diff", MAX(Instances!O69:Instances!O69)-MIN(Instances!O69:Instances!O69))</f>
        <v>0</v>
      </c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>
        <f>MIN($B69,$D69,$F69,$H69,$J69,$L69,$N69,$P69)</f>
        <v>0</v>
      </c>
      <c r="S69" s="1">
        <f>MIN($C69,$E69,$G69,$I69,$K69,$M69,$O69,$Q69)</f>
        <v>0</v>
      </c>
      <c r="T69" s="1">
        <f>MEDIAN($B69,$D69,$F69,$H69,$J69,$L69,$N69,$P69)</f>
        <v>0</v>
      </c>
      <c r="U69" s="1">
        <f>MEDIAN($C69,$E69,$G69,$I69,$K69,$M69,$O69,$Q69)</f>
        <v>0</v>
      </c>
      <c r="V69" s="1">
        <f>MAX($B69,$D69,$F69,$H69,$J69,$L69,$N69,$P69)</f>
        <v>0</v>
      </c>
      <c r="W69" s="1">
        <f>MAX($C69,$E69,$G69,$I69,$K69,$M69,$O69,$Q69)</f>
        <v>0</v>
      </c>
    </row>
    <row r="70" spans="1:23">
      <c r="A70" s="1" t="s">
        <v>27</v>
      </c>
      <c r="B70" s="1"/>
      <c r="C70" s="1"/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/>
      <c r="I70" s="1"/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 cm="1">
        <f t="array" ref="L70">_xlfn.SWITCH($A$2,"average", AVERAGE(Instances!L70:Instances!L70),"median", MEDIAN(Instances!L70:Instances!L70),"min", MIN(Instances!L70:Instances!L70),"max", MAX(Instances!L70:Instances!L70),"diff", MAX(Instances!L70:Instances!L70)-MIN(Instances!L70:Instances!L70))</f>
        <v>0</v>
      </c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 cm="1">
        <f t="array" ref="O70">_xlfn.SWITCH($A$2,"average", AVERAGE(Instances!O70:Instances!O70),"median", MEDIAN(Instances!O70:Instances!O70),"min", MIN(Instances!O70:Instances!O70),"max", MAX(Instances!O70:Instances!O70),"diff", MAX(Instances!O70:Instances!O70)-MIN(Instances!O70:Instances!O70))</f>
        <v>0</v>
      </c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>
        <f>MIN($B70,$D70,$F70,$H70,$J70,$L70,$N70,$P70)</f>
        <v>0</v>
      </c>
      <c r="S70" s="1">
        <f>MIN($C70,$E70,$G70,$I70,$K70,$M70,$O70,$Q70)</f>
        <v>0</v>
      </c>
      <c r="T70" s="1">
        <f>MEDIAN($B70,$D70,$F70,$H70,$J70,$L70,$N70,$P70)</f>
        <v>0</v>
      </c>
      <c r="U70" s="1">
        <f>MEDIAN($C70,$E70,$G70,$I70,$K70,$M70,$O70,$Q70)</f>
        <v>0</v>
      </c>
      <c r="V70" s="1">
        <f>MAX($B70,$D70,$F70,$H70,$J70,$L70,$N70,$P70)</f>
        <v>0</v>
      </c>
      <c r="W70" s="1">
        <f>MAX($C70,$E70,$G70,$I70,$K70,$M70,$O70,$Q70)</f>
        <v>0</v>
      </c>
    </row>
    <row r="71" spans="1:23">
      <c r="A71" s="1" t="s">
        <v>28</v>
      </c>
      <c r="B71" s="1"/>
      <c r="C71" s="1"/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/>
      <c r="I71" s="1"/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 cm="1">
        <f t="array" ref="L71">_xlfn.SWITCH($A$2,"average", AVERAGE(Instances!L71:Instances!L71),"median", MEDIAN(Instances!L71:Instances!L71),"min", MIN(Instances!L71:Instances!L71),"max", MAX(Instances!L71:Instances!L71),"diff", MAX(Instances!L71:Instances!L71)-MIN(Instances!L71:Instances!L71))</f>
        <v>0</v>
      </c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 cm="1">
        <f t="array" ref="O71">_xlfn.SWITCH($A$2,"average", AVERAGE(Instances!O71:Instances!O71),"median", MEDIAN(Instances!O71:Instances!O71),"min", MIN(Instances!O71:Instances!O71),"max", MAX(Instances!O71:Instances!O71),"diff", MAX(Instances!O71:Instances!O71)-MIN(Instances!O71:Instances!O71))</f>
        <v>0</v>
      </c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>
        <f>MIN($B71,$D71,$F71,$H71,$J71,$L71,$N71,$P71)</f>
        <v>0</v>
      </c>
      <c r="S71" s="1">
        <f>MIN($C71,$E71,$G71,$I71,$K71,$M71,$O71,$Q71)</f>
        <v>0</v>
      </c>
      <c r="T71" s="1">
        <f>MEDIAN($B71,$D71,$F71,$H71,$J71,$L71,$N71,$P71)</f>
        <v>0</v>
      </c>
      <c r="U71" s="1">
        <f>MEDIAN($C71,$E71,$G71,$I71,$K71,$M71,$O71,$Q71)</f>
        <v>0</v>
      </c>
      <c r="V71" s="1">
        <f>MAX($B71,$D71,$F71,$H71,$J71,$L71,$N71,$P71)</f>
        <v>0</v>
      </c>
      <c r="W71" s="1">
        <f>MAX($C71,$E71,$G71,$I71,$K71,$M71,$O71,$Q71)</f>
        <v>0</v>
      </c>
    </row>
    <row r="72" spans="1:23">
      <c r="A72" s="1" t="s">
        <v>29</v>
      </c>
      <c r="B72" s="1"/>
      <c r="C72" s="1"/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/>
      <c r="I72" s="1"/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 cm="1">
        <f t="array" ref="L72">_xlfn.SWITCH($A$2,"average", AVERAGE(Instances!L72:Instances!L72),"median", MEDIAN(Instances!L72:Instances!L72),"min", MIN(Instances!L72:Instances!L72),"max", MAX(Instances!L72:Instances!L72),"diff", MAX(Instances!L72:Instances!L72)-MIN(Instances!L72:Instances!L72))</f>
        <v>0</v>
      </c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 cm="1">
        <f t="array" ref="O72">_xlfn.SWITCH($A$2,"average", AVERAGE(Instances!O72:Instances!O72),"median", MEDIAN(Instances!O72:Instances!O72),"min", MIN(Instances!O72:Instances!O72),"max", MAX(Instances!O72:Instances!O72),"diff", MAX(Instances!O72:Instances!O72)-MIN(Instances!O72:Instances!O72))</f>
        <v>0</v>
      </c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>
        <f>MIN($B72,$D72,$F72,$H72,$J72,$L72,$N72,$P72)</f>
        <v>0</v>
      </c>
      <c r="S72" s="1">
        <f>MIN($C72,$E72,$G72,$I72,$K72,$M72,$O72,$Q72)</f>
        <v>0</v>
      </c>
      <c r="T72" s="1">
        <f>MEDIAN($B72,$D72,$F72,$H72,$J72,$L72,$N72,$P72)</f>
        <v>0</v>
      </c>
      <c r="U72" s="1">
        <f>MEDIAN($C72,$E72,$G72,$I72,$K72,$M72,$O72,$Q72)</f>
        <v>0</v>
      </c>
      <c r="V72" s="1">
        <f>MAX($B72,$D72,$F72,$H72,$J72,$L72,$N72,$P72)</f>
        <v>0</v>
      </c>
      <c r="W72" s="1">
        <f>MAX($C72,$E72,$G72,$I72,$K72,$M72,$O72,$Q72)</f>
        <v>0</v>
      </c>
    </row>
    <row r="73" spans="1:23">
      <c r="A73" s="1" t="s">
        <v>30</v>
      </c>
      <c r="B73" s="1"/>
      <c r="C73" s="1"/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/>
      <c r="I73" s="1"/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 cm="1">
        <f t="array" ref="L73">_xlfn.SWITCH($A$2,"average", AVERAGE(Instances!L73:Instances!L73),"median", MEDIAN(Instances!L73:Instances!L73),"min", MIN(Instances!L73:Instances!L73),"max", MAX(Instances!L73:Instances!L73),"diff", MAX(Instances!L73:Instances!L73)-MIN(Instances!L73:Instances!L73))</f>
        <v>0</v>
      </c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 cm="1">
        <f t="array" ref="O73">_xlfn.SWITCH($A$2,"average", AVERAGE(Instances!O73:Instances!O73),"median", MEDIAN(Instances!O73:Instances!O73),"min", MIN(Instances!O73:Instances!O73),"max", MAX(Instances!O73:Instances!O73),"diff", MAX(Instances!O73:Instances!O73)-MIN(Instances!O73:Instances!O73))</f>
        <v>0</v>
      </c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>
        <f>MIN($B73,$D73,$F73,$H73,$J73,$L73,$N73,$P73)</f>
        <v>0</v>
      </c>
      <c r="S73" s="1">
        <f>MIN($C73,$E73,$G73,$I73,$K73,$M73,$O73,$Q73)</f>
        <v>0</v>
      </c>
      <c r="T73" s="1">
        <f>MEDIAN($B73,$D73,$F73,$H73,$J73,$L73,$N73,$P73)</f>
        <v>0</v>
      </c>
      <c r="U73" s="1">
        <f>MEDIAN($C73,$E73,$G73,$I73,$K73,$M73,$O73,$Q73)</f>
        <v>0</v>
      </c>
      <c r="V73" s="1">
        <f>MAX($B73,$D73,$F73,$H73,$J73,$L73,$N73,$P73)</f>
        <v>0</v>
      </c>
      <c r="W73" s="1">
        <f>MAX($C73,$E73,$G73,$I73,$K73,$M73,$O73,$Q73)</f>
        <v>0</v>
      </c>
    </row>
    <row r="74" spans="1:23">
      <c r="A74" s="1" t="s">
        <v>31</v>
      </c>
      <c r="B74" s="1"/>
      <c r="C74" s="1"/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/>
      <c r="I74" s="1"/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 cm="1">
        <f t="array" ref="L74">_xlfn.SWITCH($A$2,"average", AVERAGE(Instances!L74:Instances!L74),"median", MEDIAN(Instances!L74:Instances!L74),"min", MIN(Instances!L74:Instances!L74),"max", MAX(Instances!L74:Instances!L74),"diff", MAX(Instances!L74:Instances!L74)-MIN(Instances!L74:Instances!L74))</f>
        <v>0</v>
      </c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 cm="1">
        <f t="array" ref="O74">_xlfn.SWITCH($A$2,"average", AVERAGE(Instances!O74:Instances!O74),"median", MEDIAN(Instances!O74:Instances!O74),"min", MIN(Instances!O74:Instances!O74),"max", MAX(Instances!O74:Instances!O74),"diff", MAX(Instances!O74:Instances!O74)-MIN(Instances!O74:Instances!O74))</f>
        <v>0</v>
      </c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>
        <f>MIN($B74,$D74,$F74,$H74,$J74,$L74,$N74,$P74)</f>
        <v>0</v>
      </c>
      <c r="S74" s="1">
        <f>MIN($C74,$E74,$G74,$I74,$K74,$M74,$O74,$Q74)</f>
        <v>0</v>
      </c>
      <c r="T74" s="1">
        <f>MEDIAN($B74,$D74,$F74,$H74,$J74,$L74,$N74,$P74)</f>
        <v>0</v>
      </c>
      <c r="U74" s="1">
        <f>MEDIAN($C74,$E74,$G74,$I74,$K74,$M74,$O74,$Q74)</f>
        <v>0</v>
      </c>
      <c r="V74" s="1">
        <f>MAX($B74,$D74,$F74,$H74,$J74,$L74,$N74,$P74)</f>
        <v>0</v>
      </c>
      <c r="W74" s="1">
        <f>MAX($C74,$E74,$G74,$I74,$K74,$M74,$O74,$Q74)</f>
        <v>0</v>
      </c>
    </row>
    <row r="75" spans="1:23">
      <c r="A75" s="1" t="s">
        <v>32</v>
      </c>
      <c r="B75" s="1"/>
      <c r="C75" s="1"/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/>
      <c r="I75" s="1"/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 cm="1">
        <f t="array" ref="L75">_xlfn.SWITCH($A$2,"average", AVERAGE(Instances!L75:Instances!L75),"median", MEDIAN(Instances!L75:Instances!L75),"min", MIN(Instances!L75:Instances!L75),"max", MAX(Instances!L75:Instances!L75),"diff", MAX(Instances!L75:Instances!L75)-MIN(Instances!L75:Instances!L75))</f>
        <v>0</v>
      </c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 cm="1">
        <f t="array" ref="O75">_xlfn.SWITCH($A$2,"average", AVERAGE(Instances!O75:Instances!O75),"median", MEDIAN(Instances!O75:Instances!O75),"min", MIN(Instances!O75:Instances!O75),"max", MAX(Instances!O75:Instances!O75),"diff", MAX(Instances!O75:Instances!O75)-MIN(Instances!O75:Instances!O75))</f>
        <v>0</v>
      </c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>
        <f>MIN($B75,$D75,$F75,$H75,$J75,$L75,$N75,$P75)</f>
        <v>0</v>
      </c>
      <c r="S75" s="1">
        <f>MIN($C75,$E75,$G75,$I75,$K75,$M75,$O75,$Q75)</f>
        <v>0</v>
      </c>
      <c r="T75" s="1">
        <f>MEDIAN($B75,$D75,$F75,$H75,$J75,$L75,$N75,$P75)</f>
        <v>0</v>
      </c>
      <c r="U75" s="1">
        <f>MEDIAN($C75,$E75,$G75,$I75,$K75,$M75,$O75,$Q75)</f>
        <v>0</v>
      </c>
      <c r="V75" s="1">
        <f>MAX($B75,$D75,$F75,$H75,$J75,$L75,$N75,$P75)</f>
        <v>0</v>
      </c>
      <c r="W75" s="1">
        <f>MAX($C75,$E75,$G75,$I75,$K75,$M75,$O75,$Q75)</f>
        <v>0</v>
      </c>
    </row>
    <row r="76" spans="1:23">
      <c r="A76" s="1" t="s">
        <v>33</v>
      </c>
      <c r="B76" s="1"/>
      <c r="C76" s="1"/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/>
      <c r="I76" s="1"/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 cm="1">
        <f t="array" ref="L76">_xlfn.SWITCH($A$2,"average", AVERAGE(Instances!L76:Instances!L76),"median", MEDIAN(Instances!L76:Instances!L76),"min", MIN(Instances!L76:Instances!L76),"max", MAX(Instances!L76:Instances!L76),"diff", MAX(Instances!L76:Instances!L76)-MIN(Instances!L76:Instances!L76))</f>
        <v>0</v>
      </c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 cm="1">
        <f t="array" ref="O76">_xlfn.SWITCH($A$2,"average", AVERAGE(Instances!O76:Instances!O76),"median", MEDIAN(Instances!O76:Instances!O76),"min", MIN(Instances!O76:Instances!O76),"max", MAX(Instances!O76:Instances!O76),"diff", MAX(Instances!O76:Instances!O76)-MIN(Instances!O76:Instances!O76))</f>
        <v>0</v>
      </c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>
        <f>MIN($B76,$D76,$F76,$H76,$J76,$L76,$N76,$P76)</f>
        <v>0</v>
      </c>
      <c r="S76" s="1">
        <f>MIN($C76,$E76,$G76,$I76,$K76,$M76,$O76,$Q76)</f>
        <v>0</v>
      </c>
      <c r="T76" s="1">
        <f>MEDIAN($B76,$D76,$F76,$H76,$J76,$L76,$N76,$P76)</f>
        <v>0</v>
      </c>
      <c r="U76" s="1">
        <f>MEDIAN($C76,$E76,$G76,$I76,$K76,$M76,$O76,$Q76)</f>
        <v>0</v>
      </c>
      <c r="V76" s="1">
        <f>MAX($B76,$D76,$F76,$H76,$J76,$L76,$N76,$P76)</f>
        <v>0</v>
      </c>
      <c r="W76" s="1">
        <f>MAX($C76,$E76,$G76,$I76,$K76,$M76,$O76,$Q76)</f>
        <v>0</v>
      </c>
    </row>
    <row r="77" spans="1:23">
      <c r="A77" s="1" t="s">
        <v>34</v>
      </c>
      <c r="B77" s="1"/>
      <c r="C77" s="1"/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/>
      <c r="I77" s="1"/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 cm="1">
        <f t="array" ref="L77">_xlfn.SWITCH($A$2,"average", AVERAGE(Instances!L77:Instances!L77),"median", MEDIAN(Instances!L77:Instances!L77),"min", MIN(Instances!L77:Instances!L77),"max", MAX(Instances!L77:Instances!L77),"diff", MAX(Instances!L77:Instances!L77)-MIN(Instances!L77:Instances!L77))</f>
        <v>0</v>
      </c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 cm="1">
        <f t="array" ref="O77">_xlfn.SWITCH($A$2,"average", AVERAGE(Instances!O77:Instances!O77),"median", MEDIAN(Instances!O77:Instances!O77),"min", MIN(Instances!O77:Instances!O77),"max", MAX(Instances!O77:Instances!O77),"diff", MAX(Instances!O77:Instances!O77)-MIN(Instances!O77:Instances!O77))</f>
        <v>0</v>
      </c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>
        <f>MIN($B77,$D77,$F77,$H77,$J77,$L77,$N77,$P77)</f>
        <v>0</v>
      </c>
      <c r="S77" s="1">
        <f>MIN($C77,$E77,$G77,$I77,$K77,$M77,$O77,$Q77)</f>
        <v>0</v>
      </c>
      <c r="T77" s="1">
        <f>MEDIAN($B77,$D77,$F77,$H77,$J77,$L77,$N77,$P77)</f>
        <v>0</v>
      </c>
      <c r="U77" s="1">
        <f>MEDIAN($C77,$E77,$G77,$I77,$K77,$M77,$O77,$Q77)</f>
        <v>0</v>
      </c>
      <c r="V77" s="1">
        <f>MAX($B77,$D77,$F77,$H77,$J77,$L77,$N77,$P77)</f>
        <v>0</v>
      </c>
      <c r="W77" s="1">
        <f>MAX($C77,$E77,$G77,$I77,$K77,$M77,$O77,$Q77)</f>
        <v>0</v>
      </c>
    </row>
    <row r="78" spans="1:23">
      <c r="A78" s="1" t="s">
        <v>35</v>
      </c>
      <c r="B78" s="1"/>
      <c r="C78" s="1"/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/>
      <c r="I78" s="1"/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 cm="1">
        <f t="array" ref="L78">_xlfn.SWITCH($A$2,"average", AVERAGE(Instances!L78:Instances!L78),"median", MEDIAN(Instances!L78:Instances!L78),"min", MIN(Instances!L78:Instances!L78),"max", MAX(Instances!L78:Instances!L78),"diff", MAX(Instances!L78:Instances!L78)-MIN(Instances!L78:Instances!L78))</f>
        <v>0</v>
      </c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 cm="1">
        <f t="array" ref="O78">_xlfn.SWITCH($A$2,"average", AVERAGE(Instances!O78:Instances!O78),"median", MEDIAN(Instances!O78:Instances!O78),"min", MIN(Instances!O78:Instances!O78),"max", MAX(Instances!O78:Instances!O78),"diff", MAX(Instances!O78:Instances!O78)-MIN(Instances!O78:Instances!O78))</f>
        <v>0</v>
      </c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>
        <f>MIN($B78,$D78,$F78,$H78,$J78,$L78,$N78,$P78)</f>
        <v>0</v>
      </c>
      <c r="S78" s="1">
        <f>MIN($C78,$E78,$G78,$I78,$K78,$M78,$O78,$Q78)</f>
        <v>0</v>
      </c>
      <c r="T78" s="1">
        <f>MEDIAN($B78,$D78,$F78,$H78,$J78,$L78,$N78,$P78)</f>
        <v>0</v>
      </c>
      <c r="U78" s="1">
        <f>MEDIAN($C78,$E78,$G78,$I78,$K78,$M78,$O78,$Q78)</f>
        <v>0</v>
      </c>
      <c r="V78" s="1">
        <f>MAX($B78,$D78,$F78,$H78,$J78,$L78,$N78,$P78)</f>
        <v>0</v>
      </c>
      <c r="W78" s="1">
        <f>MAX($C78,$E78,$G78,$I78,$K78,$M78,$O78,$Q78)</f>
        <v>0</v>
      </c>
    </row>
    <row r="79" spans="1:23">
      <c r="A79" s="1" t="s">
        <v>36</v>
      </c>
      <c r="B79" s="1"/>
      <c r="C79" s="1"/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/>
      <c r="I79" s="1"/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 cm="1">
        <f t="array" ref="L79">_xlfn.SWITCH($A$2,"average", AVERAGE(Instances!L79:Instances!L79),"median", MEDIAN(Instances!L79:Instances!L79),"min", MIN(Instances!L79:Instances!L79),"max", MAX(Instances!L79:Instances!L79),"diff", MAX(Instances!L79:Instances!L79)-MIN(Instances!L79:Instances!L79))</f>
        <v>0</v>
      </c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 cm="1">
        <f t="array" ref="O79">_xlfn.SWITCH($A$2,"average", AVERAGE(Instances!O79:Instances!O79),"median", MEDIAN(Instances!O79:Instances!O79),"min", MIN(Instances!O79:Instances!O79),"max", MAX(Instances!O79:Instances!O79),"diff", MAX(Instances!O79:Instances!O79)-MIN(Instances!O79:Instances!O79))</f>
        <v>0</v>
      </c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>
        <f>MIN($B79,$D79,$F79,$H79,$J79,$L79,$N79,$P79)</f>
        <v>0</v>
      </c>
      <c r="S79" s="1">
        <f>MIN($C79,$E79,$G79,$I79,$K79,$M79,$O79,$Q79)</f>
        <v>0</v>
      </c>
      <c r="T79" s="1">
        <f>MEDIAN($B79,$D79,$F79,$H79,$J79,$L79,$N79,$P79)</f>
        <v>0</v>
      </c>
      <c r="U79" s="1">
        <f>MEDIAN($C79,$E79,$G79,$I79,$K79,$M79,$O79,$Q79)</f>
        <v>0</v>
      </c>
      <c r="V79" s="1">
        <f>MAX($B79,$D79,$F79,$H79,$J79,$L79,$N79,$P79)</f>
        <v>0</v>
      </c>
      <c r="W79" s="1">
        <f>MAX($C79,$E79,$G79,$I79,$K79,$M79,$O79,$Q79)</f>
        <v>0</v>
      </c>
    </row>
    <row r="80" spans="1:23">
      <c r="A80" s="1" t="s">
        <v>37</v>
      </c>
      <c r="B80" s="1"/>
      <c r="C80" s="1"/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/>
      <c r="I80" s="1"/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 cm="1">
        <f t="array" ref="L80">_xlfn.SWITCH($A$2,"average", AVERAGE(Instances!L80:Instances!L80),"median", MEDIAN(Instances!L80:Instances!L80),"min", MIN(Instances!L80:Instances!L80),"max", MAX(Instances!L80:Instances!L80),"diff", MAX(Instances!L80:Instances!L80)-MIN(Instances!L80:Instances!L80))</f>
        <v>0</v>
      </c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 cm="1">
        <f t="array" ref="O80">_xlfn.SWITCH($A$2,"average", AVERAGE(Instances!O80:Instances!O80),"median", MEDIAN(Instances!O80:Instances!O80),"min", MIN(Instances!O80:Instances!O80),"max", MAX(Instances!O80:Instances!O80),"diff", MAX(Instances!O80:Instances!O80)-MIN(Instances!O80:Instances!O80))</f>
        <v>0</v>
      </c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>
        <f>MIN($B80,$D80,$F80,$H80,$J80,$L80,$N80,$P80)</f>
        <v>0</v>
      </c>
      <c r="S80" s="1">
        <f>MIN($C80,$E80,$G80,$I80,$K80,$M80,$O80,$Q80)</f>
        <v>0</v>
      </c>
      <c r="T80" s="1">
        <f>MEDIAN($B80,$D80,$F80,$H80,$J80,$L80,$N80,$P80)</f>
        <v>0</v>
      </c>
      <c r="U80" s="1">
        <f>MEDIAN($C80,$E80,$G80,$I80,$K80,$M80,$O80,$Q80)</f>
        <v>0</v>
      </c>
      <c r="V80" s="1">
        <f>MAX($B80,$D80,$F80,$H80,$J80,$L80,$N80,$P80)</f>
        <v>0</v>
      </c>
      <c r="W80" s="1">
        <f>MAX($C80,$E80,$G80,$I80,$K80,$M80,$O80,$Q80)</f>
        <v>0</v>
      </c>
    </row>
    <row r="81" spans="1:23">
      <c r="A81" s="1" t="s">
        <v>38</v>
      </c>
      <c r="B81" s="1"/>
      <c r="C81" s="1"/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/>
      <c r="I81" s="1"/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 cm="1">
        <f t="array" ref="L81">_xlfn.SWITCH($A$2,"average", AVERAGE(Instances!L81:Instances!L81),"median", MEDIAN(Instances!L81:Instances!L81),"min", MIN(Instances!L81:Instances!L81),"max", MAX(Instances!L81:Instances!L81),"diff", MAX(Instances!L81:Instances!L81)-MIN(Instances!L81:Instances!L81))</f>
        <v>0</v>
      </c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 cm="1">
        <f t="array" ref="O81">_xlfn.SWITCH($A$2,"average", AVERAGE(Instances!O81:Instances!O81),"median", MEDIAN(Instances!O81:Instances!O81),"min", MIN(Instances!O81:Instances!O81),"max", MAX(Instances!O81:Instances!O81),"diff", MAX(Instances!O81:Instances!O81)-MIN(Instances!O81:Instances!O81))</f>
        <v>0</v>
      </c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>
        <f>MIN($B81,$D81,$F81,$H81,$J81,$L81,$N81,$P81)</f>
        <v>0</v>
      </c>
      <c r="S81" s="1">
        <f>MIN($C81,$E81,$G81,$I81,$K81,$M81,$O81,$Q81)</f>
        <v>0</v>
      </c>
      <c r="T81" s="1">
        <f>MEDIAN($B81,$D81,$F81,$H81,$J81,$L81,$N81,$P81)</f>
        <v>0</v>
      </c>
      <c r="U81" s="1">
        <f>MEDIAN($C81,$E81,$G81,$I81,$K81,$M81,$O81,$Q81)</f>
        <v>0</v>
      </c>
      <c r="V81" s="1">
        <f>MAX($B81,$D81,$F81,$H81,$J81,$L81,$N81,$P81)</f>
        <v>0</v>
      </c>
      <c r="W81" s="1">
        <f>MAX($C81,$E81,$G81,$I81,$K81,$M81,$O81,$Q81)</f>
        <v>0</v>
      </c>
    </row>
    <row r="82" spans="1:23">
      <c r="A82" s="1" t="s">
        <v>39</v>
      </c>
      <c r="B82" s="1"/>
      <c r="C82" s="1"/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/>
      <c r="I82" s="1"/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 cm="1">
        <f t="array" ref="L82">_xlfn.SWITCH($A$2,"average", AVERAGE(Instances!L82:Instances!L82),"median", MEDIAN(Instances!L82:Instances!L82),"min", MIN(Instances!L82:Instances!L82),"max", MAX(Instances!L82:Instances!L82),"diff", MAX(Instances!L82:Instances!L82)-MIN(Instances!L82:Instances!L82))</f>
        <v>0</v>
      </c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 cm="1">
        <f t="array" ref="O82">_xlfn.SWITCH($A$2,"average", AVERAGE(Instances!O82:Instances!O82),"median", MEDIAN(Instances!O82:Instances!O82),"min", MIN(Instances!O82:Instances!O82),"max", MAX(Instances!O82:Instances!O82),"diff", MAX(Instances!O82:Instances!O82)-MIN(Instances!O82:Instances!O82))</f>
        <v>0</v>
      </c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>
        <f>MIN($B82,$D82,$F82,$H82,$J82,$L82,$N82,$P82)</f>
        <v>0</v>
      </c>
      <c r="S82" s="1">
        <f>MIN($C82,$E82,$G82,$I82,$K82,$M82,$O82,$Q82)</f>
        <v>0</v>
      </c>
      <c r="T82" s="1">
        <f>MEDIAN($B82,$D82,$F82,$H82,$J82,$L82,$N82,$P82)</f>
        <v>0</v>
      </c>
      <c r="U82" s="1">
        <f>MEDIAN($C82,$E82,$G82,$I82,$K82,$M82,$O82,$Q82)</f>
        <v>0</v>
      </c>
      <c r="V82" s="1">
        <f>MAX($B82,$D82,$F82,$H82,$J82,$L82,$N82,$P82)</f>
        <v>0</v>
      </c>
      <c r="W82" s="1">
        <f>MAX($C82,$E82,$G82,$I82,$K82,$M82,$O82,$Q82)</f>
        <v>0</v>
      </c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 t="s">
        <v>40</v>
      </c>
      <c r="B84" s="1">
        <f>SUM(B$3:B$82)</f>
        <v>0</v>
      </c>
      <c r="C84" s="1">
        <f>SUM(C$3:C$82)</f>
        <v>0</v>
      </c>
      <c r="D84" s="1">
        <f>SUM(D$3:D$82)</f>
        <v>0</v>
      </c>
      <c r="E84" s="1">
        <f>SUM(E$3:E$82)</f>
        <v>0</v>
      </c>
      <c r="F84" s="1">
        <f>SUM(F$3:F$82)</f>
        <v>0</v>
      </c>
      <c r="G84" s="1">
        <f>SUM(G$3:G$82)</f>
        <v>0</v>
      </c>
      <c r="H84" s="1">
        <f>SUM(H$3:H$82)</f>
        <v>0</v>
      </c>
      <c r="I84" s="1">
        <f>SUM(I$3:I$82)</f>
        <v>0</v>
      </c>
      <c r="J84" s="1">
        <f>SUM(J$3:J$82)</f>
        <v>0</v>
      </c>
      <c r="K84" s="1">
        <f>SUM(K$3:K$82)</f>
        <v>0</v>
      </c>
      <c r="L84" s="1">
        <f>SUM(L$3:L$82)</f>
        <v>0</v>
      </c>
      <c r="M84" s="1">
        <f>SUM(M$3:M$82)</f>
        <v>0</v>
      </c>
      <c r="N84" s="1">
        <f>SUM(N$3:N$82)</f>
        <v>0</v>
      </c>
      <c r="O84" s="1">
        <f>SUM(O$3:O$82)</f>
        <v>0</v>
      </c>
      <c r="P84" s="1">
        <f>SUM(P$3:P$82)</f>
        <v>0</v>
      </c>
      <c r="Q84" s="1">
        <f>SUM(Q$3:Q$82)</f>
        <v>0</v>
      </c>
      <c r="R84" s="1">
        <f>SUM(R$3:R$82)</f>
        <v>0</v>
      </c>
      <c r="S84" s="1">
        <f>SUM(S$3:S$82)</f>
        <v>0</v>
      </c>
      <c r="T84" s="1">
        <f>SUM(T$3:T$82)</f>
        <v>0</v>
      </c>
      <c r="U84" s="1">
        <f>SUM(U$3:U$82)</f>
        <v>0</v>
      </c>
      <c r="V84" s="1">
        <f>SUM(V$3:V$82)</f>
        <v>0</v>
      </c>
      <c r="W84" s="1">
        <f>SUM(W$3:W$82)</f>
        <v>0</v>
      </c>
    </row>
    <row r="85" spans="1:23">
      <c r="A85" s="1" t="s">
        <v>41</v>
      </c>
      <c r="B85" s="1">
        <f>AVERAGE(B$3:B$82)</f>
        <v>0</v>
      </c>
      <c r="C85" s="1">
        <f>AVERAGE(C$3:C$82)</f>
        <v>0</v>
      </c>
      <c r="D85" s="1">
        <f>AVERAGE(D$3:D$82)</f>
        <v>0</v>
      </c>
      <c r="E85" s="1">
        <f>AVERAGE(E$3:E$82)</f>
        <v>0</v>
      </c>
      <c r="F85" s="1">
        <f>AVERAGE(F$3:F$82)</f>
        <v>0</v>
      </c>
      <c r="G85" s="1">
        <f>AVERAGE(G$3:G$82)</f>
        <v>0</v>
      </c>
      <c r="H85" s="1">
        <f>AVERAGE(H$3:H$82)</f>
        <v>0</v>
      </c>
      <c r="I85" s="1">
        <f>AVERAGE(I$3:I$82)</f>
        <v>0</v>
      </c>
      <c r="J85" s="1">
        <f>AVERAGE(J$3:J$82)</f>
        <v>0</v>
      </c>
      <c r="K85" s="1">
        <f>AVERAGE(K$3:K$82)</f>
        <v>0</v>
      </c>
      <c r="L85" s="1">
        <f>AVERAGE(L$3:L$82)</f>
        <v>0</v>
      </c>
      <c r="M85" s="1">
        <f>AVERAGE(M$3:M$82)</f>
        <v>0</v>
      </c>
      <c r="N85" s="1">
        <f>AVERAGE(N$3:N$82)</f>
        <v>0</v>
      </c>
      <c r="O85" s="1">
        <f>AVERAGE(O$3:O$82)</f>
        <v>0</v>
      </c>
      <c r="P85" s="1">
        <f>AVERAGE(P$3:P$82)</f>
        <v>0</v>
      </c>
      <c r="Q85" s="1">
        <f>AVERAGE(Q$3:Q$82)</f>
        <v>0</v>
      </c>
      <c r="R85" s="1">
        <f>AVERAGE(R$3:R$82)</f>
        <v>0</v>
      </c>
      <c r="S85" s="1">
        <f>AVERAGE(S$3:S$82)</f>
        <v>0</v>
      </c>
      <c r="T85" s="1">
        <f>AVERAGE(T$3:T$82)</f>
        <v>0</v>
      </c>
      <c r="U85" s="1">
        <f>AVERAGE(U$3:U$82)</f>
        <v>0</v>
      </c>
      <c r="V85" s="1">
        <f>AVERAGE(V$3:V$82)</f>
        <v>0</v>
      </c>
      <c r="W85" s="1">
        <f>AVERAGE(W$3:W$82)</f>
        <v>0</v>
      </c>
    </row>
    <row r="86" spans="1:23">
      <c r="A86" s="1" t="s">
        <v>42</v>
      </c>
      <c r="B86" s="1">
        <f>STDEV(B$3:B$82)</f>
        <v>0</v>
      </c>
      <c r="C86" s="1">
        <f>STDEV(C$3:C$82)</f>
        <v>0</v>
      </c>
      <c r="D86" s="1">
        <f>STDEV(D$3:D$82)</f>
        <v>0</v>
      </c>
      <c r="E86" s="1">
        <f>STDEV(E$3:E$82)</f>
        <v>0</v>
      </c>
      <c r="F86" s="1">
        <f>STDEV(F$3:F$82)</f>
        <v>0</v>
      </c>
      <c r="G86" s="1">
        <f>STDEV(G$3:G$82)</f>
        <v>0</v>
      </c>
      <c r="H86" s="1">
        <f>STDEV(H$3:H$82)</f>
        <v>0</v>
      </c>
      <c r="I86" s="1">
        <f>STDEV(I$3:I$82)</f>
        <v>0</v>
      </c>
      <c r="J86" s="1">
        <f>STDEV(J$3:J$82)</f>
        <v>0</v>
      </c>
      <c r="K86" s="1">
        <f>STDEV(K$3:K$82)</f>
        <v>0</v>
      </c>
      <c r="L86" s="1">
        <f>STDEV(L$3:L$82)</f>
        <v>0</v>
      </c>
      <c r="M86" s="1">
        <f>STDEV(M$3:M$82)</f>
        <v>0</v>
      </c>
      <c r="N86" s="1">
        <f>STDEV(N$3:N$82)</f>
        <v>0</v>
      </c>
      <c r="O86" s="1">
        <f>STDEV(O$3:O$82)</f>
        <v>0</v>
      </c>
      <c r="P86" s="1">
        <f>STDEV(P$3:P$82)</f>
        <v>0</v>
      </c>
      <c r="Q86" s="1">
        <f>STDEV(Q$3:Q$82)</f>
        <v>0</v>
      </c>
      <c r="R86" s="1">
        <f>STDEV(R$3:R$82)</f>
        <v>0</v>
      </c>
      <c r="S86" s="1">
        <f>STDEV(S$3:S$82)</f>
        <v>0</v>
      </c>
      <c r="T86" s="1">
        <f>STDEV(T$3:T$82)</f>
        <v>0</v>
      </c>
      <c r="U86" s="1">
        <f>STDEV(U$3:U$82)</f>
        <v>0</v>
      </c>
      <c r="V86" s="1">
        <f>STDEV(V$3:V$82)</f>
        <v>0</v>
      </c>
      <c r="W86" s="1">
        <f>STDEV(W$3:W$82)</f>
        <v>0</v>
      </c>
    </row>
    <row r="87" spans="1:23">
      <c r="A87" s="1" t="s">
        <v>43</v>
      </c>
      <c r="B87" s="1">
        <f>SUMPRODUCT(--(B$3:B$82-$R$3:$R$82)^2)^0.5</f>
        <v>0</v>
      </c>
      <c r="C87" s="1">
        <f>SUMPRODUCT(--(C$3:C$82-$S$3:$S$82)^2)^0.5</f>
        <v>0</v>
      </c>
      <c r="D87" s="1">
        <f>SUMPRODUCT(--(D$3:D$82-$R$3:$R$82)^2)^0.5</f>
        <v>0</v>
      </c>
      <c r="E87" s="1">
        <f>SUMPRODUCT(--(E$3:E$82-$S$3:$S$82)^2)^0.5</f>
        <v>0</v>
      </c>
      <c r="F87" s="1">
        <f>SUMPRODUCT(--(F$3:F$82-$R$3:$R$82)^2)^0.5</f>
        <v>0</v>
      </c>
      <c r="G87" s="1">
        <f>SUMPRODUCT(--(G$3:G$82-$S$3:$S$82)^2)^0.5</f>
        <v>0</v>
      </c>
      <c r="H87" s="1">
        <f>SUMPRODUCT(--(H$3:H$82-$R$3:$R$82)^2)^0.5</f>
        <v>0</v>
      </c>
      <c r="I87" s="1">
        <f>SUMPRODUCT(--(I$3:I$82-$S$3:$S$82)^2)^0.5</f>
        <v>0</v>
      </c>
      <c r="J87" s="1">
        <f>SUMPRODUCT(--(J$3:J$82-$R$3:$R$82)^2)^0.5</f>
        <v>0</v>
      </c>
      <c r="K87" s="1">
        <f>SUMPRODUCT(--(K$3:K$82-$S$3:$S$82)^2)^0.5</f>
        <v>0</v>
      </c>
      <c r="L87" s="1">
        <f>SUMPRODUCT(--(L$3:L$82-$R$3:$R$82)^2)^0.5</f>
        <v>0</v>
      </c>
      <c r="M87" s="1">
        <f>SUMPRODUCT(--(M$3:M$82-$S$3:$S$82)^2)^0.5</f>
        <v>0</v>
      </c>
      <c r="N87" s="1">
        <f>SUMPRODUCT(--(N$3:N$82-$R$3:$R$82)^2)^0.5</f>
        <v>0</v>
      </c>
      <c r="O87" s="1">
        <f>SUMPRODUCT(--(O$3:O$82-$S$3:$S$82)^2)^0.5</f>
        <v>0</v>
      </c>
      <c r="P87" s="1">
        <f>SUMPRODUCT(--(P$3:P$82-$R$3:$R$82)^2)^0.5</f>
        <v>0</v>
      </c>
      <c r="Q87" s="1">
        <f>SUMPRODUCT(--(Q$3:Q$82-$S$3:$S$82)^2)^0.5</f>
        <v>0</v>
      </c>
      <c r="R87" s="1"/>
      <c r="S87" s="1"/>
      <c r="T87" s="1"/>
      <c r="U87" s="1"/>
      <c r="V87" s="1"/>
      <c r="W87" s="1"/>
    </row>
    <row r="88" spans="1:23">
      <c r="A88" s="1" t="s">
        <v>44</v>
      </c>
      <c r="B88" s="1">
        <f>SUMPRODUCT(NOT(ISBLANK(B$3:B$82))*(B$3:B$82=$R$3:$R$82))</f>
        <v>0</v>
      </c>
      <c r="C88" s="1">
        <f>SUMPRODUCT(NOT(ISBLANK(C$3:C$82))*(C$3:C$82=$S$3:$S$82))</f>
        <v>0</v>
      </c>
      <c r="D88" s="1">
        <f>SUMPRODUCT(NOT(ISBLANK(D$3:D$82))*(D$3:D$82=$R$3:$R$82))</f>
        <v>0</v>
      </c>
      <c r="E88" s="1">
        <f>SUMPRODUCT(NOT(ISBLANK(E$3:E$82))*(E$3:E$82=$S$3:$S$82))</f>
        <v>0</v>
      </c>
      <c r="F88" s="1">
        <f>SUMPRODUCT(NOT(ISBLANK(F$3:F$82))*(F$3:F$82=$R$3:$R$82))</f>
        <v>0</v>
      </c>
      <c r="G88" s="1">
        <f>SUMPRODUCT(NOT(ISBLANK(G$3:G$82))*(G$3:G$82=$S$3:$S$82))</f>
        <v>0</v>
      </c>
      <c r="H88" s="1">
        <f>SUMPRODUCT(NOT(ISBLANK(H$3:H$82))*(H$3:H$82=$R$3:$R$82))</f>
        <v>0</v>
      </c>
      <c r="I88" s="1">
        <f>SUMPRODUCT(NOT(ISBLANK(I$3:I$82))*(I$3:I$82=$S$3:$S$82))</f>
        <v>0</v>
      </c>
      <c r="J88" s="1">
        <f>SUMPRODUCT(NOT(ISBLANK(J$3:J$82))*(J$3:J$82=$R$3:$R$82))</f>
        <v>0</v>
      </c>
      <c r="K88" s="1">
        <f>SUMPRODUCT(NOT(ISBLANK(K$3:K$82))*(K$3:K$82=$S$3:$S$82))</f>
        <v>0</v>
      </c>
      <c r="L88" s="1">
        <f>SUMPRODUCT(NOT(ISBLANK(L$3:L$82))*(L$3:L$82=$R$3:$R$82))</f>
        <v>0</v>
      </c>
      <c r="M88" s="1">
        <f>SUMPRODUCT(NOT(ISBLANK(M$3:M$82))*(M$3:M$82=$S$3:$S$82))</f>
        <v>0</v>
      </c>
      <c r="N88" s="1">
        <f>SUMPRODUCT(NOT(ISBLANK(N$3:N$82))*(N$3:N$82=$R$3:$R$82))</f>
        <v>0</v>
      </c>
      <c r="O88" s="1">
        <f>SUMPRODUCT(NOT(ISBLANK(O$3:O$82))*(O$3:O$82=$S$3:$S$82))</f>
        <v>0</v>
      </c>
      <c r="P88" s="1">
        <f>SUMPRODUCT(NOT(ISBLANK(P$3:P$82))*(P$3:P$82=$R$3:$R$82))</f>
        <v>0</v>
      </c>
      <c r="Q88" s="1">
        <f>SUMPRODUCT(NOT(ISBLANK(Q$3:Q$82))*(Q$3:Q$82=$S$3:$S$82))</f>
        <v>0</v>
      </c>
      <c r="R88" s="1"/>
      <c r="S88" s="1"/>
      <c r="T88" s="1"/>
      <c r="U88" s="1"/>
      <c r="V88" s="1"/>
      <c r="W88" s="1"/>
    </row>
    <row r="89" spans="1:23">
      <c r="A89" s="1" t="s">
        <v>45</v>
      </c>
      <c r="B89" s="1">
        <f>SUMPRODUCT(NOT(ISBLANK(B$3:B$82))*(B$3:B$82&lt;$T$3:$T$82))</f>
        <v>0</v>
      </c>
      <c r="C89" s="1">
        <f>SUMPRODUCT(NOT(ISBLANK(C$3:C$82))*(C$3:C$82&lt;$U$3:$U$82))</f>
        <v>0</v>
      </c>
      <c r="D89" s="1">
        <f>SUMPRODUCT(NOT(ISBLANK(D$3:D$82))*(D$3:D$82&lt;$T$3:$T$82))</f>
        <v>0</v>
      </c>
      <c r="E89" s="1">
        <f>SUMPRODUCT(NOT(ISBLANK(E$3:E$82))*(E$3:E$82&lt;$U$3:$U$82))</f>
        <v>0</v>
      </c>
      <c r="F89" s="1">
        <f>SUMPRODUCT(NOT(ISBLANK(F$3:F$82))*(F$3:F$82&lt;$T$3:$T$82))</f>
        <v>0</v>
      </c>
      <c r="G89" s="1">
        <f>SUMPRODUCT(NOT(ISBLANK(G$3:G$82))*(G$3:G$82&lt;$U$3:$U$82))</f>
        <v>0</v>
      </c>
      <c r="H89" s="1">
        <f>SUMPRODUCT(NOT(ISBLANK(H$3:H$82))*(H$3:H$82&lt;$T$3:$T$82))</f>
        <v>0</v>
      </c>
      <c r="I89" s="1">
        <f>SUMPRODUCT(NOT(ISBLANK(I$3:I$82))*(I$3:I$82&lt;$U$3:$U$82))</f>
        <v>0</v>
      </c>
      <c r="J89" s="1">
        <f>SUMPRODUCT(NOT(ISBLANK(J$3:J$82))*(J$3:J$82&lt;$T$3:$T$82))</f>
        <v>0</v>
      </c>
      <c r="K89" s="1">
        <f>SUMPRODUCT(NOT(ISBLANK(K$3:K$82))*(K$3:K$82&lt;$U$3:$U$82))</f>
        <v>0</v>
      </c>
      <c r="L89" s="1">
        <f>SUMPRODUCT(NOT(ISBLANK(L$3:L$82))*(L$3:L$82&lt;$T$3:$T$82))</f>
        <v>0</v>
      </c>
      <c r="M89" s="1">
        <f>SUMPRODUCT(NOT(ISBLANK(M$3:M$82))*(M$3:M$82&lt;$U$3:$U$82))</f>
        <v>0</v>
      </c>
      <c r="N89" s="1">
        <f>SUMPRODUCT(NOT(ISBLANK(N$3:N$82))*(N$3:N$82&lt;$T$3:$T$82))</f>
        <v>0</v>
      </c>
      <c r="O89" s="1">
        <f>SUMPRODUCT(NOT(ISBLANK(O$3:O$82))*(O$3:O$82&lt;$U$3:$U$82))</f>
        <v>0</v>
      </c>
      <c r="P89" s="1">
        <f>SUMPRODUCT(NOT(ISBLANK(P$3:P$82))*(P$3:P$82&lt;$T$3:$T$82))</f>
        <v>0</v>
      </c>
      <c r="Q89" s="1">
        <f>SUMPRODUCT(NOT(ISBLANK(Q$3:Q$82))*(Q$3:Q$82&lt;$U$3:$U$82))</f>
        <v>0</v>
      </c>
      <c r="R89" s="1"/>
      <c r="S89" s="1"/>
      <c r="T89" s="1"/>
      <c r="U89" s="1"/>
      <c r="V89" s="1"/>
      <c r="W89" s="1"/>
    </row>
    <row r="90" spans="1:23">
      <c r="A90" s="1" t="s">
        <v>46</v>
      </c>
      <c r="B90" s="1">
        <f>SUMPRODUCT((NOT(ISBLANK(B$3:B$82))*(B$3:B$82&gt;$T$3:$T$82))+ISBLANK(B$3:B$82))</f>
        <v>0</v>
      </c>
      <c r="C90" s="1">
        <f>SUMPRODUCT((NOT(ISBLANK(C$3:C$82))*(C$3:C$82&gt;$U$3:$U$82))+ISBLANK(C$3:C$82))</f>
        <v>0</v>
      </c>
      <c r="D90" s="1">
        <f>SUMPRODUCT((NOT(ISBLANK(D$3:D$82))*(D$3:D$82&gt;$T$3:$T$82))+ISBLANK(D$3:D$82))</f>
        <v>0</v>
      </c>
      <c r="E90" s="1">
        <f>SUMPRODUCT((NOT(ISBLANK(E$3:E$82))*(E$3:E$82&gt;$U$3:$U$82))+ISBLANK(E$3:E$82))</f>
        <v>0</v>
      </c>
      <c r="F90" s="1">
        <f>SUMPRODUCT((NOT(ISBLANK(F$3:F$82))*(F$3:F$82&gt;$T$3:$T$82))+ISBLANK(F$3:F$82))</f>
        <v>0</v>
      </c>
      <c r="G90" s="1">
        <f>SUMPRODUCT((NOT(ISBLANK(G$3:G$82))*(G$3:G$82&gt;$U$3:$U$82))+ISBLANK(G$3:G$82))</f>
        <v>0</v>
      </c>
      <c r="H90" s="1">
        <f>SUMPRODUCT((NOT(ISBLANK(H$3:H$82))*(H$3:H$82&gt;$T$3:$T$82))+ISBLANK(H$3:H$82))</f>
        <v>0</v>
      </c>
      <c r="I90" s="1">
        <f>SUMPRODUCT((NOT(ISBLANK(I$3:I$82))*(I$3:I$82&gt;$U$3:$U$82))+ISBLANK(I$3:I$82))</f>
        <v>0</v>
      </c>
      <c r="J90" s="1">
        <f>SUMPRODUCT((NOT(ISBLANK(J$3:J$82))*(J$3:J$82&gt;$T$3:$T$82))+ISBLANK(J$3:J$82))</f>
        <v>0</v>
      </c>
      <c r="K90" s="1">
        <f>SUMPRODUCT((NOT(ISBLANK(K$3:K$82))*(K$3:K$82&gt;$U$3:$U$82))+ISBLANK(K$3:K$82))</f>
        <v>0</v>
      </c>
      <c r="L90" s="1">
        <f>SUMPRODUCT((NOT(ISBLANK(L$3:L$82))*(L$3:L$82&gt;$T$3:$T$82))+ISBLANK(L$3:L$82))</f>
        <v>0</v>
      </c>
      <c r="M90" s="1">
        <f>SUMPRODUCT((NOT(ISBLANK(M$3:M$82))*(M$3:M$82&gt;$U$3:$U$82))+ISBLANK(M$3:M$82))</f>
        <v>0</v>
      </c>
      <c r="N90" s="1">
        <f>SUMPRODUCT((NOT(ISBLANK(N$3:N$82))*(N$3:N$82&gt;$T$3:$T$82))+ISBLANK(N$3:N$82))</f>
        <v>0</v>
      </c>
      <c r="O90" s="1">
        <f>SUMPRODUCT((NOT(ISBLANK(O$3:O$82))*(O$3:O$82&gt;$U$3:$U$82))+ISBLANK(O$3:O$82))</f>
        <v>0</v>
      </c>
      <c r="P90" s="1">
        <f>SUMPRODUCT((NOT(ISBLANK(P$3:P$82))*(P$3:P$82&gt;$T$3:$T$82))+ISBLANK(P$3:P$82))</f>
        <v>0</v>
      </c>
      <c r="Q90" s="1">
        <f>SUMPRODUCT((NOT(ISBLANK(Q$3:Q$82))*(Q$3:Q$82&gt;$U$3:$U$82))+ISBLANK(Q$3:Q$82))</f>
        <v>0</v>
      </c>
      <c r="R90" s="1"/>
      <c r="S90" s="1"/>
      <c r="T90" s="1"/>
      <c r="U90" s="1"/>
      <c r="V90" s="1"/>
      <c r="W90" s="1"/>
    </row>
    <row r="91" spans="1:23">
      <c r="A91" s="1" t="s">
        <v>47</v>
      </c>
      <c r="B91" s="1">
        <f>SUMPRODUCT((NOT(ISBLANK(B$3:B$82))*(B$3:B$82=$V$3:$V$82))+ISBLANK(B$3:B$82))</f>
        <v>0</v>
      </c>
      <c r="C91" s="1">
        <f>SUMPRODUCT((NOT(ISBLANK(C$3:C$82))*(C$3:C$82=$W$3:$W$82))+ISBLANK(C$3:C$82))</f>
        <v>0</v>
      </c>
      <c r="D91" s="1">
        <f>SUMPRODUCT((NOT(ISBLANK(D$3:D$82))*(D$3:D$82=$V$3:$V$82))+ISBLANK(D$3:D$82))</f>
        <v>0</v>
      </c>
      <c r="E91" s="1">
        <f>SUMPRODUCT((NOT(ISBLANK(E$3:E$82))*(E$3:E$82=$W$3:$W$82))+ISBLANK(E$3:E$82))</f>
        <v>0</v>
      </c>
      <c r="F91" s="1">
        <f>SUMPRODUCT((NOT(ISBLANK(F$3:F$82))*(F$3:F$82=$V$3:$V$82))+ISBLANK(F$3:F$82))</f>
        <v>0</v>
      </c>
      <c r="G91" s="1">
        <f>SUMPRODUCT((NOT(ISBLANK(G$3:G$82))*(G$3:G$82=$W$3:$W$82))+ISBLANK(G$3:G$82))</f>
        <v>0</v>
      </c>
      <c r="H91" s="1">
        <f>SUMPRODUCT((NOT(ISBLANK(H$3:H$82))*(H$3:H$82=$V$3:$V$82))+ISBLANK(H$3:H$82))</f>
        <v>0</v>
      </c>
      <c r="I91" s="1">
        <f>SUMPRODUCT((NOT(ISBLANK(I$3:I$82))*(I$3:I$82=$W$3:$W$82))+ISBLANK(I$3:I$82))</f>
        <v>0</v>
      </c>
      <c r="J91" s="1">
        <f>SUMPRODUCT((NOT(ISBLANK(J$3:J$82))*(J$3:J$82=$V$3:$V$82))+ISBLANK(J$3:J$82))</f>
        <v>0</v>
      </c>
      <c r="K91" s="1">
        <f>SUMPRODUCT((NOT(ISBLANK(K$3:K$82))*(K$3:K$82=$W$3:$W$82))+ISBLANK(K$3:K$82))</f>
        <v>0</v>
      </c>
      <c r="L91" s="1">
        <f>SUMPRODUCT((NOT(ISBLANK(L$3:L$82))*(L$3:L$82=$V$3:$V$82))+ISBLANK(L$3:L$82))</f>
        <v>0</v>
      </c>
      <c r="M91" s="1">
        <f>SUMPRODUCT((NOT(ISBLANK(M$3:M$82))*(M$3:M$82=$W$3:$W$82))+ISBLANK(M$3:M$82))</f>
        <v>0</v>
      </c>
      <c r="N91" s="1">
        <f>SUMPRODUCT((NOT(ISBLANK(N$3:N$82))*(N$3:N$82=$V$3:$V$82))+ISBLANK(N$3:N$82))</f>
        <v>0</v>
      </c>
      <c r="O91" s="1">
        <f>SUMPRODUCT((NOT(ISBLANK(O$3:O$82))*(O$3:O$82=$W$3:$W$82))+ISBLANK(O$3:O$82))</f>
        <v>0</v>
      </c>
      <c r="P91" s="1">
        <f>SUMPRODUCT((NOT(ISBLANK(P$3:P$82))*(P$3:P$82=$V$3:$V$82))+ISBLANK(P$3:P$82))</f>
        <v>0</v>
      </c>
      <c r="Q91" s="1">
        <f>SUMPRODUCT((NOT(ISBLANK(Q$3:Q$82))*(Q$3:Q$82=$W$3:$W$82))+ISBLANK(Q$3:Q$82))</f>
        <v>0</v>
      </c>
      <c r="R91" s="1"/>
      <c r="S91" s="1"/>
      <c r="T91" s="1"/>
      <c r="U91" s="1"/>
      <c r="V91" s="1"/>
      <c r="W9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/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2"/>
      <c r="L1" s="1" t="s">
        <v>55</v>
      </c>
      <c r="M1" s="2"/>
      <c r="N1" s="1" t="s">
        <v>56</v>
      </c>
      <c r="O1" s="2"/>
      <c r="P1" s="1" t="s">
        <v>57</v>
      </c>
      <c r="Q1" s="2"/>
      <c r="R1" s="1" t="s">
        <v>58</v>
      </c>
      <c r="S1" s="1"/>
      <c r="T1" s="1" t="s">
        <v>59</v>
      </c>
      <c r="U1" s="1"/>
      <c r="V1" s="1" t="s">
        <v>60</v>
      </c>
      <c r="W1" s="1"/>
    </row>
    <row r="2" spans="1:23">
      <c r="A2" s="1"/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2" t="s">
        <v>50</v>
      </c>
      <c r="L2" s="1" t="s">
        <v>49</v>
      </c>
      <c r="M2" s="2" t="s">
        <v>50</v>
      </c>
      <c r="N2" s="1" t="s">
        <v>49</v>
      </c>
      <c r="O2" s="2" t="s">
        <v>50</v>
      </c>
      <c r="P2" s="1" t="s">
        <v>49</v>
      </c>
      <c r="Q2" s="2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</row>
    <row r="3" spans="1:23">
      <c r="A3" s="1" t="s">
        <v>62</v>
      </c>
      <c r="B3" s="3">
        <f>AVERAGE(Instances!B3:Instances!B42)</f>
        <v>0</v>
      </c>
      <c r="C3" s="3">
        <f>SUM(Instances!C3:Instances!C42)</f>
        <v>0</v>
      </c>
      <c r="D3" s="1"/>
      <c r="E3" s="2"/>
      <c r="F3" s="1"/>
      <c r="G3" s="2"/>
      <c r="H3" s="5">
        <f>AVERAGE(Instances!H3:Instances!H42)</f>
        <v>0</v>
      </c>
      <c r="I3" s="5">
        <f>SUM(Instances!I3:Instances!I42)</f>
        <v>0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62</v>
      </c>
      <c r="B4" s="1"/>
      <c r="C4" s="1"/>
      <c r="D4" s="3">
        <f>AVERAGE(Instances!D43:Instances!D82)</f>
        <v>0</v>
      </c>
      <c r="E4" s="1">
        <f>SUM(Instances!E43:Instances!E82)</f>
        <v>0</v>
      </c>
      <c r="F4" s="1">
        <f>AVERAGE(Instances!F43:Instances!F82)</f>
        <v>0</v>
      </c>
      <c r="G4" s="3">
        <f>SUM(Instances!G43:Instances!G82)</f>
        <v>0</v>
      </c>
      <c r="H4" s="1"/>
      <c r="I4" s="1"/>
      <c r="J4" s="5">
        <f>AVERAGE(Instances!J43:Instances!J82)</f>
        <v>0</v>
      </c>
      <c r="K4" s="5">
        <f>SUM(Instances!K43:Instances!K82)</f>
        <v>0</v>
      </c>
      <c r="L4" s="1">
        <f>AVERAGE(Instances!L43:Instances!L82)</f>
        <v>0</v>
      </c>
      <c r="M4" s="1">
        <f>SUM(Instances!M43:Instances!M82)</f>
        <v>0</v>
      </c>
      <c r="N4" s="1">
        <f>AVERAGE(Instances!N43:Instances!N82)</f>
        <v>0</v>
      </c>
      <c r="O4" s="1">
        <f>SUM(Instances!O43:Instances!O82)</f>
        <v>0</v>
      </c>
      <c r="P4" s="1">
        <f>AVERAGE(Instances!P43:Instances!P82)</f>
        <v>0</v>
      </c>
      <c r="Q4" s="1">
        <f>SUM(Instances!Q43:Instances!Q82)</f>
        <v>0</v>
      </c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40</v>
      </c>
      <c r="B6" s="3">
        <f>SUM(B$3:B$4)</f>
        <v>0</v>
      </c>
      <c r="C6" s="3">
        <f>SUM(C$3:C$4)</f>
        <v>0</v>
      </c>
      <c r="D6" s="1">
        <f>SUM(D$3:D$4)</f>
        <v>0</v>
      </c>
      <c r="E6" s="1">
        <f>SUM(E$3:E$4)</f>
        <v>0</v>
      </c>
      <c r="F6" s="1">
        <f>SUM(F$3:F$4)</f>
        <v>0</v>
      </c>
      <c r="G6" s="3">
        <f>SUM(G$3:G$4)</f>
        <v>0</v>
      </c>
      <c r="H6" s="5">
        <f>SUM(H$3:H$4)</f>
        <v>0</v>
      </c>
      <c r="I6" s="5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</row>
    <row r="7" spans="1:23">
      <c r="A7" s="1" t="s">
        <v>41</v>
      </c>
      <c r="B7" s="3">
        <f>AVERAGE(B$3:B$4)</f>
        <v>0</v>
      </c>
      <c r="C7" s="3">
        <f>AVERAGE(C$3:C$4)</f>
        <v>0</v>
      </c>
      <c r="D7" s="1">
        <f>AVERAGE(D$3:D$4)</f>
        <v>0</v>
      </c>
      <c r="E7" s="1">
        <f>AVERAGE(E$3:E$4)</f>
        <v>0</v>
      </c>
      <c r="F7" s="1">
        <f>AVERAGE(F$3:F$4)</f>
        <v>0</v>
      </c>
      <c r="G7" s="3">
        <f>AVERAGE(G$3:G$4)</f>
        <v>0</v>
      </c>
      <c r="H7" s="5">
        <f>AVERAGE(H$3:H$4)</f>
        <v>0</v>
      </c>
      <c r="I7" s="5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</row>
    <row r="8" spans="1:23">
      <c r="A8" s="1" t="s">
        <v>42</v>
      </c>
      <c r="B8" s="1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</row>
    <row r="9" spans="1:23">
      <c r="A9" s="1" t="s">
        <v>43</v>
      </c>
      <c r="B9" s="3">
        <f>SUMPRODUCT(--(B$3:B$4-$R$3:$R$4)^2)^0.5</f>
        <v>0</v>
      </c>
      <c r="C9" s="3">
        <f>SUMPRODUCT(--(C$3:C$4-$S$3:$S$4)^2)^0.5</f>
        <v>0</v>
      </c>
      <c r="D9" s="1">
        <f>SUMPRODUCT(--(D$3:D$4-$R$3:$R$4)^2)^0.5</f>
        <v>0</v>
      </c>
      <c r="E9" s="1">
        <f>SUMPRODUCT(--(E$3:E$4-$S$3:$S$4)^2)^0.5</f>
        <v>0</v>
      </c>
      <c r="F9" s="1">
        <f>SUMPRODUCT(--(F$3:F$4-$R$3:$R$4)^2)^0.5</f>
        <v>0</v>
      </c>
      <c r="G9" s="1">
        <f>SUMPRODUCT(--(G$3:G$4-$S$3:$S$4)^2)^0.5</f>
        <v>0</v>
      </c>
      <c r="H9" s="5">
        <f>SUMPRODUCT(--(H$3:H$4-$R$3:$R$4)^2)^0.5</f>
        <v>0</v>
      </c>
      <c r="I9" s="5">
        <f>SUMPRODUCT(--(I$3:I$4-$S$3:$S$4)^2)^0.5</f>
        <v>0</v>
      </c>
      <c r="J9" s="5">
        <f>SUMPRODUCT(--(J$3:J$4-$R$3:$R$4)^2)^0.5</f>
        <v>0</v>
      </c>
      <c r="K9" s="5">
        <f>SUMPRODUCT(--(K$3:K$4-$S$3:$S$4)^2)^0.5</f>
        <v>0</v>
      </c>
      <c r="L9" s="1">
        <f>SUMPRODUCT(--(L$3:L$4-$R$3:$R$4)^2)^0.5</f>
        <v>0</v>
      </c>
      <c r="M9" s="1">
        <f>SUMPRODUCT(--(M$3:M$4-$S$3:$S$4)^2)^0.5</f>
        <v>0</v>
      </c>
      <c r="N9" s="1">
        <f>SUMPRODUCT(--(N$3:N$4-$R$3:$R$4)^2)^0.5</f>
        <v>0</v>
      </c>
      <c r="O9" s="1">
        <f>SUMPRODUCT(--(O$3:O$4-$S$3:$S$4)^2)^0.5</f>
        <v>0</v>
      </c>
      <c r="P9" s="1">
        <f>SUMPRODUCT(--(P$3:P$4-$R$3:$R$4)^2)^0.5</f>
        <v>0</v>
      </c>
      <c r="Q9" s="1">
        <f>SUMPRODUCT(--(Q$3:Q$4-$S$3:$S$4)^2)^0.5</f>
        <v>0</v>
      </c>
      <c r="R9" s="1"/>
      <c r="S9" s="1"/>
      <c r="T9" s="1"/>
      <c r="U9" s="1"/>
      <c r="V9" s="1"/>
      <c r="W9" s="1"/>
    </row>
    <row r="10" spans="1:23">
      <c r="A10" s="1" t="s">
        <v>44</v>
      </c>
      <c r="B10" s="1">
        <f>SUMPRODUCT(NOT(ISBLANK(B$3:B$4))*(B$3:B$4=$R$3:$R$4))</f>
        <v>0</v>
      </c>
      <c r="C10" s="1">
        <f>SUMPRODUCT(NOT(ISBLANK(C$3:C$4))*(C$3:C$4=$S$3:$S$4))</f>
        <v>0</v>
      </c>
      <c r="D10" s="1">
        <f>SUMPRODUCT(NOT(ISBLANK(D$3:D$4))*(D$3:D$4=$R$3:$R$4))</f>
        <v>0</v>
      </c>
      <c r="E10" s="1">
        <f>SUMPRODUCT(NOT(ISBLANK(E$3:E$4))*(E$3:E$4=$S$3:$S$4))</f>
        <v>0</v>
      </c>
      <c r="F10" s="1">
        <f>SUMPRODUCT(NOT(ISBLANK(F$3:F$4))*(F$3:F$4=$R$3:$R$4))</f>
        <v>0</v>
      </c>
      <c r="G10" s="1">
        <f>SUMPRODUCT(NOT(ISBLANK(G$3:G$4))*(G$3:G$4=$S$3:$S$4))</f>
        <v>0</v>
      </c>
      <c r="H10" s="1">
        <f>SUMPRODUCT(NOT(ISBLANK(H$3:H$4))*(H$3:H$4=$R$3:$R$4))</f>
        <v>0</v>
      </c>
      <c r="I10" s="5">
        <f>SUMPRODUCT(NOT(ISBLANK(I$3:I$4))*(I$3:I$4=$S$3:$S$4))</f>
        <v>0</v>
      </c>
      <c r="J10" s="1">
        <f>SUMPRODUCT(NOT(ISBLANK(J$3:J$4))*(J$3:J$4=$R$3:$R$4))</f>
        <v>0</v>
      </c>
      <c r="K10" s="5">
        <f>SUMPRODUCT(NOT(ISBLANK(K$3:K$4))*(K$3:K$4=$S$3:$S$4))</f>
        <v>0</v>
      </c>
      <c r="L10" s="1">
        <f>SUMPRODUCT(NOT(ISBLANK(L$3:L$4))*(L$3:L$4=$R$3:$R$4))</f>
        <v>0</v>
      </c>
      <c r="M10" s="1">
        <f>SUMPRODUCT(NOT(ISBLANK(M$3:M$4))*(M$3:M$4=$S$3:$S$4))</f>
        <v>0</v>
      </c>
      <c r="N10" s="1">
        <f>SUMPRODUCT(NOT(ISBLANK(N$3:N$4))*(N$3:N$4=$R$3:$R$4))</f>
        <v>0</v>
      </c>
      <c r="O10" s="1">
        <f>SUMPRODUCT(NOT(ISBLANK(O$3:O$4))*(O$3:O$4=$S$3:$S$4))</f>
        <v>0</v>
      </c>
      <c r="P10" s="1">
        <f>SUMPRODUCT(NOT(ISBLANK(P$3:P$4))*(P$3:P$4=$R$3:$R$4))</f>
        <v>0</v>
      </c>
      <c r="Q10" s="1">
        <f>SUMPRODUCT(NOT(ISBLANK(Q$3:Q$4))*(Q$3:Q$4=$S$3:$S$4))</f>
        <v>0</v>
      </c>
      <c r="R10" s="1"/>
      <c r="S10" s="1"/>
      <c r="T10" s="1"/>
      <c r="U10" s="1"/>
      <c r="V10" s="1"/>
      <c r="W10" s="1"/>
    </row>
    <row r="11" spans="1:23">
      <c r="A11" s="1" t="s">
        <v>45</v>
      </c>
      <c r="B11" s="1">
        <f>SUMPRODUCT(NOT(ISBLANK(B$3:B$4))*(B$3:B$4&lt;$T$3:$T$4))</f>
        <v>0</v>
      </c>
      <c r="C11" s="1">
        <f>SUMPRODUCT(NOT(ISBLANK(C$3:C$4))*(C$3:C$4&lt;$U$3:$U$4))</f>
        <v>0</v>
      </c>
      <c r="D11" s="1">
        <f>SUMPRODUCT(NOT(ISBLANK(D$3:D$4))*(D$3:D$4&lt;$T$3:$T$4))</f>
        <v>0</v>
      </c>
      <c r="E11" s="1">
        <f>SUMPRODUCT(NOT(ISBLANK(E$3:E$4))*(E$3:E$4&lt;$U$3:$U$4))</f>
        <v>0</v>
      </c>
      <c r="F11" s="1">
        <f>SUMPRODUCT(NOT(ISBLANK(F$3:F$4))*(F$3:F$4&lt;$T$3:$T$4))</f>
        <v>0</v>
      </c>
      <c r="G11" s="1">
        <f>SUMPRODUCT(NOT(ISBLANK(G$3:G$4))*(G$3:G$4&lt;$U$3:$U$4))</f>
        <v>0</v>
      </c>
      <c r="H11" s="1">
        <f>SUMPRODUCT(NOT(ISBLANK(H$3:H$4))*(H$3:H$4&lt;$T$3:$T$4))</f>
        <v>0</v>
      </c>
      <c r="I11" s="5">
        <f>SUMPRODUCT(NOT(ISBLANK(I$3:I$4))*(I$3:I$4&lt;$U$3:$U$4))</f>
        <v>0</v>
      </c>
      <c r="J11" s="1">
        <f>SUMPRODUCT(NOT(ISBLANK(J$3:J$4))*(J$3:J$4&lt;$T$3:$T$4))</f>
        <v>0</v>
      </c>
      <c r="K11" s="5">
        <f>SUMPRODUCT(NOT(ISBLANK(K$3:K$4))*(K$3:K$4&lt;$U$3:$U$4))</f>
        <v>0</v>
      </c>
      <c r="L11" s="1">
        <f>SUMPRODUCT(NOT(ISBLANK(L$3:L$4))*(L$3:L$4&lt;$T$3:$T$4))</f>
        <v>0</v>
      </c>
      <c r="M11" s="5">
        <f>SUMPRODUCT(NOT(ISBLANK(M$3:M$4))*(M$3:M$4&lt;$U$3:$U$4))</f>
        <v>0</v>
      </c>
      <c r="N11" s="1">
        <f>SUMPRODUCT(NOT(ISBLANK(N$3:N$4))*(N$3:N$4&lt;$T$3:$T$4))</f>
        <v>0</v>
      </c>
      <c r="O11" s="1">
        <f>SUMPRODUCT(NOT(ISBLANK(O$3:O$4))*(O$3:O$4&lt;$U$3:$U$4))</f>
        <v>0</v>
      </c>
      <c r="P11" s="1">
        <f>SUMPRODUCT(NOT(ISBLANK(P$3:P$4))*(P$3:P$4&lt;$T$3:$T$4))</f>
        <v>0</v>
      </c>
      <c r="Q11" s="1">
        <f>SUMPRODUCT(NOT(ISBLANK(Q$3:Q$4))*(Q$3:Q$4&lt;$U$3:$U$4))</f>
        <v>0</v>
      </c>
      <c r="R11" s="1"/>
      <c r="S11" s="1"/>
      <c r="T11" s="1"/>
      <c r="U11" s="1"/>
      <c r="V11" s="1"/>
      <c r="W11" s="1"/>
    </row>
    <row r="12" spans="1:23">
      <c r="A12" s="1" t="s">
        <v>46</v>
      </c>
      <c r="B12" s="1">
        <f>SUMPRODUCT((NOT(ISBLANK(B$3:B$4))*(B$3:B$4&gt;$T$3:$T$4))+ISBLANK(B$3:B$4))</f>
        <v>0</v>
      </c>
      <c r="C12" s="3">
        <f>SUMPRODUCT((NOT(ISBLANK(C$3:C$4))*(C$3:C$4&gt;$U$3:$U$4))+ISBLANK(C$3:C$4))</f>
        <v>0</v>
      </c>
      <c r="D12" s="1">
        <f>SUMPRODUCT((NOT(ISBLANK(D$3:D$4))*(D$3:D$4&gt;$T$3:$T$4))+ISBLANK(D$3:D$4))</f>
        <v>0</v>
      </c>
      <c r="E12" s="3">
        <f>SUMPRODUCT((NOT(ISBLANK(E$3:E$4))*(E$3:E$4&gt;$U$3:$U$4))+ISBLANK(E$3:E$4))</f>
        <v>0</v>
      </c>
      <c r="F12" s="1">
        <f>SUMPRODUCT((NOT(ISBLANK(F$3:F$4))*(F$3:F$4&gt;$T$3:$T$4))+ISBLANK(F$3:F$4))</f>
        <v>0</v>
      </c>
      <c r="G12" s="3">
        <f>SUMPRODUCT((NOT(ISBLANK(G$3:G$4))*(G$3:G$4&gt;$U$3:$U$4))+ISBLANK(G$3:G$4))</f>
        <v>0</v>
      </c>
      <c r="H12" s="1">
        <f>SUMPRODUCT((NOT(ISBLANK(H$3:H$4))*(H$3:H$4&gt;$T$3:$T$4))+ISBLANK(H$3:H$4))</f>
        <v>0</v>
      </c>
      <c r="I12" s="1">
        <f>SUMPRODUCT((NOT(ISBLANK(I$3:I$4))*(I$3:I$4&gt;$U$3:$U$4))+ISBLANK(I$3:I$4))</f>
        <v>0</v>
      </c>
      <c r="J12" s="1">
        <f>SUMPRODUCT((NOT(ISBLANK(J$3:J$4))*(J$3:J$4&gt;$T$3:$T$4))+ISBLANK(J$3:J$4))</f>
        <v>0</v>
      </c>
      <c r="K12" s="1">
        <f>SUMPRODUCT((NOT(ISBLANK(K$3:K$4))*(K$3:K$4&gt;$U$3:$U$4))+ISBLANK(K$3:K$4))</f>
        <v>0</v>
      </c>
      <c r="L12" s="1">
        <f>SUMPRODUCT((NOT(ISBLANK(L$3:L$4))*(L$3:L$4&gt;$T$3:$T$4))+ISBLANK(L$3:L$4))</f>
        <v>0</v>
      </c>
      <c r="M12" s="1">
        <f>SUMPRODUCT((NOT(ISBLANK(M$3:M$4))*(M$3:M$4&gt;$U$3:$U$4))+ISBLANK(M$3:M$4))</f>
        <v>0</v>
      </c>
      <c r="N12" s="1">
        <f>SUMPRODUCT((NOT(ISBLANK(N$3:N$4))*(N$3:N$4&gt;$T$3:$T$4))+ISBLANK(N$3:N$4))</f>
        <v>0</v>
      </c>
      <c r="O12" s="1">
        <f>SUMPRODUCT((NOT(ISBLANK(O$3:O$4))*(O$3:O$4&gt;$U$3:$U$4))+ISBLANK(O$3:O$4))</f>
        <v>0</v>
      </c>
      <c r="P12" s="1">
        <f>SUMPRODUCT((NOT(ISBLANK(P$3:P$4))*(P$3:P$4&gt;$T$3:$T$4))+ISBLANK(P$3:P$4))</f>
        <v>0</v>
      </c>
      <c r="Q12" s="1">
        <f>SUMPRODUCT((NOT(ISBLANK(Q$3:Q$4))*(Q$3:Q$4&gt;$U$3:$U$4))+ISBLANK(Q$3:Q$4))</f>
        <v>0</v>
      </c>
      <c r="R12" s="1"/>
      <c r="S12" s="1"/>
      <c r="T12" s="1"/>
      <c r="U12" s="1"/>
      <c r="V12" s="1"/>
      <c r="W12" s="1"/>
    </row>
    <row r="13" spans="1:23">
      <c r="A13" s="1" t="s">
        <v>47</v>
      </c>
      <c r="B13" s="1">
        <f>SUMPRODUCT((NOT(ISBLANK(B$3:B$4))*(B$3:B$4=$V$3:$V$4))+ISBLANK(B$3:B$4))</f>
        <v>0</v>
      </c>
      <c r="C13" s="3">
        <f>SUMPRODUCT((NOT(ISBLANK(C$3:C$4))*(C$3:C$4=$W$3:$W$4))+ISBLANK(C$3:C$4))</f>
        <v>0</v>
      </c>
      <c r="D13" s="1">
        <f>SUMPRODUCT((NOT(ISBLANK(D$3:D$4))*(D$3:D$4=$V$3:$V$4))+ISBLANK(D$3:D$4))</f>
        <v>0</v>
      </c>
      <c r="E13" s="1">
        <f>SUMPRODUCT((NOT(ISBLANK(E$3:E$4))*(E$3:E$4=$W$3:$W$4))+ISBLANK(E$3:E$4))</f>
        <v>0</v>
      </c>
      <c r="F13" s="1">
        <f>SUMPRODUCT((NOT(ISBLANK(F$3:F$4))*(F$3:F$4=$V$3:$V$4))+ISBLANK(F$3:F$4))</f>
        <v>0</v>
      </c>
      <c r="G13" s="3">
        <f>SUMPRODUCT((NOT(ISBLANK(G$3:G$4))*(G$3:G$4=$W$3:$W$4))+ISBLANK(G$3:G$4))</f>
        <v>0</v>
      </c>
      <c r="H13" s="1">
        <f>SUMPRODUCT((NOT(ISBLANK(H$3:H$4))*(H$3:H$4=$V$3:$V$4))+ISBLANK(H$3:H$4))</f>
        <v>0</v>
      </c>
      <c r="I13" s="1">
        <f>SUMPRODUCT((NOT(ISBLANK(I$3:I$4))*(I$3:I$4=$W$3:$W$4))+ISBLANK(I$3:I$4))</f>
        <v>0</v>
      </c>
      <c r="J13" s="1">
        <f>SUMPRODUCT((NOT(ISBLANK(J$3:J$4))*(J$3:J$4=$V$3:$V$4))+ISBLANK(J$3:J$4))</f>
        <v>0</v>
      </c>
      <c r="K13" s="1">
        <f>SUMPRODUCT((NOT(ISBLANK(K$3:K$4))*(K$3:K$4=$W$3:$W$4))+ISBLANK(K$3:K$4))</f>
        <v>0</v>
      </c>
      <c r="L13" s="1">
        <f>SUMPRODUCT((NOT(ISBLANK(L$3:L$4))*(L$3:L$4=$V$3:$V$4))+ISBLANK(L$3:L$4))</f>
        <v>0</v>
      </c>
      <c r="M13" s="1">
        <f>SUMPRODUCT((NOT(ISBLANK(M$3:M$4))*(M$3:M$4=$W$3:$W$4))+ISBLANK(M$3:M$4))</f>
        <v>0</v>
      </c>
      <c r="N13" s="1">
        <f>SUMPRODUCT((NOT(ISBLANK(N$3:N$4))*(N$3:N$4=$V$3:$V$4))+ISBLANK(N$3:N$4))</f>
        <v>0</v>
      </c>
      <c r="O13" s="1">
        <f>SUMPRODUCT((NOT(ISBLANK(O$3:O$4))*(O$3:O$4=$W$3:$W$4))+ISBLANK(O$3:O$4))</f>
        <v>0</v>
      </c>
      <c r="P13" s="1">
        <f>SUMPRODUCT((NOT(ISBLANK(P$3:P$4))*(P$3:P$4=$V$3:$V$4))+ISBLANK(P$3:P$4))</f>
        <v>0</v>
      </c>
      <c r="Q13" s="1">
        <f>SUMPRODUCT((NOT(ISBLANK(Q$3:Q$4))*(Q$3:Q$4=$W$3:$W$4))+ISBLANK(Q$3:Q$4))</f>
        <v>0</v>
      </c>
      <c r="R13" s="1"/>
      <c r="S13" s="1"/>
      <c r="T13" s="1"/>
      <c r="U13" s="1"/>
      <c r="V13" s="1"/>
      <c r="W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2026-04-13T07:03:00Z</dcterms:created>
  <dcterms:modified xsi:type="dcterms:W3CDTF">2026-04-13T07:03:00Z</dcterms:modified>
</cp:coreProperties>
</file>