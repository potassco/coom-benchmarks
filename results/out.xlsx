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<sst xmlns="http://schemas.openxmlformats.org/spreadsheetml/2006/main" count="249" uniqueCount="98">
  <si>
    <t>./citybike-max100_user-input-n100</t>
  </si>
  <si>
    <t>./citybike-max100_user-input-n25</t>
  </si>
  <si>
    <t>./citybike-max100_user-input-n33</t>
  </si>
  <si>
    <t>./citybike-max100_user-input-n50</t>
  </si>
  <si>
    <t>./citybike-max150_user-input-n150</t>
  </si>
  <si>
    <t>./citybike-max150_user-input-n37</t>
  </si>
  <si>
    <t>./citybike-max150_user-input-n50</t>
  </si>
  <si>
    <t>./citybike-max150_user-input-n75</t>
  </si>
  <si>
    <t>./citybike-max200_user-input-n100</t>
  </si>
  <si>
    <t>./citybike-max200_user-input-n200</t>
  </si>
  <si>
    <t>./citybike-max200_user-input-n50</t>
  </si>
  <si>
    <t>./citybike-max200_user-input-n66</t>
  </si>
  <si>
    <t>./citybike-max50_user-input-n12</t>
  </si>
  <si>
    <t>./citybike-max50_user-input-n16</t>
  </si>
  <si>
    <t>./citybike-max50_user-input-n25</t>
  </si>
  <si>
    <t>./citybike-max50_user-input-n50</t>
  </si>
  <si>
    <t>./spacecollider-A</t>
  </si>
  <si>
    <t>./spacecollider-B</t>
  </si>
  <si>
    <t>./spacecollider-C</t>
  </si>
  <si>
    <t>./travelbike-max10_user-input-p1069-v545</t>
  </si>
  <si>
    <t>./travelbike-max10_user-input-p1272-v681</t>
  </si>
  <si>
    <t>./travelbike-max10_user-input-p1662-v1018</t>
  </si>
  <si>
    <t>./travelbike-max10_user-input-p1779-v1505</t>
  </si>
  <si>
    <t>./travelbike-max10_user-input-p1791-v994</t>
  </si>
  <si>
    <t>./travelbike-max10_user-input-p1980-v1180</t>
  </si>
  <si>
    <t>./travelbike-max10_user-input-p4-v1139</t>
  </si>
  <si>
    <t>./travelbike-max10_user-input-p63-v742</t>
  </si>
  <si>
    <t>./travelbike-max10_user-input-p782-v1215</t>
  </si>
  <si>
    <t>./travelbike-max10_user-input-p813-v627</t>
  </si>
  <si>
    <t>./travelbike-max15_user-input-p133-v741</t>
  </si>
  <si>
    <t>./travelbike-max15_user-input-p1699-v1847</t>
  </si>
  <si>
    <t>./travelbike-max15_user-input-p1751-v208</t>
  </si>
  <si>
    <t>./travelbike-max15_user-input-p2165-v1478</t>
  </si>
  <si>
    <t>./travelbike-max15_user-input-p23-v597</t>
  </si>
  <si>
    <t>./travelbike-max15_user-input-p312-v1804</t>
  </si>
  <si>
    <t>./travelbike-max15_user-input-p451-v2873</t>
  </si>
  <si>
    <t>./travelbike-max15_user-input-p457-v1276</t>
  </si>
  <si>
    <t>./travelbike-max15_user-input-p613-v326</t>
  </si>
  <si>
    <t>./travelbike-max15_user-input-p748-v2936</t>
  </si>
  <si>
    <t>./travelbike-max20_user-input-p1316-v1120</t>
  </si>
  <si>
    <t>./travelbike-max20_user-input-p1333-v2886</t>
  </si>
  <si>
    <t>./travelbike-max20_user-input-p168-v1819</t>
  </si>
  <si>
    <t>./travelbike-max20_user-input-p1929-v1068</t>
  </si>
  <si>
    <t>./travelbike-max20_user-input-p2001-v1014</t>
  </si>
  <si>
    <t>./travelbike-max20_user-input-p2186-v3042</t>
  </si>
  <si>
    <t>./travelbike-max20_user-input-p3247-v3398</t>
  </si>
  <si>
    <t>./travelbike-max20_user-input-p3292-v820</t>
  </si>
  <si>
    <t>./travelbike-max20_user-input-p373-v1986</t>
  </si>
  <si>
    <t>./travelbike-max20_user-input-p825-v851</t>
  </si>
  <si>
    <t>./travelbike-max5_user-input-p119-v364</t>
  </si>
  <si>
    <t>./travelbike-max5_user-input-p259-v42</t>
  </si>
  <si>
    <t>./travelbike-max5_user-input-p318-v444</t>
  </si>
  <si>
    <t>./travelbike-max5_user-input-p346-v386</t>
  </si>
  <si>
    <t>./travelbike-max5_user-input-p429-v154</t>
  </si>
  <si>
    <t>./travelbike-max5_user-input-p440-v624</t>
  </si>
  <si>
    <t>./travelbike-max5_user-input-p859-v136</t>
  </si>
  <si>
    <t>./travelbike-max5_user-input-p882-v889</t>
  </si>
  <si>
    <t>./travelbike-max5_user-input-p893-v611</t>
  </si>
  <si>
    <t>./travelbike-max5_user-input-p953-v658</t>
  </si>
  <si>
    <t>./box-s100_user-input-200</t>
  </si>
  <si>
    <t>./box-s100_user-input-400</t>
  </si>
  <si>
    <t>./box-s100_user-input-600</t>
  </si>
  <si>
    <t>./box-s100_user-input-800</t>
  </si>
  <si>
    <t>./box-s125_user-input-1171</t>
  </si>
  <si>
    <t>./box-s125_user-input-1562</t>
  </si>
  <si>
    <t>./box-s125_user-input-390</t>
  </si>
  <si>
    <t>./box-s125_user-input-781</t>
  </si>
  <si>
    <t>./box-s150_user-input-1350</t>
  </si>
  <si>
    <t>./box-s150_user-input-2025</t>
  </si>
  <si>
    <t>./box-s150_user-input-2700</t>
  </si>
  <si>
    <t>./box-s150_user-input-675</t>
  </si>
  <si>
    <t>./box-s50_user-input-100</t>
  </si>
  <si>
    <t>./box-s50_user-input-25</t>
  </si>
  <si>
    <t>./box-s50_user-input-50</t>
  </si>
  <si>
    <t>./box-s50_user-input-75</t>
  </si>
  <si>
    <t>./box-s75_user-input-168</t>
  </si>
  <si>
    <t>./box-s75_user-input-252</t>
  </si>
  <si>
    <t>./box-s75_user-input-336</t>
  </si>
  <si>
    <t>./box-s75_user-input-84</t>
  </si>
  <si>
    <t>SUM</t>
  </si>
  <si>
    <t>AVG</t>
  </si>
  <si>
    <t>DEV</t>
  </si>
  <si>
    <t>DST</t>
  </si>
  <si>
    <t>BEST</t>
  </si>
  <si>
    <t>BETTER</t>
  </si>
  <si>
    <t>WORSE</t>
  </si>
  <si>
    <t>WORST</t>
  </si>
  <si>
    <t>coomsuite-1.0.0/clingo-base</t>
  </si>
  <si>
    <t>time</t>
  </si>
  <si>
    <t>timeout</t>
  </si>
  <si>
    <t>coomsuite-1.0.0/clingo-brave</t>
  </si>
  <si>
    <t>coomsuite-1.0.0/clingo-cautious</t>
  </si>
  <si>
    <t>coomsuite-1.0.0/flingo-base</t>
  </si>
  <si>
    <t>min</t>
  </si>
  <si>
    <t>median</t>
  </si>
  <si>
    <t>max</t>
  </si>
  <si>
    <t>Merge criteria:</t>
  </si>
  <si>
    <t>.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</si>
</sst>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/>
      <c r="B1" s="1" t="s">
        <v>87</v>
      </c>
      <c r="C1" s="2"/>
      <c r="D1" s="1" t="s">
        <v>90</v>
      </c>
      <c r="E1" s="2"/>
      <c r="F1" s="1" t="s">
        <v>91</v>
      </c>
      <c r="G1" s="2"/>
      <c r="H1" s="1" t="s">
        <v>92</v>
      </c>
      <c r="I1" s="2"/>
      <c r="J1" s="1" t="s">
        <v>93</v>
      </c>
      <c r="K1" s="1"/>
      <c r="L1" s="1" t="s">
        <v>94</v>
      </c>
      <c r="M1" s="1"/>
      <c r="N1" s="1" t="s">
        <v>95</v>
      </c>
      <c r="O1" s="1"/>
    </row>
    <row r="2" spans="1:15">
      <c r="A2" s="1"/>
      <c r="B2" s="1" t="s">
        <v>88</v>
      </c>
      <c r="C2" s="2" t="s">
        <v>89</v>
      </c>
      <c r="D2" s="1" t="s">
        <v>88</v>
      </c>
      <c r="E2" s="2" t="s">
        <v>89</v>
      </c>
      <c r="F2" s="1" t="s">
        <v>88</v>
      </c>
      <c r="G2" s="2" t="s">
        <v>89</v>
      </c>
      <c r="H2" s="1" t="s">
        <v>88</v>
      </c>
      <c r="I2" s="2" t="s">
        <v>89</v>
      </c>
      <c r="J2" s="1" t="s">
        <v>88</v>
      </c>
      <c r="K2" s="1" t="s">
        <v>89</v>
      </c>
      <c r="L2" s="1" t="s">
        <v>88</v>
      </c>
      <c r="M2" s="1" t="s">
        <v>89</v>
      </c>
      <c r="N2" s="1" t="s">
        <v>88</v>
      </c>
      <c r="O2" s="1" t="s">
        <v>89</v>
      </c>
    </row>
    <row r="3" spans="1:15">
      <c r="A3" s="1" t="s">
        <v>0</v>
      </c>
      <c r="B3" s="3">
        <v>7.15</v>
      </c>
      <c r="C3" s="2">
        <v>0</v>
      </c>
      <c r="D3" s="1">
        <v>11.78</v>
      </c>
      <c r="E3" s="2">
        <v>0</v>
      </c>
      <c r="F3" s="1">
        <v>8.460000000000001</v>
      </c>
      <c r="G3" s="2">
        <v>0</v>
      </c>
      <c r="H3" s="4">
        <v>35.96</v>
      </c>
      <c r="I3" s="2">
        <v>0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 t="s">
        <v>1</v>
      </c>
      <c r="B4" s="3">
        <v>8.039999999999999</v>
      </c>
      <c r="C4" s="2">
        <v>0</v>
      </c>
      <c r="D4" s="1">
        <v>11.59</v>
      </c>
      <c r="E4" s="2">
        <v>0</v>
      </c>
      <c r="F4" s="1">
        <v>8.48</v>
      </c>
      <c r="G4" s="2">
        <v>0</v>
      </c>
      <c r="H4" s="4">
        <v>35.13</v>
      </c>
      <c r="I4" s="2">
        <v>0</v>
      </c>
      <c r="J4" s="1">
        <f>MIN($B4,$D4,$F4,$H4)</f>
        <v>0</v>
      </c>
      <c r="K4" s="1">
        <f>MIN($C4,$E4,$G4,$I4)</f>
        <v>0</v>
      </c>
      <c r="L4" s="1">
        <f>MEDIAN($B4,$D4,$F4,$H4)</f>
        <v>0</v>
      </c>
      <c r="M4" s="1">
        <f>MEDIAN($C4,$E4,$G4,$I4)</f>
        <v>0</v>
      </c>
      <c r="N4" s="1">
        <f>MAX($B4,$D4,$F4,$H4)</f>
        <v>0</v>
      </c>
      <c r="O4" s="1">
        <f>MAX($C4,$E4,$G4,$I4)</f>
        <v>0</v>
      </c>
    </row>
    <row r="5" spans="1:15">
      <c r="A5" s="1" t="s">
        <v>2</v>
      </c>
      <c r="B5" s="3">
        <v>7.24</v>
      </c>
      <c r="C5" s="2">
        <v>0</v>
      </c>
      <c r="D5" s="1">
        <v>13.72</v>
      </c>
      <c r="E5" s="2">
        <v>0</v>
      </c>
      <c r="F5" s="1">
        <v>8.08</v>
      </c>
      <c r="G5" s="2">
        <v>0</v>
      </c>
      <c r="H5" s="4">
        <v>29.76</v>
      </c>
      <c r="I5" s="2">
        <v>0</v>
      </c>
      <c r="J5" s="1">
        <f>MIN($B5,$D5,$F5,$H5)</f>
        <v>0</v>
      </c>
      <c r="K5" s="1">
        <f>MIN($C5,$E5,$G5,$I5)</f>
        <v>0</v>
      </c>
      <c r="L5" s="1">
        <f>MEDIAN($B5,$D5,$F5,$H5)</f>
        <v>0</v>
      </c>
      <c r="M5" s="1">
        <f>MEDIAN($C5,$E5,$G5,$I5)</f>
        <v>0</v>
      </c>
      <c r="N5" s="1">
        <f>MAX($B5,$D5,$F5,$H5)</f>
        <v>0</v>
      </c>
      <c r="O5" s="1">
        <f>MAX($C5,$E5,$G5,$I5)</f>
        <v>0</v>
      </c>
    </row>
    <row r="6" spans="1:15">
      <c r="A6" s="1" t="s">
        <v>3</v>
      </c>
      <c r="B6" s="1">
        <v>9.380000000000001</v>
      </c>
      <c r="C6" s="2">
        <v>0</v>
      </c>
      <c r="D6" s="1">
        <v>13.23</v>
      </c>
      <c r="E6" s="2">
        <v>0</v>
      </c>
      <c r="F6" s="3">
        <v>8.43</v>
      </c>
      <c r="G6" s="2">
        <v>0</v>
      </c>
      <c r="H6" s="4">
        <v>35.53</v>
      </c>
      <c r="I6" s="2">
        <v>0</v>
      </c>
      <c r="J6" s="1">
        <f>MIN($B6,$D6,$F6,$H6)</f>
        <v>0</v>
      </c>
      <c r="K6" s="1">
        <f>MIN($C6,$E6,$G6,$I6)</f>
        <v>0</v>
      </c>
      <c r="L6" s="1">
        <f>MEDIAN($B6,$D6,$F6,$H6)</f>
        <v>0</v>
      </c>
      <c r="M6" s="1">
        <f>MEDIAN($C6,$E6,$G6,$I6)</f>
        <v>0</v>
      </c>
      <c r="N6" s="1">
        <f>MAX($B6,$D6,$F6,$H6)</f>
        <v>0</v>
      </c>
      <c r="O6" s="1">
        <f>MAX($C6,$E6,$G6,$I6)</f>
        <v>0</v>
      </c>
    </row>
    <row r="7" spans="1:15">
      <c r="A7" s="1" t="s">
        <v>4</v>
      </c>
      <c r="B7" s="3">
        <v>13.28</v>
      </c>
      <c r="C7" s="2">
        <v>0</v>
      </c>
      <c r="D7" s="1">
        <v>27.02</v>
      </c>
      <c r="E7" s="2">
        <v>0</v>
      </c>
      <c r="F7" s="1">
        <v>14.42</v>
      </c>
      <c r="G7" s="2">
        <v>0</v>
      </c>
      <c r="H7" s="4">
        <v>42.68</v>
      </c>
      <c r="I7" s="2">
        <v>0</v>
      </c>
      <c r="J7" s="1">
        <f>MIN($B7,$D7,$F7,$H7)</f>
        <v>0</v>
      </c>
      <c r="K7" s="1">
        <f>MIN($C7,$E7,$G7,$I7)</f>
        <v>0</v>
      </c>
      <c r="L7" s="1">
        <f>MEDIAN($B7,$D7,$F7,$H7)</f>
        <v>0</v>
      </c>
      <c r="M7" s="1">
        <f>MEDIAN($C7,$E7,$G7,$I7)</f>
        <v>0</v>
      </c>
      <c r="N7" s="1">
        <f>MAX($B7,$D7,$F7,$H7)</f>
        <v>0</v>
      </c>
      <c r="O7" s="1">
        <f>MAX($C7,$E7,$G7,$I7)</f>
        <v>0</v>
      </c>
    </row>
    <row r="8" spans="1:15">
      <c r="A8" s="1" t="s">
        <v>5</v>
      </c>
      <c r="B8" s="3">
        <v>12.27</v>
      </c>
      <c r="C8" s="2">
        <v>0</v>
      </c>
      <c r="D8" s="1">
        <v>36.8</v>
      </c>
      <c r="E8" s="2">
        <v>0</v>
      </c>
      <c r="F8" s="1">
        <v>13.79</v>
      </c>
      <c r="G8" s="2">
        <v>0</v>
      </c>
      <c r="H8" s="4">
        <v>40.29</v>
      </c>
      <c r="I8" s="2">
        <v>0</v>
      </c>
      <c r="J8" s="1">
        <f>MIN($B8,$D8,$F8,$H8)</f>
        <v>0</v>
      </c>
      <c r="K8" s="1">
        <f>MIN($C8,$E8,$G8,$I8)</f>
        <v>0</v>
      </c>
      <c r="L8" s="1">
        <f>MEDIAN($B8,$D8,$F8,$H8)</f>
        <v>0</v>
      </c>
      <c r="M8" s="1">
        <f>MEDIAN($C8,$E8,$G8,$I8)</f>
        <v>0</v>
      </c>
      <c r="N8" s="1">
        <f>MAX($B8,$D8,$F8,$H8)</f>
        <v>0</v>
      </c>
      <c r="O8" s="1">
        <f>MAX($C8,$E8,$G8,$I8)</f>
        <v>0</v>
      </c>
    </row>
    <row r="9" spans="1:15">
      <c r="A9" s="1" t="s">
        <v>6</v>
      </c>
      <c r="B9" s="1">
        <v>13.36</v>
      </c>
      <c r="C9" s="2">
        <v>0</v>
      </c>
      <c r="D9" s="1">
        <v>27.4</v>
      </c>
      <c r="E9" s="2">
        <v>0</v>
      </c>
      <c r="F9" s="3">
        <v>13.22</v>
      </c>
      <c r="G9" s="2">
        <v>0</v>
      </c>
      <c r="H9" s="4">
        <v>42.27</v>
      </c>
      <c r="I9" s="2">
        <v>0</v>
      </c>
      <c r="J9" s="1">
        <f>MIN($B9,$D9,$F9,$H9)</f>
        <v>0</v>
      </c>
      <c r="K9" s="1">
        <f>MIN($C9,$E9,$G9,$I9)</f>
        <v>0</v>
      </c>
      <c r="L9" s="1">
        <f>MEDIAN($B9,$D9,$F9,$H9)</f>
        <v>0</v>
      </c>
      <c r="M9" s="1">
        <f>MEDIAN($C9,$E9,$G9,$I9)</f>
        <v>0</v>
      </c>
      <c r="N9" s="1">
        <f>MAX($B9,$D9,$F9,$H9)</f>
        <v>0</v>
      </c>
      <c r="O9" s="1">
        <f>MAX($C9,$E9,$G9,$I9)</f>
        <v>0</v>
      </c>
    </row>
    <row r="10" spans="1:15">
      <c r="A10" s="1" t="s">
        <v>7</v>
      </c>
      <c r="B10" s="3">
        <v>13.41</v>
      </c>
      <c r="C10" s="2">
        <v>0</v>
      </c>
      <c r="D10" s="1">
        <v>24.91</v>
      </c>
      <c r="E10" s="2">
        <v>0</v>
      </c>
      <c r="F10" s="1">
        <v>16.04</v>
      </c>
      <c r="G10" s="2">
        <v>0</v>
      </c>
      <c r="H10" s="4">
        <v>41.48</v>
      </c>
      <c r="I10" s="2">
        <v>0</v>
      </c>
      <c r="J10" s="1">
        <f>MIN($B10,$D10,$F10,$H10)</f>
        <v>0</v>
      </c>
      <c r="K10" s="1">
        <f>MIN($C10,$E10,$G10,$I10)</f>
        <v>0</v>
      </c>
      <c r="L10" s="1">
        <f>MEDIAN($B10,$D10,$F10,$H10)</f>
        <v>0</v>
      </c>
      <c r="M10" s="1">
        <f>MEDIAN($C10,$E10,$G10,$I10)</f>
        <v>0</v>
      </c>
      <c r="N10" s="1">
        <f>MAX($B10,$D10,$F10,$H10)</f>
        <v>0</v>
      </c>
      <c r="O10" s="1">
        <f>MAX($C10,$E10,$G10,$I10)</f>
        <v>0</v>
      </c>
    </row>
    <row r="11" spans="1:15">
      <c r="A11" s="1" t="s">
        <v>8</v>
      </c>
      <c r="B11" s="3">
        <v>19.14</v>
      </c>
      <c r="C11" s="2">
        <v>0</v>
      </c>
      <c r="D11" s="1">
        <v>48.56</v>
      </c>
      <c r="E11" s="2">
        <v>0</v>
      </c>
      <c r="F11" s="1">
        <v>21.45</v>
      </c>
      <c r="G11" s="2">
        <v>0</v>
      </c>
      <c r="H11" s="4">
        <v>59.5</v>
      </c>
      <c r="I11" s="2">
        <v>0</v>
      </c>
      <c r="J11" s="1">
        <f>MIN($B11,$D11,$F11,$H11)</f>
        <v>0</v>
      </c>
      <c r="K11" s="1">
        <f>MIN($C11,$E11,$G11,$I11)</f>
        <v>0</v>
      </c>
      <c r="L11" s="1">
        <f>MEDIAN($B11,$D11,$F11,$H11)</f>
        <v>0</v>
      </c>
      <c r="M11" s="1">
        <f>MEDIAN($C11,$E11,$G11,$I11)</f>
        <v>0</v>
      </c>
      <c r="N11" s="1">
        <f>MAX($B11,$D11,$F11,$H11)</f>
        <v>0</v>
      </c>
      <c r="O11" s="1">
        <f>MAX($C11,$E11,$G11,$I11)</f>
        <v>0</v>
      </c>
    </row>
    <row r="12" spans="1:15">
      <c r="A12" s="1" t="s">
        <v>9</v>
      </c>
      <c r="B12" s="1">
        <v>19.43</v>
      </c>
      <c r="C12" s="2">
        <v>0</v>
      </c>
      <c r="D12" s="1">
        <v>41.43</v>
      </c>
      <c r="E12" s="2">
        <v>0</v>
      </c>
      <c r="F12" s="3">
        <v>17.78</v>
      </c>
      <c r="G12" s="2">
        <v>0</v>
      </c>
      <c r="H12" s="4">
        <v>77.91</v>
      </c>
      <c r="I12" s="2">
        <v>0</v>
      </c>
      <c r="J12" s="1">
        <f>MIN($B12,$D12,$F12,$H12)</f>
        <v>0</v>
      </c>
      <c r="K12" s="1">
        <f>MIN($C12,$E12,$G12,$I12)</f>
        <v>0</v>
      </c>
      <c r="L12" s="1">
        <f>MEDIAN($B12,$D12,$F12,$H12)</f>
        <v>0</v>
      </c>
      <c r="M12" s="1">
        <f>MEDIAN($C12,$E12,$G12,$I12)</f>
        <v>0</v>
      </c>
      <c r="N12" s="1">
        <f>MAX($B12,$D12,$F12,$H12)</f>
        <v>0</v>
      </c>
      <c r="O12" s="1">
        <f>MAX($C12,$E12,$G12,$I12)</f>
        <v>0</v>
      </c>
    </row>
    <row r="13" spans="1:15">
      <c r="A13" s="1" t="s">
        <v>10</v>
      </c>
      <c r="B13" s="1">
        <v>18.85</v>
      </c>
      <c r="C13" s="2">
        <v>0</v>
      </c>
      <c r="D13" s="1">
        <v>67.22</v>
      </c>
      <c r="E13" s="2">
        <v>0</v>
      </c>
      <c r="F13" s="3">
        <v>17.54</v>
      </c>
      <c r="G13" s="2">
        <v>0</v>
      </c>
      <c r="H13" s="4">
        <v>70.39</v>
      </c>
      <c r="I13" s="2">
        <v>0</v>
      </c>
      <c r="J13" s="1">
        <f>MIN($B13,$D13,$F13,$H13)</f>
        <v>0</v>
      </c>
      <c r="K13" s="1">
        <f>MIN($C13,$E13,$G13,$I13)</f>
        <v>0</v>
      </c>
      <c r="L13" s="1">
        <f>MEDIAN($B13,$D13,$F13,$H13)</f>
        <v>0</v>
      </c>
      <c r="M13" s="1">
        <f>MEDIAN($C13,$E13,$G13,$I13)</f>
        <v>0</v>
      </c>
      <c r="N13" s="1">
        <f>MAX($B13,$D13,$F13,$H13)</f>
        <v>0</v>
      </c>
      <c r="O13" s="1">
        <f>MAX($C13,$E13,$G13,$I13)</f>
        <v>0</v>
      </c>
    </row>
    <row r="14" spans="1:15">
      <c r="A14" s="1" t="s">
        <v>11</v>
      </c>
      <c r="B14" s="3">
        <v>17.78</v>
      </c>
      <c r="C14" s="2">
        <v>0</v>
      </c>
      <c r="D14" s="1">
        <v>48.41</v>
      </c>
      <c r="E14" s="2">
        <v>0</v>
      </c>
      <c r="F14" s="1">
        <v>20.08</v>
      </c>
      <c r="G14" s="2">
        <v>0</v>
      </c>
      <c r="H14" s="4">
        <v>77.08</v>
      </c>
      <c r="I14" s="2">
        <v>0</v>
      </c>
      <c r="J14" s="1">
        <f>MIN($B14,$D14,$F14,$H14)</f>
        <v>0</v>
      </c>
      <c r="K14" s="1">
        <f>MIN($C14,$E14,$G14,$I14)</f>
        <v>0</v>
      </c>
      <c r="L14" s="1">
        <f>MEDIAN($B14,$D14,$F14,$H14)</f>
        <v>0</v>
      </c>
      <c r="M14" s="1">
        <f>MEDIAN($C14,$E14,$G14,$I14)</f>
        <v>0</v>
      </c>
      <c r="N14" s="1">
        <f>MAX($B14,$D14,$F14,$H14)</f>
        <v>0</v>
      </c>
      <c r="O14" s="1">
        <f>MAX($C14,$E14,$G14,$I14)</f>
        <v>0</v>
      </c>
    </row>
    <row r="15" spans="1:15">
      <c r="A15" s="1" t="s">
        <v>12</v>
      </c>
      <c r="B15" s="1">
        <v>5.66</v>
      </c>
      <c r="C15" s="2">
        <v>0</v>
      </c>
      <c r="D15" s="1">
        <v>5.32</v>
      </c>
      <c r="E15" s="2">
        <v>0</v>
      </c>
      <c r="F15" s="3">
        <v>4.35</v>
      </c>
      <c r="G15" s="2">
        <v>0</v>
      </c>
      <c r="H15" s="4">
        <v>17.39</v>
      </c>
      <c r="I15" s="2">
        <v>0</v>
      </c>
      <c r="J15" s="1">
        <f>MIN($B15,$D15,$F15,$H15)</f>
        <v>0</v>
      </c>
      <c r="K15" s="1">
        <f>MIN($C15,$E15,$G15,$I15)</f>
        <v>0</v>
      </c>
      <c r="L15" s="1">
        <f>MEDIAN($B15,$D15,$F15,$H15)</f>
        <v>0</v>
      </c>
      <c r="M15" s="1">
        <f>MEDIAN($C15,$E15,$G15,$I15)</f>
        <v>0</v>
      </c>
      <c r="N15" s="1">
        <f>MAX($B15,$D15,$F15,$H15)</f>
        <v>0</v>
      </c>
      <c r="O15" s="1">
        <f>MAX($C15,$E15,$G15,$I15)</f>
        <v>0</v>
      </c>
    </row>
    <row r="16" spans="1:15">
      <c r="A16" s="1" t="s">
        <v>13</v>
      </c>
      <c r="B16" s="1">
        <v>5.51</v>
      </c>
      <c r="C16" s="2">
        <v>0</v>
      </c>
      <c r="D16" s="1">
        <v>6.06</v>
      </c>
      <c r="E16" s="2">
        <v>0</v>
      </c>
      <c r="F16" s="3">
        <v>5.11</v>
      </c>
      <c r="G16" s="2">
        <v>0</v>
      </c>
      <c r="H16" s="4">
        <v>12.87</v>
      </c>
      <c r="I16" s="2">
        <v>0</v>
      </c>
      <c r="J16" s="1">
        <f>MIN($B16,$D16,$F16,$H16)</f>
        <v>0</v>
      </c>
      <c r="K16" s="1">
        <f>MIN($C16,$E16,$G16,$I16)</f>
        <v>0</v>
      </c>
      <c r="L16" s="1">
        <f>MEDIAN($B16,$D16,$F16,$H16)</f>
        <v>0</v>
      </c>
      <c r="M16" s="1">
        <f>MEDIAN($C16,$E16,$G16,$I16)</f>
        <v>0</v>
      </c>
      <c r="N16" s="1">
        <f>MAX($B16,$D16,$F16,$H16)</f>
        <v>0</v>
      </c>
      <c r="O16" s="1">
        <f>MAX($C16,$E16,$G16,$I16)</f>
        <v>0</v>
      </c>
    </row>
    <row r="17" spans="1:15">
      <c r="A17" s="1" t="s">
        <v>14</v>
      </c>
      <c r="B17" s="1">
        <v>5.56</v>
      </c>
      <c r="C17" s="2">
        <v>0</v>
      </c>
      <c r="D17" s="1">
        <v>5.35</v>
      </c>
      <c r="E17" s="2">
        <v>0</v>
      </c>
      <c r="F17" s="3">
        <v>4.4</v>
      </c>
      <c r="G17" s="2">
        <v>0</v>
      </c>
      <c r="H17" s="4">
        <v>15.23</v>
      </c>
      <c r="I17" s="2">
        <v>0</v>
      </c>
      <c r="J17" s="1">
        <f>MIN($B17,$D17,$F17,$H17)</f>
        <v>0</v>
      </c>
      <c r="K17" s="1">
        <f>MIN($C17,$E17,$G17,$I17)</f>
        <v>0</v>
      </c>
      <c r="L17" s="1">
        <f>MEDIAN($B17,$D17,$F17,$H17)</f>
        <v>0</v>
      </c>
      <c r="M17" s="1">
        <f>MEDIAN($C17,$E17,$G17,$I17)</f>
        <v>0</v>
      </c>
      <c r="N17" s="1">
        <f>MAX($B17,$D17,$F17,$H17)</f>
        <v>0</v>
      </c>
      <c r="O17" s="1">
        <f>MAX($C17,$E17,$G17,$I17)</f>
        <v>0</v>
      </c>
    </row>
    <row r="18" spans="1:15">
      <c r="A18" s="1" t="s">
        <v>15</v>
      </c>
      <c r="B18" s="1">
        <v>5.29</v>
      </c>
      <c r="C18" s="2">
        <v>0</v>
      </c>
      <c r="D18" s="3">
        <v>5.03</v>
      </c>
      <c r="E18" s="2">
        <v>0</v>
      </c>
      <c r="F18" s="1">
        <v>5.28</v>
      </c>
      <c r="G18" s="2">
        <v>0</v>
      </c>
      <c r="H18" s="4">
        <v>13.44</v>
      </c>
      <c r="I18" s="2">
        <v>0</v>
      </c>
      <c r="J18" s="1">
        <f>MIN($B18,$D18,$F18,$H18)</f>
        <v>0</v>
      </c>
      <c r="K18" s="1">
        <f>MIN($C18,$E18,$G18,$I18)</f>
        <v>0</v>
      </c>
      <c r="L18" s="1">
        <f>MEDIAN($B18,$D18,$F18,$H18)</f>
        <v>0</v>
      </c>
      <c r="M18" s="1">
        <f>MEDIAN($C18,$E18,$G18,$I18)</f>
        <v>0</v>
      </c>
      <c r="N18" s="1">
        <f>MAX($B18,$D18,$F18,$H18)</f>
        <v>0</v>
      </c>
      <c r="O18" s="1">
        <f>MAX($C18,$E18,$G18,$I18)</f>
        <v>0</v>
      </c>
    </row>
    <row r="19" spans="1:15">
      <c r="A19" s="1" t="s">
        <v>16</v>
      </c>
      <c r="B19" s="3">
        <v>28.73</v>
      </c>
      <c r="C19" s="2">
        <v>0</v>
      </c>
      <c r="D19" s="1">
        <v>37.26</v>
      </c>
      <c r="E19" s="2">
        <v>0</v>
      </c>
      <c r="F19" s="1">
        <v>31.91</v>
      </c>
      <c r="G19" s="2">
        <v>0</v>
      </c>
      <c r="H19" s="4">
        <v>60.08</v>
      </c>
      <c r="I19" s="2">
        <v>0</v>
      </c>
      <c r="J19" s="1">
        <f>MIN($B19,$D19,$F19,$H19)</f>
        <v>0</v>
      </c>
      <c r="K19" s="1">
        <f>MIN($C19,$E19,$G19,$I19)</f>
        <v>0</v>
      </c>
      <c r="L19" s="1">
        <f>MEDIAN($B19,$D19,$F19,$H19)</f>
        <v>0</v>
      </c>
      <c r="M19" s="1">
        <f>MEDIAN($C19,$E19,$G19,$I19)</f>
        <v>0</v>
      </c>
      <c r="N19" s="1">
        <f>MAX($B19,$D19,$F19,$H19)</f>
        <v>0</v>
      </c>
      <c r="O19" s="1">
        <f>MAX($C19,$E19,$G19,$I19)</f>
        <v>0</v>
      </c>
    </row>
    <row r="20" spans="1:15">
      <c r="A20" s="1" t="s">
        <v>17</v>
      </c>
      <c r="B20" s="1">
        <v>1200</v>
      </c>
      <c r="C20" s="2">
        <v>1</v>
      </c>
      <c r="D20" s="1">
        <v>1200</v>
      </c>
      <c r="E20" s="2">
        <v>1</v>
      </c>
      <c r="F20" s="1">
        <v>1200</v>
      </c>
      <c r="G20" s="2">
        <v>1</v>
      </c>
      <c r="H20" s="1">
        <v>1200</v>
      </c>
      <c r="I20" s="2">
        <v>1</v>
      </c>
      <c r="J20" s="1">
        <f>MIN($B20,$D20,$F20,$H20)</f>
        <v>0</v>
      </c>
      <c r="K20" s="1">
        <f>MIN($C20,$E20,$G20,$I20)</f>
        <v>0</v>
      </c>
      <c r="L20" s="1">
        <f>MEDIAN($B20,$D20,$F20,$H20)</f>
        <v>0</v>
      </c>
      <c r="M20" s="1">
        <f>MEDIAN($C20,$E20,$G20,$I20)</f>
        <v>0</v>
      </c>
      <c r="N20" s="1">
        <f>MAX($B20,$D20,$F20,$H20)</f>
        <v>0</v>
      </c>
      <c r="O20" s="1">
        <f>MAX($C20,$E20,$G20,$I20)</f>
        <v>0</v>
      </c>
    </row>
    <row r="21" spans="1:15">
      <c r="A21" s="1" t="s">
        <v>18</v>
      </c>
      <c r="B21" s="1">
        <v>1200</v>
      </c>
      <c r="C21" s="2">
        <v>1</v>
      </c>
      <c r="D21" s="1">
        <v>1200</v>
      </c>
      <c r="E21" s="2">
        <v>1</v>
      </c>
      <c r="F21" s="1">
        <v>1200</v>
      </c>
      <c r="G21" s="2">
        <v>1</v>
      </c>
      <c r="H21" s="1">
        <v>1200</v>
      </c>
      <c r="I21" s="2">
        <v>1</v>
      </c>
      <c r="J21" s="1">
        <f>MIN($B21,$D21,$F21,$H21)</f>
        <v>0</v>
      </c>
      <c r="K21" s="1">
        <f>MIN($C21,$E21,$G21,$I21)</f>
        <v>0</v>
      </c>
      <c r="L21" s="1">
        <f>MEDIAN($B21,$D21,$F21,$H21)</f>
        <v>0</v>
      </c>
      <c r="M21" s="1">
        <f>MEDIAN($C21,$E21,$G21,$I21)</f>
        <v>0</v>
      </c>
      <c r="N21" s="1">
        <f>MAX($B21,$D21,$F21,$H21)</f>
        <v>0</v>
      </c>
      <c r="O21" s="1">
        <f>MAX($C21,$E21,$G21,$I21)</f>
        <v>0</v>
      </c>
    </row>
    <row r="22" spans="1:15">
      <c r="A22" s="1" t="s">
        <v>19</v>
      </c>
      <c r="B22" s="1">
        <v>1200</v>
      </c>
      <c r="C22" s="2">
        <v>1</v>
      </c>
      <c r="D22" s="1">
        <v>1200</v>
      </c>
      <c r="E22" s="2">
        <v>1</v>
      </c>
      <c r="F22" s="1">
        <v>1200</v>
      </c>
      <c r="G22" s="2">
        <v>1</v>
      </c>
      <c r="H22" s="3">
        <v>9.41</v>
      </c>
      <c r="I22" s="5">
        <v>0</v>
      </c>
      <c r="J22" s="1">
        <f>MIN($B22,$D22,$F22,$H22)</f>
        <v>0</v>
      </c>
      <c r="K22" s="1">
        <f>MIN($C22,$E22,$G22,$I22)</f>
        <v>0</v>
      </c>
      <c r="L22" s="1">
        <f>MEDIAN($B22,$D22,$F22,$H22)</f>
        <v>0</v>
      </c>
      <c r="M22" s="1">
        <f>MEDIAN($C22,$E22,$G22,$I22)</f>
        <v>0</v>
      </c>
      <c r="N22" s="1">
        <f>MAX($B22,$D22,$F22,$H22)</f>
        <v>0</v>
      </c>
      <c r="O22" s="1">
        <f>MAX($C22,$E22,$G22,$I22)</f>
        <v>0</v>
      </c>
    </row>
    <row r="23" spans="1:15">
      <c r="A23" s="1" t="s">
        <v>20</v>
      </c>
      <c r="B23" s="1">
        <v>1200</v>
      </c>
      <c r="C23" s="2">
        <v>1</v>
      </c>
      <c r="D23" s="1">
        <v>1200</v>
      </c>
      <c r="E23" s="2">
        <v>1</v>
      </c>
      <c r="F23" s="1">
        <v>1200</v>
      </c>
      <c r="G23" s="2">
        <v>1</v>
      </c>
      <c r="H23" s="3">
        <v>7.13</v>
      </c>
      <c r="I23" s="5">
        <v>0</v>
      </c>
      <c r="J23" s="1">
        <f>MIN($B23,$D23,$F23,$H23)</f>
        <v>0</v>
      </c>
      <c r="K23" s="1">
        <f>MIN($C23,$E23,$G23,$I23)</f>
        <v>0</v>
      </c>
      <c r="L23" s="1">
        <f>MEDIAN($B23,$D23,$F23,$H23)</f>
        <v>0</v>
      </c>
      <c r="M23" s="1">
        <f>MEDIAN($C23,$E23,$G23,$I23)</f>
        <v>0</v>
      </c>
      <c r="N23" s="1">
        <f>MAX($B23,$D23,$F23,$H23)</f>
        <v>0</v>
      </c>
      <c r="O23" s="1">
        <f>MAX($C23,$E23,$G23,$I23)</f>
        <v>0</v>
      </c>
    </row>
    <row r="24" spans="1:15">
      <c r="A24" s="1" t="s">
        <v>21</v>
      </c>
      <c r="B24" s="1">
        <v>1200</v>
      </c>
      <c r="C24" s="2">
        <v>1</v>
      </c>
      <c r="D24" s="1">
        <v>1200</v>
      </c>
      <c r="E24" s="2">
        <v>1</v>
      </c>
      <c r="F24" s="1">
        <v>1200</v>
      </c>
      <c r="G24" s="2">
        <v>1</v>
      </c>
      <c r="H24" s="3">
        <v>8.880000000000001</v>
      </c>
      <c r="I24" s="5">
        <v>0</v>
      </c>
      <c r="J24" s="1">
        <f>MIN($B24,$D24,$F24,$H24)</f>
        <v>0</v>
      </c>
      <c r="K24" s="1">
        <f>MIN($C24,$E24,$G24,$I24)</f>
        <v>0</v>
      </c>
      <c r="L24" s="1">
        <f>MEDIAN($B24,$D24,$F24,$H24)</f>
        <v>0</v>
      </c>
      <c r="M24" s="1">
        <f>MEDIAN($C24,$E24,$G24,$I24)</f>
        <v>0</v>
      </c>
      <c r="N24" s="1">
        <f>MAX($B24,$D24,$F24,$H24)</f>
        <v>0</v>
      </c>
      <c r="O24" s="1">
        <f>MAX($C24,$E24,$G24,$I24)</f>
        <v>0</v>
      </c>
    </row>
    <row r="25" spans="1:15">
      <c r="A25" s="1" t="s">
        <v>22</v>
      </c>
      <c r="B25" s="1">
        <v>1200</v>
      </c>
      <c r="C25" s="2">
        <v>1</v>
      </c>
      <c r="D25" s="1">
        <v>1200</v>
      </c>
      <c r="E25" s="2">
        <v>1</v>
      </c>
      <c r="F25" s="1">
        <v>1200</v>
      </c>
      <c r="G25" s="2">
        <v>1</v>
      </c>
      <c r="H25" s="3">
        <v>7.3</v>
      </c>
      <c r="I25" s="5">
        <v>0</v>
      </c>
      <c r="J25" s="1">
        <f>MIN($B25,$D25,$F25,$H25)</f>
        <v>0</v>
      </c>
      <c r="K25" s="1">
        <f>MIN($C25,$E25,$G25,$I25)</f>
        <v>0</v>
      </c>
      <c r="L25" s="1">
        <f>MEDIAN($B25,$D25,$F25,$H25)</f>
        <v>0</v>
      </c>
      <c r="M25" s="1">
        <f>MEDIAN($C25,$E25,$G25,$I25)</f>
        <v>0</v>
      </c>
      <c r="N25" s="1">
        <f>MAX($B25,$D25,$F25,$H25)</f>
        <v>0</v>
      </c>
      <c r="O25" s="1">
        <f>MAX($C25,$E25,$G25,$I25)</f>
        <v>0</v>
      </c>
    </row>
    <row r="26" spans="1:15">
      <c r="A26" s="1" t="s">
        <v>23</v>
      </c>
      <c r="B26" s="1">
        <v>1200</v>
      </c>
      <c r="C26" s="2">
        <v>1</v>
      </c>
      <c r="D26" s="1">
        <v>1200</v>
      </c>
      <c r="E26" s="2">
        <v>1</v>
      </c>
      <c r="F26" s="1">
        <v>1200</v>
      </c>
      <c r="G26" s="2">
        <v>1</v>
      </c>
      <c r="H26" s="3">
        <v>9.1</v>
      </c>
      <c r="I26" s="5">
        <v>0</v>
      </c>
      <c r="J26" s="1">
        <f>MIN($B26,$D26,$F26,$H26)</f>
        <v>0</v>
      </c>
      <c r="K26" s="1">
        <f>MIN($C26,$E26,$G26,$I26)</f>
        <v>0</v>
      </c>
      <c r="L26" s="1">
        <f>MEDIAN($B26,$D26,$F26,$H26)</f>
        <v>0</v>
      </c>
      <c r="M26" s="1">
        <f>MEDIAN($C26,$E26,$G26,$I26)</f>
        <v>0</v>
      </c>
      <c r="N26" s="1">
        <f>MAX($B26,$D26,$F26,$H26)</f>
        <v>0</v>
      </c>
      <c r="O26" s="1">
        <f>MAX($C26,$E26,$G26,$I26)</f>
        <v>0</v>
      </c>
    </row>
    <row r="27" spans="1:15">
      <c r="A27" s="1" t="s">
        <v>24</v>
      </c>
      <c r="B27" s="1">
        <v>1200</v>
      </c>
      <c r="C27" s="2">
        <v>1</v>
      </c>
      <c r="D27" s="1">
        <v>1200</v>
      </c>
      <c r="E27" s="2">
        <v>1</v>
      </c>
      <c r="F27" s="1">
        <v>1200</v>
      </c>
      <c r="G27" s="2">
        <v>1</v>
      </c>
      <c r="H27" s="3">
        <v>7.13</v>
      </c>
      <c r="I27" s="5">
        <v>0</v>
      </c>
      <c r="J27" s="1">
        <f>MIN($B27,$D27,$F27,$H27)</f>
        <v>0</v>
      </c>
      <c r="K27" s="1">
        <f>MIN($C27,$E27,$G27,$I27)</f>
        <v>0</v>
      </c>
      <c r="L27" s="1">
        <f>MEDIAN($B27,$D27,$F27,$H27)</f>
        <v>0</v>
      </c>
      <c r="M27" s="1">
        <f>MEDIAN($C27,$E27,$G27,$I27)</f>
        <v>0</v>
      </c>
      <c r="N27" s="1">
        <f>MAX($B27,$D27,$F27,$H27)</f>
        <v>0</v>
      </c>
      <c r="O27" s="1">
        <f>MAX($C27,$E27,$G27,$I27)</f>
        <v>0</v>
      </c>
    </row>
    <row r="28" spans="1:15">
      <c r="A28" s="1" t="s">
        <v>25</v>
      </c>
      <c r="B28" s="1">
        <v>1200</v>
      </c>
      <c r="C28" s="2">
        <v>1</v>
      </c>
      <c r="D28" s="1">
        <v>1200</v>
      </c>
      <c r="E28" s="2">
        <v>1</v>
      </c>
      <c r="F28" s="1">
        <v>1200</v>
      </c>
      <c r="G28" s="2">
        <v>1</v>
      </c>
      <c r="H28" s="3">
        <v>6.89</v>
      </c>
      <c r="I28" s="5">
        <v>0</v>
      </c>
      <c r="J28" s="1">
        <f>MIN($B28,$D28,$F28,$H28)</f>
        <v>0</v>
      </c>
      <c r="K28" s="1">
        <f>MIN($C28,$E28,$G28,$I28)</f>
        <v>0</v>
      </c>
      <c r="L28" s="1">
        <f>MEDIAN($B28,$D28,$F28,$H28)</f>
        <v>0</v>
      </c>
      <c r="M28" s="1">
        <f>MEDIAN($C28,$E28,$G28,$I28)</f>
        <v>0</v>
      </c>
      <c r="N28" s="1">
        <f>MAX($B28,$D28,$F28,$H28)</f>
        <v>0</v>
      </c>
      <c r="O28" s="1">
        <f>MAX($C28,$E28,$G28,$I28)</f>
        <v>0</v>
      </c>
    </row>
    <row r="29" spans="1:15">
      <c r="A29" s="1" t="s">
        <v>26</v>
      </c>
      <c r="B29" s="1">
        <v>1200</v>
      </c>
      <c r="C29" s="2">
        <v>1</v>
      </c>
      <c r="D29" s="1">
        <v>1200</v>
      </c>
      <c r="E29" s="2">
        <v>1</v>
      </c>
      <c r="F29" s="1">
        <v>1200</v>
      </c>
      <c r="G29" s="2">
        <v>1</v>
      </c>
      <c r="H29" s="3">
        <v>6.95</v>
      </c>
      <c r="I29" s="5">
        <v>0</v>
      </c>
      <c r="J29" s="1">
        <f>MIN($B29,$D29,$F29,$H29)</f>
        <v>0</v>
      </c>
      <c r="K29" s="1">
        <f>MIN($C29,$E29,$G29,$I29)</f>
        <v>0</v>
      </c>
      <c r="L29" s="1">
        <f>MEDIAN($B29,$D29,$F29,$H29)</f>
        <v>0</v>
      </c>
      <c r="M29" s="1">
        <f>MEDIAN($C29,$E29,$G29,$I29)</f>
        <v>0</v>
      </c>
      <c r="N29" s="1">
        <f>MAX($B29,$D29,$F29,$H29)</f>
        <v>0</v>
      </c>
      <c r="O29" s="1">
        <f>MAX($C29,$E29,$G29,$I29)</f>
        <v>0</v>
      </c>
    </row>
    <row r="30" spans="1:15">
      <c r="A30" s="1" t="s">
        <v>27</v>
      </c>
      <c r="B30" s="1">
        <v>1200</v>
      </c>
      <c r="C30" s="2">
        <v>1</v>
      </c>
      <c r="D30" s="1">
        <v>1200</v>
      </c>
      <c r="E30" s="2">
        <v>1</v>
      </c>
      <c r="F30" s="1">
        <v>1200</v>
      </c>
      <c r="G30" s="2">
        <v>1</v>
      </c>
      <c r="H30" s="3">
        <v>7.55</v>
      </c>
      <c r="I30" s="5">
        <v>0</v>
      </c>
      <c r="J30" s="1">
        <f>MIN($B30,$D30,$F30,$H30)</f>
        <v>0</v>
      </c>
      <c r="K30" s="1">
        <f>MIN($C30,$E30,$G30,$I30)</f>
        <v>0</v>
      </c>
      <c r="L30" s="1">
        <f>MEDIAN($B30,$D30,$F30,$H30)</f>
        <v>0</v>
      </c>
      <c r="M30" s="1">
        <f>MEDIAN($C30,$E30,$G30,$I30)</f>
        <v>0</v>
      </c>
      <c r="N30" s="1">
        <f>MAX($B30,$D30,$F30,$H30)</f>
        <v>0</v>
      </c>
      <c r="O30" s="1">
        <f>MAX($C30,$E30,$G30,$I30)</f>
        <v>0</v>
      </c>
    </row>
    <row r="31" spans="1:15">
      <c r="A31" s="1" t="s">
        <v>28</v>
      </c>
      <c r="B31" s="1">
        <v>1200</v>
      </c>
      <c r="C31" s="2">
        <v>1</v>
      </c>
      <c r="D31" s="1">
        <v>1200</v>
      </c>
      <c r="E31" s="2">
        <v>1</v>
      </c>
      <c r="F31" s="1">
        <v>1200</v>
      </c>
      <c r="G31" s="2">
        <v>1</v>
      </c>
      <c r="H31" s="3">
        <v>9.109999999999999</v>
      </c>
      <c r="I31" s="5">
        <v>0</v>
      </c>
      <c r="J31" s="1">
        <f>MIN($B31,$D31,$F31,$H31)</f>
        <v>0</v>
      </c>
      <c r="K31" s="1">
        <f>MIN($C31,$E31,$G31,$I31)</f>
        <v>0</v>
      </c>
      <c r="L31" s="1">
        <f>MEDIAN($B31,$D31,$F31,$H31)</f>
        <v>0</v>
      </c>
      <c r="M31" s="1">
        <f>MEDIAN($C31,$E31,$G31,$I31)</f>
        <v>0</v>
      </c>
      <c r="N31" s="1">
        <f>MAX($B31,$D31,$F31,$H31)</f>
        <v>0</v>
      </c>
      <c r="O31" s="1">
        <f>MAX($C31,$E31,$G31,$I31)</f>
        <v>0</v>
      </c>
    </row>
    <row r="32" spans="1:15">
      <c r="A32" s="1" t="s">
        <v>29</v>
      </c>
      <c r="B32" s="1">
        <v>1200</v>
      </c>
      <c r="C32" s="2">
        <v>1</v>
      </c>
      <c r="D32" s="1">
        <v>1200</v>
      </c>
      <c r="E32" s="2">
        <v>1</v>
      </c>
      <c r="F32" s="1">
        <v>1200</v>
      </c>
      <c r="G32" s="2">
        <v>1</v>
      </c>
      <c r="H32" s="3">
        <v>8.869999999999999</v>
      </c>
      <c r="I32" s="5">
        <v>0</v>
      </c>
      <c r="J32" s="1">
        <f>MIN($B32,$D32,$F32,$H32)</f>
        <v>0</v>
      </c>
      <c r="K32" s="1">
        <f>MIN($C32,$E32,$G32,$I32)</f>
        <v>0</v>
      </c>
      <c r="L32" s="1">
        <f>MEDIAN($B32,$D32,$F32,$H32)</f>
        <v>0</v>
      </c>
      <c r="M32" s="1">
        <f>MEDIAN($C32,$E32,$G32,$I32)</f>
        <v>0</v>
      </c>
      <c r="N32" s="1">
        <f>MAX($B32,$D32,$F32,$H32)</f>
        <v>0</v>
      </c>
      <c r="O32" s="1">
        <f>MAX($C32,$E32,$G32,$I32)</f>
        <v>0</v>
      </c>
    </row>
    <row r="33" spans="1:15">
      <c r="A33" s="1" t="s">
        <v>30</v>
      </c>
      <c r="B33" s="1">
        <v>1200</v>
      </c>
      <c r="C33" s="2">
        <v>1</v>
      </c>
      <c r="D33" s="1">
        <v>1200</v>
      </c>
      <c r="E33" s="2">
        <v>1</v>
      </c>
      <c r="F33" s="1">
        <v>1200</v>
      </c>
      <c r="G33" s="2">
        <v>1</v>
      </c>
      <c r="H33" s="3">
        <v>11.74</v>
      </c>
      <c r="I33" s="5">
        <v>0</v>
      </c>
      <c r="J33" s="1">
        <f>MIN($B33,$D33,$F33,$H33)</f>
        <v>0</v>
      </c>
      <c r="K33" s="1">
        <f>MIN($C33,$E33,$G33,$I33)</f>
        <v>0</v>
      </c>
      <c r="L33" s="1">
        <f>MEDIAN($B33,$D33,$F33,$H33)</f>
        <v>0</v>
      </c>
      <c r="M33" s="1">
        <f>MEDIAN($C33,$E33,$G33,$I33)</f>
        <v>0</v>
      </c>
      <c r="N33" s="1">
        <f>MAX($B33,$D33,$F33,$H33)</f>
        <v>0</v>
      </c>
      <c r="O33" s="1">
        <f>MAX($C33,$E33,$G33,$I33)</f>
        <v>0</v>
      </c>
    </row>
    <row r="34" spans="1:15">
      <c r="A34" s="1" t="s">
        <v>31</v>
      </c>
      <c r="B34" s="1">
        <v>1200</v>
      </c>
      <c r="C34" s="2">
        <v>1</v>
      </c>
      <c r="D34" s="1">
        <v>1200</v>
      </c>
      <c r="E34" s="2">
        <v>1</v>
      </c>
      <c r="F34" s="1">
        <v>1200</v>
      </c>
      <c r="G34" s="2">
        <v>1</v>
      </c>
      <c r="H34" s="3">
        <v>11.92</v>
      </c>
      <c r="I34" s="5">
        <v>0</v>
      </c>
      <c r="J34" s="1">
        <f>MIN($B34,$D34,$F34,$H34)</f>
        <v>0</v>
      </c>
      <c r="K34" s="1">
        <f>MIN($C34,$E34,$G34,$I34)</f>
        <v>0</v>
      </c>
      <c r="L34" s="1">
        <f>MEDIAN($B34,$D34,$F34,$H34)</f>
        <v>0</v>
      </c>
      <c r="M34" s="1">
        <f>MEDIAN($C34,$E34,$G34,$I34)</f>
        <v>0</v>
      </c>
      <c r="N34" s="1">
        <f>MAX($B34,$D34,$F34,$H34)</f>
        <v>0</v>
      </c>
      <c r="O34" s="1">
        <f>MAX($C34,$E34,$G34,$I34)</f>
        <v>0</v>
      </c>
    </row>
    <row r="35" spans="1:15">
      <c r="A35" s="1" t="s">
        <v>32</v>
      </c>
      <c r="B35" s="1">
        <v>1200</v>
      </c>
      <c r="C35" s="2">
        <v>1</v>
      </c>
      <c r="D35" s="1">
        <v>1200</v>
      </c>
      <c r="E35" s="2">
        <v>1</v>
      </c>
      <c r="F35" s="1">
        <v>1200</v>
      </c>
      <c r="G35" s="2">
        <v>1</v>
      </c>
      <c r="H35" s="3">
        <v>11.9</v>
      </c>
      <c r="I35" s="5">
        <v>0</v>
      </c>
      <c r="J35" s="1">
        <f>MIN($B35,$D35,$F35,$H35)</f>
        <v>0</v>
      </c>
      <c r="K35" s="1">
        <f>MIN($C35,$E35,$G35,$I35)</f>
        <v>0</v>
      </c>
      <c r="L35" s="1">
        <f>MEDIAN($B35,$D35,$F35,$H35)</f>
        <v>0</v>
      </c>
      <c r="M35" s="1">
        <f>MEDIAN($C35,$E35,$G35,$I35)</f>
        <v>0</v>
      </c>
      <c r="N35" s="1">
        <f>MAX($B35,$D35,$F35,$H35)</f>
        <v>0</v>
      </c>
      <c r="O35" s="1">
        <f>MAX($C35,$E35,$G35,$I35)</f>
        <v>0</v>
      </c>
    </row>
    <row r="36" spans="1:15">
      <c r="A36" s="1" t="s">
        <v>33</v>
      </c>
      <c r="B36" s="1">
        <v>1200</v>
      </c>
      <c r="C36" s="2">
        <v>1</v>
      </c>
      <c r="D36" s="1">
        <v>1200</v>
      </c>
      <c r="E36" s="2">
        <v>1</v>
      </c>
      <c r="F36" s="1">
        <v>1200</v>
      </c>
      <c r="G36" s="2">
        <v>1</v>
      </c>
      <c r="H36" s="3">
        <v>9.31</v>
      </c>
      <c r="I36" s="5">
        <v>0</v>
      </c>
      <c r="J36" s="1">
        <f>MIN($B36,$D36,$F36,$H36)</f>
        <v>0</v>
      </c>
      <c r="K36" s="1">
        <f>MIN($C36,$E36,$G36,$I36)</f>
        <v>0</v>
      </c>
      <c r="L36" s="1">
        <f>MEDIAN($B36,$D36,$F36,$H36)</f>
        <v>0</v>
      </c>
      <c r="M36" s="1">
        <f>MEDIAN($C36,$E36,$G36,$I36)</f>
        <v>0</v>
      </c>
      <c r="N36" s="1">
        <f>MAX($B36,$D36,$F36,$H36)</f>
        <v>0</v>
      </c>
      <c r="O36" s="1">
        <f>MAX($C36,$E36,$G36,$I36)</f>
        <v>0</v>
      </c>
    </row>
    <row r="37" spans="1:15">
      <c r="A37" s="1" t="s">
        <v>34</v>
      </c>
      <c r="B37" s="1">
        <v>1200</v>
      </c>
      <c r="C37" s="2">
        <v>1</v>
      </c>
      <c r="D37" s="1">
        <v>1200</v>
      </c>
      <c r="E37" s="2">
        <v>1</v>
      </c>
      <c r="F37" s="1">
        <v>1200</v>
      </c>
      <c r="G37" s="2">
        <v>1</v>
      </c>
      <c r="H37" s="3">
        <v>8.859999999999999</v>
      </c>
      <c r="I37" s="5">
        <v>0</v>
      </c>
      <c r="J37" s="1">
        <f>MIN($B37,$D37,$F37,$H37)</f>
        <v>0</v>
      </c>
      <c r="K37" s="1">
        <f>MIN($C37,$E37,$G37,$I37)</f>
        <v>0</v>
      </c>
      <c r="L37" s="1">
        <f>MEDIAN($B37,$D37,$F37,$H37)</f>
        <v>0</v>
      </c>
      <c r="M37" s="1">
        <f>MEDIAN($C37,$E37,$G37,$I37)</f>
        <v>0</v>
      </c>
      <c r="N37" s="1">
        <f>MAX($B37,$D37,$F37,$H37)</f>
        <v>0</v>
      </c>
      <c r="O37" s="1">
        <f>MAX($C37,$E37,$G37,$I37)</f>
        <v>0</v>
      </c>
    </row>
    <row r="38" spans="1:15">
      <c r="A38" s="1" t="s">
        <v>35</v>
      </c>
      <c r="B38" s="1">
        <v>1200</v>
      </c>
      <c r="C38" s="2">
        <v>1</v>
      </c>
      <c r="D38" s="1">
        <v>1200</v>
      </c>
      <c r="E38" s="2">
        <v>1</v>
      </c>
      <c r="F38" s="1">
        <v>1200</v>
      </c>
      <c r="G38" s="2">
        <v>1</v>
      </c>
      <c r="H38" s="3">
        <v>12.13</v>
      </c>
      <c r="I38" s="5">
        <v>0</v>
      </c>
      <c r="J38" s="1">
        <f>MIN($B38,$D38,$F38,$H38)</f>
        <v>0</v>
      </c>
      <c r="K38" s="1">
        <f>MIN($C38,$E38,$G38,$I38)</f>
        <v>0</v>
      </c>
      <c r="L38" s="1">
        <f>MEDIAN($B38,$D38,$F38,$H38)</f>
        <v>0</v>
      </c>
      <c r="M38" s="1">
        <f>MEDIAN($C38,$E38,$G38,$I38)</f>
        <v>0</v>
      </c>
      <c r="N38" s="1">
        <f>MAX($B38,$D38,$F38,$H38)</f>
        <v>0</v>
      </c>
      <c r="O38" s="1">
        <f>MAX($C38,$E38,$G38,$I38)</f>
        <v>0</v>
      </c>
    </row>
    <row r="39" spans="1:15">
      <c r="A39" s="1" t="s">
        <v>36</v>
      </c>
      <c r="B39" s="1">
        <v>1200</v>
      </c>
      <c r="C39" s="2">
        <v>1</v>
      </c>
      <c r="D39" s="1">
        <v>1200</v>
      </c>
      <c r="E39" s="2">
        <v>1</v>
      </c>
      <c r="F39" s="1">
        <v>1200</v>
      </c>
      <c r="G39" s="2">
        <v>1</v>
      </c>
      <c r="H39" s="3">
        <v>11.74</v>
      </c>
      <c r="I39" s="5">
        <v>0</v>
      </c>
      <c r="J39" s="1">
        <f>MIN($B39,$D39,$F39,$H39)</f>
        <v>0</v>
      </c>
      <c r="K39" s="1">
        <f>MIN($C39,$E39,$G39,$I39)</f>
        <v>0</v>
      </c>
      <c r="L39" s="1">
        <f>MEDIAN($B39,$D39,$F39,$H39)</f>
        <v>0</v>
      </c>
      <c r="M39" s="1">
        <f>MEDIAN($C39,$E39,$G39,$I39)</f>
        <v>0</v>
      </c>
      <c r="N39" s="1">
        <f>MAX($B39,$D39,$F39,$H39)</f>
        <v>0</v>
      </c>
      <c r="O39" s="1">
        <f>MAX($C39,$E39,$G39,$I39)</f>
        <v>0</v>
      </c>
    </row>
    <row r="40" spans="1:15">
      <c r="A40" s="1" t="s">
        <v>37</v>
      </c>
      <c r="B40" s="1">
        <v>1200</v>
      </c>
      <c r="C40" s="2">
        <v>1</v>
      </c>
      <c r="D40" s="1">
        <v>1200</v>
      </c>
      <c r="E40" s="2">
        <v>1</v>
      </c>
      <c r="F40" s="1">
        <v>1200</v>
      </c>
      <c r="G40" s="2">
        <v>1</v>
      </c>
      <c r="H40" s="3">
        <v>11.9</v>
      </c>
      <c r="I40" s="5">
        <v>0</v>
      </c>
      <c r="J40" s="1">
        <f>MIN($B40,$D40,$F40,$H40)</f>
        <v>0</v>
      </c>
      <c r="K40" s="1">
        <f>MIN($C40,$E40,$G40,$I40)</f>
        <v>0</v>
      </c>
      <c r="L40" s="1">
        <f>MEDIAN($B40,$D40,$F40,$H40)</f>
        <v>0</v>
      </c>
      <c r="M40" s="1">
        <f>MEDIAN($C40,$E40,$G40,$I40)</f>
        <v>0</v>
      </c>
      <c r="N40" s="1">
        <f>MAX($B40,$D40,$F40,$H40)</f>
        <v>0</v>
      </c>
      <c r="O40" s="1">
        <f>MAX($C40,$E40,$G40,$I40)</f>
        <v>0</v>
      </c>
    </row>
    <row r="41" spans="1:15">
      <c r="A41" s="1" t="s">
        <v>38</v>
      </c>
      <c r="B41" s="1">
        <v>1200</v>
      </c>
      <c r="C41" s="2">
        <v>1</v>
      </c>
      <c r="D41" s="1">
        <v>1200</v>
      </c>
      <c r="E41" s="2">
        <v>1</v>
      </c>
      <c r="F41" s="1">
        <v>1200</v>
      </c>
      <c r="G41" s="2">
        <v>1</v>
      </c>
      <c r="H41" s="3">
        <v>11.97</v>
      </c>
      <c r="I41" s="5">
        <v>0</v>
      </c>
      <c r="J41" s="1">
        <f>MIN($B41,$D41,$F41,$H41)</f>
        <v>0</v>
      </c>
      <c r="K41" s="1">
        <f>MIN($C41,$E41,$G41,$I41)</f>
        <v>0</v>
      </c>
      <c r="L41" s="1">
        <f>MEDIAN($B41,$D41,$F41,$H41)</f>
        <v>0</v>
      </c>
      <c r="M41" s="1">
        <f>MEDIAN($C41,$E41,$G41,$I41)</f>
        <v>0</v>
      </c>
      <c r="N41" s="1">
        <f>MAX($B41,$D41,$F41,$H41)</f>
        <v>0</v>
      </c>
      <c r="O41" s="1">
        <f>MAX($C41,$E41,$G41,$I41)</f>
        <v>0</v>
      </c>
    </row>
    <row r="42" spans="1:15">
      <c r="A42" s="1" t="s">
        <v>39</v>
      </c>
      <c r="B42" s="1">
        <v>1200</v>
      </c>
      <c r="C42" s="2">
        <v>1</v>
      </c>
      <c r="D42" s="1">
        <v>1200</v>
      </c>
      <c r="E42" s="2">
        <v>1</v>
      </c>
      <c r="F42" s="1">
        <v>1200</v>
      </c>
      <c r="G42" s="2">
        <v>1</v>
      </c>
      <c r="H42" s="3">
        <v>11.17</v>
      </c>
      <c r="I42" s="5">
        <v>0</v>
      </c>
      <c r="J42" s="1">
        <f>MIN($B42,$D42,$F42,$H42)</f>
        <v>0</v>
      </c>
      <c r="K42" s="1">
        <f>MIN($C42,$E42,$G42,$I42)</f>
        <v>0</v>
      </c>
      <c r="L42" s="1">
        <f>MEDIAN($B42,$D42,$F42,$H42)</f>
        <v>0</v>
      </c>
      <c r="M42" s="1">
        <f>MEDIAN($C42,$E42,$G42,$I42)</f>
        <v>0</v>
      </c>
      <c r="N42" s="1">
        <f>MAX($B42,$D42,$F42,$H42)</f>
        <v>0</v>
      </c>
      <c r="O42" s="1">
        <f>MAX($C42,$E42,$G42,$I42)</f>
        <v>0</v>
      </c>
    </row>
    <row r="43" spans="1:15">
      <c r="A43" s="1" t="s">
        <v>40</v>
      </c>
      <c r="B43" s="1">
        <v>1200</v>
      </c>
      <c r="C43" s="2">
        <v>1</v>
      </c>
      <c r="D43" s="1">
        <v>1200</v>
      </c>
      <c r="E43" s="2">
        <v>1</v>
      </c>
      <c r="F43" s="1">
        <v>1200</v>
      </c>
      <c r="G43" s="2">
        <v>1</v>
      </c>
      <c r="H43" s="3">
        <v>14.96</v>
      </c>
      <c r="I43" s="5">
        <v>0</v>
      </c>
      <c r="J43" s="1">
        <f>MIN($B43,$D43,$F43,$H43)</f>
        <v>0</v>
      </c>
      <c r="K43" s="1">
        <f>MIN($C43,$E43,$G43,$I43)</f>
        <v>0</v>
      </c>
      <c r="L43" s="1">
        <f>MEDIAN($B43,$D43,$F43,$H43)</f>
        <v>0</v>
      </c>
      <c r="M43" s="1">
        <f>MEDIAN($C43,$E43,$G43,$I43)</f>
        <v>0</v>
      </c>
      <c r="N43" s="1">
        <f>MAX($B43,$D43,$F43,$H43)</f>
        <v>0</v>
      </c>
      <c r="O43" s="1">
        <f>MAX($C43,$E43,$G43,$I43)</f>
        <v>0</v>
      </c>
    </row>
    <row r="44" spans="1:15">
      <c r="A44" s="1" t="s">
        <v>41</v>
      </c>
      <c r="B44" s="1">
        <v>1200</v>
      </c>
      <c r="C44" s="2">
        <v>1</v>
      </c>
      <c r="D44" s="1">
        <v>1200</v>
      </c>
      <c r="E44" s="2">
        <v>1</v>
      </c>
      <c r="F44" s="1">
        <v>1200</v>
      </c>
      <c r="G44" s="2">
        <v>1</v>
      </c>
      <c r="H44" s="3">
        <v>14.67</v>
      </c>
      <c r="I44" s="5">
        <v>0</v>
      </c>
      <c r="J44" s="1">
        <f>MIN($B44,$D44,$F44,$H44)</f>
        <v>0</v>
      </c>
      <c r="K44" s="1">
        <f>MIN($C44,$E44,$G44,$I44)</f>
        <v>0</v>
      </c>
      <c r="L44" s="1">
        <f>MEDIAN($B44,$D44,$F44,$H44)</f>
        <v>0</v>
      </c>
      <c r="M44" s="1">
        <f>MEDIAN($C44,$E44,$G44,$I44)</f>
        <v>0</v>
      </c>
      <c r="N44" s="1">
        <f>MAX($B44,$D44,$F44,$H44)</f>
        <v>0</v>
      </c>
      <c r="O44" s="1">
        <f>MAX($C44,$E44,$G44,$I44)</f>
        <v>0</v>
      </c>
    </row>
    <row r="45" spans="1:15">
      <c r="A45" s="1" t="s">
        <v>42</v>
      </c>
      <c r="B45" s="1">
        <v>1200</v>
      </c>
      <c r="C45" s="2">
        <v>1</v>
      </c>
      <c r="D45" s="1">
        <v>1200</v>
      </c>
      <c r="E45" s="2">
        <v>1</v>
      </c>
      <c r="F45" s="1">
        <v>1200</v>
      </c>
      <c r="G45" s="2">
        <v>1</v>
      </c>
      <c r="H45" s="3">
        <v>11.08</v>
      </c>
      <c r="I45" s="5">
        <v>0</v>
      </c>
      <c r="J45" s="1">
        <f>MIN($B45,$D45,$F45,$H45)</f>
        <v>0</v>
      </c>
      <c r="K45" s="1">
        <f>MIN($C45,$E45,$G45,$I45)</f>
        <v>0</v>
      </c>
      <c r="L45" s="1">
        <f>MEDIAN($B45,$D45,$F45,$H45)</f>
        <v>0</v>
      </c>
      <c r="M45" s="1">
        <f>MEDIAN($C45,$E45,$G45,$I45)</f>
        <v>0</v>
      </c>
      <c r="N45" s="1">
        <f>MAX($B45,$D45,$F45,$H45)</f>
        <v>0</v>
      </c>
      <c r="O45" s="1">
        <f>MAX($C45,$E45,$G45,$I45)</f>
        <v>0</v>
      </c>
    </row>
    <row r="46" spans="1:15">
      <c r="A46" s="1" t="s">
        <v>43</v>
      </c>
      <c r="B46" s="1">
        <v>1200</v>
      </c>
      <c r="C46" s="2">
        <v>1</v>
      </c>
      <c r="D46" s="1">
        <v>1200</v>
      </c>
      <c r="E46" s="2">
        <v>1</v>
      </c>
      <c r="F46" s="1">
        <v>1200</v>
      </c>
      <c r="G46" s="2">
        <v>1</v>
      </c>
      <c r="H46" s="3">
        <v>14.46</v>
      </c>
      <c r="I46" s="5">
        <v>0</v>
      </c>
      <c r="J46" s="1">
        <f>MIN($B46,$D46,$F46,$H46)</f>
        <v>0</v>
      </c>
      <c r="K46" s="1">
        <f>MIN($C46,$E46,$G46,$I46)</f>
        <v>0</v>
      </c>
      <c r="L46" s="1">
        <f>MEDIAN($B46,$D46,$F46,$H46)</f>
        <v>0</v>
      </c>
      <c r="M46" s="1">
        <f>MEDIAN($C46,$E46,$G46,$I46)</f>
        <v>0</v>
      </c>
      <c r="N46" s="1">
        <f>MAX($B46,$D46,$F46,$H46)</f>
        <v>0</v>
      </c>
      <c r="O46" s="1">
        <f>MAX($C46,$E46,$G46,$I46)</f>
        <v>0</v>
      </c>
    </row>
    <row r="47" spans="1:15">
      <c r="A47" s="1" t="s">
        <v>44</v>
      </c>
      <c r="B47" s="1">
        <v>1200</v>
      </c>
      <c r="C47" s="2">
        <v>1</v>
      </c>
      <c r="D47" s="1">
        <v>1200</v>
      </c>
      <c r="E47" s="2">
        <v>1</v>
      </c>
      <c r="F47" s="1">
        <v>1200</v>
      </c>
      <c r="G47" s="2">
        <v>1</v>
      </c>
      <c r="H47" s="3">
        <v>14.8</v>
      </c>
      <c r="I47" s="5">
        <v>0</v>
      </c>
      <c r="J47" s="1">
        <f>MIN($B47,$D47,$F47,$H47)</f>
        <v>0</v>
      </c>
      <c r="K47" s="1">
        <f>MIN($C47,$E47,$G47,$I47)</f>
        <v>0</v>
      </c>
      <c r="L47" s="1">
        <f>MEDIAN($B47,$D47,$F47,$H47)</f>
        <v>0</v>
      </c>
      <c r="M47" s="1">
        <f>MEDIAN($C47,$E47,$G47,$I47)</f>
        <v>0</v>
      </c>
      <c r="N47" s="1">
        <f>MAX($B47,$D47,$F47,$H47)</f>
        <v>0</v>
      </c>
      <c r="O47" s="1">
        <f>MAX($C47,$E47,$G47,$I47)</f>
        <v>0</v>
      </c>
    </row>
    <row r="48" spans="1:15">
      <c r="A48" s="1" t="s">
        <v>45</v>
      </c>
      <c r="B48" s="1">
        <v>1200</v>
      </c>
      <c r="C48" s="2">
        <v>1</v>
      </c>
      <c r="D48" s="1">
        <v>1200</v>
      </c>
      <c r="E48" s="2">
        <v>1</v>
      </c>
      <c r="F48" s="1">
        <v>1200</v>
      </c>
      <c r="G48" s="2">
        <v>1</v>
      </c>
      <c r="H48" s="3">
        <v>14.75</v>
      </c>
      <c r="I48" s="5">
        <v>0</v>
      </c>
      <c r="J48" s="1">
        <f>MIN($B48,$D48,$F48,$H48)</f>
        <v>0</v>
      </c>
      <c r="K48" s="1">
        <f>MIN($C48,$E48,$G48,$I48)</f>
        <v>0</v>
      </c>
      <c r="L48" s="1">
        <f>MEDIAN($B48,$D48,$F48,$H48)</f>
        <v>0</v>
      </c>
      <c r="M48" s="1">
        <f>MEDIAN($C48,$E48,$G48,$I48)</f>
        <v>0</v>
      </c>
      <c r="N48" s="1">
        <f>MAX($B48,$D48,$F48,$H48)</f>
        <v>0</v>
      </c>
      <c r="O48" s="1">
        <f>MAX($C48,$E48,$G48,$I48)</f>
        <v>0</v>
      </c>
    </row>
    <row r="49" spans="1:15">
      <c r="A49" s="1" t="s">
        <v>46</v>
      </c>
      <c r="B49" s="1">
        <v>1200</v>
      </c>
      <c r="C49" s="2">
        <v>1</v>
      </c>
      <c r="D49" s="1">
        <v>1200</v>
      </c>
      <c r="E49" s="2">
        <v>1</v>
      </c>
      <c r="F49" s="1">
        <v>1200</v>
      </c>
      <c r="G49" s="2">
        <v>1</v>
      </c>
      <c r="H49" s="3">
        <v>11.37</v>
      </c>
      <c r="I49" s="5">
        <v>0</v>
      </c>
      <c r="J49" s="1">
        <f>MIN($B49,$D49,$F49,$H49)</f>
        <v>0</v>
      </c>
      <c r="K49" s="1">
        <f>MIN($C49,$E49,$G49,$I49)</f>
        <v>0</v>
      </c>
      <c r="L49" s="1">
        <f>MEDIAN($B49,$D49,$F49,$H49)</f>
        <v>0</v>
      </c>
      <c r="M49" s="1">
        <f>MEDIAN($C49,$E49,$G49,$I49)</f>
        <v>0</v>
      </c>
      <c r="N49" s="1">
        <f>MAX($B49,$D49,$F49,$H49)</f>
        <v>0</v>
      </c>
      <c r="O49" s="1">
        <f>MAX($C49,$E49,$G49,$I49)</f>
        <v>0</v>
      </c>
    </row>
    <row r="50" spans="1:15">
      <c r="A50" s="1" t="s">
        <v>47</v>
      </c>
      <c r="B50" s="1">
        <v>1200</v>
      </c>
      <c r="C50" s="2">
        <v>1</v>
      </c>
      <c r="D50" s="1">
        <v>1200</v>
      </c>
      <c r="E50" s="2">
        <v>1</v>
      </c>
      <c r="F50" s="1">
        <v>1200</v>
      </c>
      <c r="G50" s="2">
        <v>1</v>
      </c>
      <c r="H50" s="3">
        <v>15</v>
      </c>
      <c r="I50" s="5">
        <v>0</v>
      </c>
      <c r="J50" s="1">
        <f>MIN($B50,$D50,$F50,$H50)</f>
        <v>0</v>
      </c>
      <c r="K50" s="1">
        <f>MIN($C50,$E50,$G50,$I50)</f>
        <v>0</v>
      </c>
      <c r="L50" s="1">
        <f>MEDIAN($B50,$D50,$F50,$H50)</f>
        <v>0</v>
      </c>
      <c r="M50" s="1">
        <f>MEDIAN($C50,$E50,$G50,$I50)</f>
        <v>0</v>
      </c>
      <c r="N50" s="1">
        <f>MAX($B50,$D50,$F50,$H50)</f>
        <v>0</v>
      </c>
      <c r="O50" s="1">
        <f>MAX($C50,$E50,$G50,$I50)</f>
        <v>0</v>
      </c>
    </row>
    <row r="51" spans="1:15">
      <c r="A51" s="1" t="s">
        <v>48</v>
      </c>
      <c r="B51" s="1">
        <v>1200</v>
      </c>
      <c r="C51" s="2">
        <v>1</v>
      </c>
      <c r="D51" s="1">
        <v>1200</v>
      </c>
      <c r="E51" s="2">
        <v>1</v>
      </c>
      <c r="F51" s="1">
        <v>1200</v>
      </c>
      <c r="G51" s="2">
        <v>1</v>
      </c>
      <c r="H51" s="3">
        <v>11.21</v>
      </c>
      <c r="I51" s="5">
        <v>0</v>
      </c>
      <c r="J51" s="1">
        <f>MIN($B51,$D51,$F51,$H51)</f>
        <v>0</v>
      </c>
      <c r="K51" s="1">
        <f>MIN($C51,$E51,$G51,$I51)</f>
        <v>0</v>
      </c>
      <c r="L51" s="1">
        <f>MEDIAN($B51,$D51,$F51,$H51)</f>
        <v>0</v>
      </c>
      <c r="M51" s="1">
        <f>MEDIAN($C51,$E51,$G51,$I51)</f>
        <v>0</v>
      </c>
      <c r="N51" s="1">
        <f>MAX($B51,$D51,$F51,$H51)</f>
        <v>0</v>
      </c>
      <c r="O51" s="1">
        <f>MAX($C51,$E51,$G51,$I51)</f>
        <v>0</v>
      </c>
    </row>
    <row r="52" spans="1:15">
      <c r="A52" s="1" t="s">
        <v>49</v>
      </c>
      <c r="B52" s="1">
        <v>1200</v>
      </c>
      <c r="C52" s="2">
        <v>1</v>
      </c>
      <c r="D52" s="1">
        <v>1200</v>
      </c>
      <c r="E52" s="2">
        <v>1</v>
      </c>
      <c r="F52" s="1">
        <v>1200</v>
      </c>
      <c r="G52" s="2">
        <v>1</v>
      </c>
      <c r="H52" s="3">
        <v>5.86</v>
      </c>
      <c r="I52" s="5">
        <v>0</v>
      </c>
      <c r="J52" s="1">
        <f>MIN($B52,$D52,$F52,$H52)</f>
        <v>0</v>
      </c>
      <c r="K52" s="1">
        <f>MIN($C52,$E52,$G52,$I52)</f>
        <v>0</v>
      </c>
      <c r="L52" s="1">
        <f>MEDIAN($B52,$D52,$F52,$H52)</f>
        <v>0</v>
      </c>
      <c r="M52" s="1">
        <f>MEDIAN($C52,$E52,$G52,$I52)</f>
        <v>0</v>
      </c>
      <c r="N52" s="1">
        <f>MAX($B52,$D52,$F52,$H52)</f>
        <v>0</v>
      </c>
      <c r="O52" s="1">
        <f>MAX($C52,$E52,$G52,$I52)</f>
        <v>0</v>
      </c>
    </row>
    <row r="53" spans="1:15">
      <c r="A53" s="1" t="s">
        <v>50</v>
      </c>
      <c r="B53" s="1">
        <v>1200</v>
      </c>
      <c r="C53" s="2">
        <v>1</v>
      </c>
      <c r="D53" s="1">
        <v>1200</v>
      </c>
      <c r="E53" s="2">
        <v>1</v>
      </c>
      <c r="F53" s="1">
        <v>1200</v>
      </c>
      <c r="G53" s="2">
        <v>1</v>
      </c>
      <c r="H53" s="3">
        <v>5.01</v>
      </c>
      <c r="I53" s="5">
        <v>0</v>
      </c>
      <c r="J53" s="1">
        <f>MIN($B53,$D53,$F53,$H53)</f>
        <v>0</v>
      </c>
      <c r="K53" s="1">
        <f>MIN($C53,$E53,$G53,$I53)</f>
        <v>0</v>
      </c>
      <c r="L53" s="1">
        <f>MEDIAN($B53,$D53,$F53,$H53)</f>
        <v>0</v>
      </c>
      <c r="M53" s="1">
        <f>MEDIAN($C53,$E53,$G53,$I53)</f>
        <v>0</v>
      </c>
      <c r="N53" s="1">
        <f>MAX($B53,$D53,$F53,$H53)</f>
        <v>0</v>
      </c>
      <c r="O53" s="1">
        <f>MAX($C53,$E53,$G53,$I53)</f>
        <v>0</v>
      </c>
    </row>
    <row r="54" spans="1:15">
      <c r="A54" s="1" t="s">
        <v>51</v>
      </c>
      <c r="B54" s="1">
        <v>1200</v>
      </c>
      <c r="C54" s="2">
        <v>1</v>
      </c>
      <c r="D54" s="1">
        <v>1200</v>
      </c>
      <c r="E54" s="2">
        <v>1</v>
      </c>
      <c r="F54" s="1">
        <v>1200</v>
      </c>
      <c r="G54" s="2">
        <v>1</v>
      </c>
      <c r="H54" s="3">
        <v>6.38</v>
      </c>
      <c r="I54" s="5">
        <v>0</v>
      </c>
      <c r="J54" s="1">
        <f>MIN($B54,$D54,$F54,$H54)</f>
        <v>0</v>
      </c>
      <c r="K54" s="1">
        <f>MIN($C54,$E54,$G54,$I54)</f>
        <v>0</v>
      </c>
      <c r="L54" s="1">
        <f>MEDIAN($B54,$D54,$F54,$H54)</f>
        <v>0</v>
      </c>
      <c r="M54" s="1">
        <f>MEDIAN($C54,$E54,$G54,$I54)</f>
        <v>0</v>
      </c>
      <c r="N54" s="1">
        <f>MAX($B54,$D54,$F54,$H54)</f>
        <v>0</v>
      </c>
      <c r="O54" s="1">
        <f>MAX($C54,$E54,$G54,$I54)</f>
        <v>0</v>
      </c>
    </row>
    <row r="55" spans="1:15">
      <c r="A55" s="1" t="s">
        <v>52</v>
      </c>
      <c r="B55" s="1">
        <v>1200</v>
      </c>
      <c r="C55" s="2">
        <v>1</v>
      </c>
      <c r="D55" s="1">
        <v>1200</v>
      </c>
      <c r="E55" s="2">
        <v>1</v>
      </c>
      <c r="F55" s="1">
        <v>1200</v>
      </c>
      <c r="G55" s="2">
        <v>1</v>
      </c>
      <c r="H55" s="3">
        <v>4.91</v>
      </c>
      <c r="I55" s="5">
        <v>0</v>
      </c>
      <c r="J55" s="1">
        <f>MIN($B55,$D55,$F55,$H55)</f>
        <v>0</v>
      </c>
      <c r="K55" s="1">
        <f>MIN($C55,$E55,$G55,$I55)</f>
        <v>0</v>
      </c>
      <c r="L55" s="1">
        <f>MEDIAN($B55,$D55,$F55,$H55)</f>
        <v>0</v>
      </c>
      <c r="M55" s="1">
        <f>MEDIAN($C55,$E55,$G55,$I55)</f>
        <v>0</v>
      </c>
      <c r="N55" s="1">
        <f>MAX($B55,$D55,$F55,$H55)</f>
        <v>0</v>
      </c>
      <c r="O55" s="1">
        <f>MAX($C55,$E55,$G55,$I55)</f>
        <v>0</v>
      </c>
    </row>
    <row r="56" spans="1:15">
      <c r="A56" s="1" t="s">
        <v>53</v>
      </c>
      <c r="B56" s="1">
        <v>1200</v>
      </c>
      <c r="C56" s="2">
        <v>1</v>
      </c>
      <c r="D56" s="1">
        <v>1200</v>
      </c>
      <c r="E56" s="2">
        <v>1</v>
      </c>
      <c r="F56" s="1">
        <v>1200</v>
      </c>
      <c r="G56" s="2">
        <v>1</v>
      </c>
      <c r="H56" s="3">
        <v>6.18</v>
      </c>
      <c r="I56" s="5">
        <v>0</v>
      </c>
      <c r="J56" s="1">
        <f>MIN($B56,$D56,$F56,$H56)</f>
        <v>0</v>
      </c>
      <c r="K56" s="1">
        <f>MIN($C56,$E56,$G56,$I56)</f>
        <v>0</v>
      </c>
      <c r="L56" s="1">
        <f>MEDIAN($B56,$D56,$F56,$H56)</f>
        <v>0</v>
      </c>
      <c r="M56" s="1">
        <f>MEDIAN($C56,$E56,$G56,$I56)</f>
        <v>0</v>
      </c>
      <c r="N56" s="1">
        <f>MAX($B56,$D56,$F56,$H56)</f>
        <v>0</v>
      </c>
      <c r="O56" s="1">
        <f>MAX($C56,$E56,$G56,$I56)</f>
        <v>0</v>
      </c>
    </row>
    <row r="57" spans="1:15">
      <c r="A57" s="1" t="s">
        <v>54</v>
      </c>
      <c r="B57" s="1">
        <v>1200</v>
      </c>
      <c r="C57" s="2">
        <v>1</v>
      </c>
      <c r="D57" s="1">
        <v>1200</v>
      </c>
      <c r="E57" s="2">
        <v>1</v>
      </c>
      <c r="F57" s="1">
        <v>1200</v>
      </c>
      <c r="G57" s="2">
        <v>1</v>
      </c>
      <c r="H57" s="3">
        <v>6.25</v>
      </c>
      <c r="I57" s="5">
        <v>0</v>
      </c>
      <c r="J57" s="1">
        <f>MIN($B57,$D57,$F57,$H57)</f>
        <v>0</v>
      </c>
      <c r="K57" s="1">
        <f>MIN($C57,$E57,$G57,$I57)</f>
        <v>0</v>
      </c>
      <c r="L57" s="1">
        <f>MEDIAN($B57,$D57,$F57,$H57)</f>
        <v>0</v>
      </c>
      <c r="M57" s="1">
        <f>MEDIAN($C57,$E57,$G57,$I57)</f>
        <v>0</v>
      </c>
      <c r="N57" s="1">
        <f>MAX($B57,$D57,$F57,$H57)</f>
        <v>0</v>
      </c>
      <c r="O57" s="1">
        <f>MAX($C57,$E57,$G57,$I57)</f>
        <v>0</v>
      </c>
    </row>
    <row r="58" spans="1:15">
      <c r="A58" s="1" t="s">
        <v>55</v>
      </c>
      <c r="B58" s="1">
        <v>1200</v>
      </c>
      <c r="C58" s="2">
        <v>1</v>
      </c>
      <c r="D58" s="1">
        <v>1200</v>
      </c>
      <c r="E58" s="2">
        <v>1</v>
      </c>
      <c r="F58" s="1">
        <v>1200</v>
      </c>
      <c r="G58" s="2">
        <v>1</v>
      </c>
      <c r="H58" s="3">
        <v>5.85</v>
      </c>
      <c r="I58" s="5">
        <v>0</v>
      </c>
      <c r="J58" s="1">
        <f>MIN($B58,$D58,$F58,$H58)</f>
        <v>0</v>
      </c>
      <c r="K58" s="1">
        <f>MIN($C58,$E58,$G58,$I58)</f>
        <v>0</v>
      </c>
      <c r="L58" s="1">
        <f>MEDIAN($B58,$D58,$F58,$H58)</f>
        <v>0</v>
      </c>
      <c r="M58" s="1">
        <f>MEDIAN($C58,$E58,$G58,$I58)</f>
        <v>0</v>
      </c>
      <c r="N58" s="1">
        <f>MAX($B58,$D58,$F58,$H58)</f>
        <v>0</v>
      </c>
      <c r="O58" s="1">
        <f>MAX($C58,$E58,$G58,$I58)</f>
        <v>0</v>
      </c>
    </row>
    <row r="59" spans="1:15">
      <c r="A59" s="1" t="s">
        <v>56</v>
      </c>
      <c r="B59" s="1">
        <v>1200</v>
      </c>
      <c r="C59" s="2">
        <v>1</v>
      </c>
      <c r="D59" s="1">
        <v>1200</v>
      </c>
      <c r="E59" s="2">
        <v>1</v>
      </c>
      <c r="F59" s="1">
        <v>1200</v>
      </c>
      <c r="G59" s="2">
        <v>1</v>
      </c>
      <c r="H59" s="3">
        <v>5.71</v>
      </c>
      <c r="I59" s="5">
        <v>0</v>
      </c>
      <c r="J59" s="1">
        <f>MIN($B59,$D59,$F59,$H59)</f>
        <v>0</v>
      </c>
      <c r="K59" s="1">
        <f>MIN($C59,$E59,$G59,$I59)</f>
        <v>0</v>
      </c>
      <c r="L59" s="1">
        <f>MEDIAN($B59,$D59,$F59,$H59)</f>
        <v>0</v>
      </c>
      <c r="M59" s="1">
        <f>MEDIAN($C59,$E59,$G59,$I59)</f>
        <v>0</v>
      </c>
      <c r="N59" s="1">
        <f>MAX($B59,$D59,$F59,$H59)</f>
        <v>0</v>
      </c>
      <c r="O59" s="1">
        <f>MAX($C59,$E59,$G59,$I59)</f>
        <v>0</v>
      </c>
    </row>
    <row r="60" spans="1:15">
      <c r="A60" s="1" t="s">
        <v>57</v>
      </c>
      <c r="B60" s="1">
        <v>1200</v>
      </c>
      <c r="C60" s="2">
        <v>1</v>
      </c>
      <c r="D60" s="1">
        <v>1200</v>
      </c>
      <c r="E60" s="2">
        <v>1</v>
      </c>
      <c r="F60" s="1">
        <v>1200</v>
      </c>
      <c r="G60" s="2">
        <v>1</v>
      </c>
      <c r="H60" s="3">
        <v>5.9</v>
      </c>
      <c r="I60" s="5">
        <v>0</v>
      </c>
      <c r="J60" s="1">
        <f>MIN($B60,$D60,$F60,$H60)</f>
        <v>0</v>
      </c>
      <c r="K60" s="1">
        <f>MIN($C60,$E60,$G60,$I60)</f>
        <v>0</v>
      </c>
      <c r="L60" s="1">
        <f>MEDIAN($B60,$D60,$F60,$H60)</f>
        <v>0</v>
      </c>
      <c r="M60" s="1">
        <f>MEDIAN($C60,$E60,$G60,$I60)</f>
        <v>0</v>
      </c>
      <c r="N60" s="1">
        <f>MAX($B60,$D60,$F60,$H60)</f>
        <v>0</v>
      </c>
      <c r="O60" s="1">
        <f>MAX($C60,$E60,$G60,$I60)</f>
        <v>0</v>
      </c>
    </row>
    <row r="61" spans="1:15">
      <c r="A61" s="1" t="s">
        <v>58</v>
      </c>
      <c r="B61" s="1">
        <v>1200</v>
      </c>
      <c r="C61" s="2">
        <v>1</v>
      </c>
      <c r="D61" s="1">
        <v>1200</v>
      </c>
      <c r="E61" s="2">
        <v>1</v>
      </c>
      <c r="F61" s="1">
        <v>1200</v>
      </c>
      <c r="G61" s="2">
        <v>1</v>
      </c>
      <c r="H61" s="3">
        <v>5.16</v>
      </c>
      <c r="I61" s="5">
        <v>0</v>
      </c>
      <c r="J61" s="1">
        <f>MIN($B61,$D61,$F61,$H61)</f>
        <v>0</v>
      </c>
      <c r="K61" s="1">
        <f>MIN($C61,$E61,$G61,$I61)</f>
        <v>0</v>
      </c>
      <c r="L61" s="1">
        <f>MEDIAN($B61,$D61,$F61,$H61)</f>
        <v>0</v>
      </c>
      <c r="M61" s="1">
        <f>MEDIAN($C61,$E61,$G61,$I61)</f>
        <v>0</v>
      </c>
      <c r="N61" s="1">
        <f>MAX($B61,$D61,$F61,$H61)</f>
        <v>0</v>
      </c>
      <c r="O61" s="1">
        <f>MAX($C61,$E61,$G61,$I61)</f>
        <v>0</v>
      </c>
    </row>
    <row r="62" spans="1:15">
      <c r="A62" s="1" t="s">
        <v>59</v>
      </c>
      <c r="B62" s="1">
        <v>27.94</v>
      </c>
      <c r="C62" s="2">
        <v>0</v>
      </c>
      <c r="D62" s="4">
        <v>50.28</v>
      </c>
      <c r="E62" s="2">
        <v>0</v>
      </c>
      <c r="F62" s="3">
        <v>23.97</v>
      </c>
      <c r="G62" s="2">
        <v>0</v>
      </c>
      <c r="H62" s="1"/>
      <c r="I62" s="2"/>
      <c r="J62" s="1">
        <f>MIN($B62,$D62,$F62,$H62)</f>
        <v>0</v>
      </c>
      <c r="K62" s="1">
        <f>MIN($C62,$E62,$G62,$I62)</f>
        <v>0</v>
      </c>
      <c r="L62" s="1">
        <f>MEDIAN($B62,$D62,$F62,$H62)</f>
        <v>0</v>
      </c>
      <c r="M62" s="1">
        <f>MEDIAN($C62,$E62,$G62,$I62)</f>
        <v>0</v>
      </c>
      <c r="N62" s="1">
        <f>MAX($B62,$D62,$F62,$H62)</f>
        <v>0</v>
      </c>
      <c r="O62" s="1">
        <f>MAX($C62,$E62,$G62,$I62)</f>
        <v>0</v>
      </c>
    </row>
    <row r="63" spans="1:15">
      <c r="A63" s="1" t="s">
        <v>60</v>
      </c>
      <c r="B63" s="1">
        <v>27.38</v>
      </c>
      <c r="C63" s="2">
        <v>0</v>
      </c>
      <c r="D63" s="4">
        <v>67.12</v>
      </c>
      <c r="E63" s="2">
        <v>0</v>
      </c>
      <c r="F63" s="3">
        <v>22.46</v>
      </c>
      <c r="G63" s="2">
        <v>0</v>
      </c>
      <c r="H63" s="1"/>
      <c r="I63" s="2"/>
      <c r="J63" s="1">
        <f>MIN($B63,$D63,$F63,$H63)</f>
        <v>0</v>
      </c>
      <c r="K63" s="1">
        <f>MIN($C63,$E63,$G63,$I63)</f>
        <v>0</v>
      </c>
      <c r="L63" s="1">
        <f>MEDIAN($B63,$D63,$F63,$H63)</f>
        <v>0</v>
      </c>
      <c r="M63" s="1">
        <f>MEDIAN($C63,$E63,$G63,$I63)</f>
        <v>0</v>
      </c>
      <c r="N63" s="1">
        <f>MAX($B63,$D63,$F63,$H63)</f>
        <v>0</v>
      </c>
      <c r="O63" s="1">
        <f>MAX($C63,$E63,$G63,$I63)</f>
        <v>0</v>
      </c>
    </row>
    <row r="64" spans="1:15">
      <c r="A64" s="1" t="s">
        <v>61</v>
      </c>
      <c r="B64" s="1">
        <v>28.58</v>
      </c>
      <c r="C64" s="2">
        <v>0</v>
      </c>
      <c r="D64" s="4">
        <v>54.51</v>
      </c>
      <c r="E64" s="2">
        <v>0</v>
      </c>
      <c r="F64" s="3">
        <v>20.04</v>
      </c>
      <c r="G64" s="2">
        <v>0</v>
      </c>
      <c r="H64" s="1"/>
      <c r="I64" s="2"/>
      <c r="J64" s="1">
        <f>MIN($B64,$D64,$F64,$H64)</f>
        <v>0</v>
      </c>
      <c r="K64" s="1">
        <f>MIN($C64,$E64,$G64,$I64)</f>
        <v>0</v>
      </c>
      <c r="L64" s="1">
        <f>MEDIAN($B64,$D64,$F64,$H64)</f>
        <v>0</v>
      </c>
      <c r="M64" s="1">
        <f>MEDIAN($C64,$E64,$G64,$I64)</f>
        <v>0</v>
      </c>
      <c r="N64" s="1">
        <f>MAX($B64,$D64,$F64,$H64)</f>
        <v>0</v>
      </c>
      <c r="O64" s="1">
        <f>MAX($C64,$E64,$G64,$I64)</f>
        <v>0</v>
      </c>
    </row>
    <row r="65" spans="1:15">
      <c r="A65" s="1" t="s">
        <v>62</v>
      </c>
      <c r="B65" s="1">
        <v>29.47</v>
      </c>
      <c r="C65" s="2">
        <v>0</v>
      </c>
      <c r="D65" s="4">
        <v>33.58</v>
      </c>
      <c r="E65" s="2">
        <v>0</v>
      </c>
      <c r="F65" s="3">
        <v>24.24</v>
      </c>
      <c r="G65" s="2">
        <v>0</v>
      </c>
      <c r="H65" s="1"/>
      <c r="I65" s="2"/>
      <c r="J65" s="1">
        <f>MIN($B65,$D65,$F65,$H65)</f>
        <v>0</v>
      </c>
      <c r="K65" s="1">
        <f>MIN($C65,$E65,$G65,$I65)</f>
        <v>0</v>
      </c>
      <c r="L65" s="1">
        <f>MEDIAN($B65,$D65,$F65,$H65)</f>
        <v>0</v>
      </c>
      <c r="M65" s="1">
        <f>MEDIAN($C65,$E65,$G65,$I65)</f>
        <v>0</v>
      </c>
      <c r="N65" s="1">
        <f>MAX($B65,$D65,$F65,$H65)</f>
        <v>0</v>
      </c>
      <c r="O65" s="1">
        <f>MAX($C65,$E65,$G65,$I65)</f>
        <v>0</v>
      </c>
    </row>
    <row r="66" spans="1:15">
      <c r="A66" s="1" t="s">
        <v>63</v>
      </c>
      <c r="B66" s="1">
        <v>79.59</v>
      </c>
      <c r="C66" s="2">
        <v>0</v>
      </c>
      <c r="D66" s="4">
        <v>139.5</v>
      </c>
      <c r="E66" s="2">
        <v>0</v>
      </c>
      <c r="F66" s="3">
        <v>70.7</v>
      </c>
      <c r="G66" s="2">
        <v>0</v>
      </c>
      <c r="H66" s="1"/>
      <c r="I66" s="2"/>
      <c r="J66" s="1">
        <f>MIN($B66,$D66,$F66,$H66)</f>
        <v>0</v>
      </c>
      <c r="K66" s="1">
        <f>MIN($C66,$E66,$G66,$I66)</f>
        <v>0</v>
      </c>
      <c r="L66" s="1">
        <f>MEDIAN($B66,$D66,$F66,$H66)</f>
        <v>0</v>
      </c>
      <c r="M66" s="1">
        <f>MEDIAN($C66,$E66,$G66,$I66)</f>
        <v>0</v>
      </c>
      <c r="N66" s="1">
        <f>MAX($B66,$D66,$F66,$H66)</f>
        <v>0</v>
      </c>
      <c r="O66" s="1">
        <f>MAX($C66,$E66,$G66,$I66)</f>
        <v>0</v>
      </c>
    </row>
    <row r="67" spans="1:15">
      <c r="A67" s="1" t="s">
        <v>64</v>
      </c>
      <c r="B67" s="1">
        <v>79.43000000000001</v>
      </c>
      <c r="C67" s="2">
        <v>0</v>
      </c>
      <c r="D67" s="4">
        <v>95.03</v>
      </c>
      <c r="E67" s="2">
        <v>0</v>
      </c>
      <c r="F67" s="3">
        <v>72.95</v>
      </c>
      <c r="G67" s="2">
        <v>0</v>
      </c>
      <c r="H67" s="1"/>
      <c r="I67" s="2"/>
      <c r="J67" s="1">
        <f>MIN($B67,$D67,$F67,$H67)</f>
        <v>0</v>
      </c>
      <c r="K67" s="1">
        <f>MIN($C67,$E67,$G67,$I67)</f>
        <v>0</v>
      </c>
      <c r="L67" s="1">
        <f>MEDIAN($B67,$D67,$F67,$H67)</f>
        <v>0</v>
      </c>
      <c r="M67" s="1">
        <f>MEDIAN($C67,$E67,$G67,$I67)</f>
        <v>0</v>
      </c>
      <c r="N67" s="1">
        <f>MAX($B67,$D67,$F67,$H67)</f>
        <v>0</v>
      </c>
      <c r="O67" s="1">
        <f>MAX($C67,$E67,$G67,$I67)</f>
        <v>0</v>
      </c>
    </row>
    <row r="68" spans="1:15">
      <c r="A68" s="1" t="s">
        <v>65</v>
      </c>
      <c r="B68" s="1">
        <v>79.58</v>
      </c>
      <c r="C68" s="2">
        <v>0</v>
      </c>
      <c r="D68" s="4">
        <v>145.62</v>
      </c>
      <c r="E68" s="2">
        <v>0</v>
      </c>
      <c r="F68" s="3">
        <v>70.47</v>
      </c>
      <c r="G68" s="2">
        <v>0</v>
      </c>
      <c r="H68" s="1"/>
      <c r="I68" s="2"/>
      <c r="J68" s="1">
        <f>MIN($B68,$D68,$F68,$H68)</f>
        <v>0</v>
      </c>
      <c r="K68" s="1">
        <f>MIN($C68,$E68,$G68,$I68)</f>
        <v>0</v>
      </c>
      <c r="L68" s="1">
        <f>MEDIAN($B68,$D68,$F68,$H68)</f>
        <v>0</v>
      </c>
      <c r="M68" s="1">
        <f>MEDIAN($C68,$E68,$G68,$I68)</f>
        <v>0</v>
      </c>
      <c r="N68" s="1">
        <f>MAX($B68,$D68,$F68,$H68)</f>
        <v>0</v>
      </c>
      <c r="O68" s="1">
        <f>MAX($C68,$E68,$G68,$I68)</f>
        <v>0</v>
      </c>
    </row>
    <row r="69" spans="1:15">
      <c r="A69" s="1" t="s">
        <v>66</v>
      </c>
      <c r="B69" s="1">
        <v>100.03</v>
      </c>
      <c r="C69" s="2">
        <v>0</v>
      </c>
      <c r="D69" s="4">
        <v>150.95</v>
      </c>
      <c r="E69" s="2">
        <v>0</v>
      </c>
      <c r="F69" s="3">
        <v>71.19</v>
      </c>
      <c r="G69" s="2">
        <v>0</v>
      </c>
      <c r="H69" s="1"/>
      <c r="I69" s="2"/>
      <c r="J69" s="1">
        <f>MIN($B69,$D69,$F69,$H69)</f>
        <v>0</v>
      </c>
      <c r="K69" s="1">
        <f>MIN($C69,$E69,$G69,$I69)</f>
        <v>0</v>
      </c>
      <c r="L69" s="1">
        <f>MEDIAN($B69,$D69,$F69,$H69)</f>
        <v>0</v>
      </c>
      <c r="M69" s="1">
        <f>MEDIAN($C69,$E69,$G69,$I69)</f>
        <v>0</v>
      </c>
      <c r="N69" s="1">
        <f>MAX($B69,$D69,$F69,$H69)</f>
        <v>0</v>
      </c>
      <c r="O69" s="1">
        <f>MAX($C69,$E69,$G69,$I69)</f>
        <v>0</v>
      </c>
    </row>
    <row r="70" spans="1:15">
      <c r="A70" s="1" t="s">
        <v>67</v>
      </c>
      <c r="B70" s="1">
        <v>260.15</v>
      </c>
      <c r="C70" s="2">
        <v>0</v>
      </c>
      <c r="D70" s="4">
        <v>523.71</v>
      </c>
      <c r="E70" s="2">
        <v>0</v>
      </c>
      <c r="F70" s="3">
        <v>221.35</v>
      </c>
      <c r="G70" s="2">
        <v>0</v>
      </c>
      <c r="H70" s="1"/>
      <c r="I70" s="2"/>
      <c r="J70" s="1">
        <f>MIN($B70,$D70,$F70,$H70)</f>
        <v>0</v>
      </c>
      <c r="K70" s="1">
        <f>MIN($C70,$E70,$G70,$I70)</f>
        <v>0</v>
      </c>
      <c r="L70" s="1">
        <f>MEDIAN($B70,$D70,$F70,$H70)</f>
        <v>0</v>
      </c>
      <c r="M70" s="1">
        <f>MEDIAN($C70,$E70,$G70,$I70)</f>
        <v>0</v>
      </c>
      <c r="N70" s="1">
        <f>MAX($B70,$D70,$F70,$H70)</f>
        <v>0</v>
      </c>
      <c r="O70" s="1">
        <f>MAX($C70,$E70,$G70,$I70)</f>
        <v>0</v>
      </c>
    </row>
    <row r="71" spans="1:15">
      <c r="A71" s="1" t="s">
        <v>68</v>
      </c>
      <c r="B71" s="1">
        <v>314.05</v>
      </c>
      <c r="C71" s="2">
        <v>0</v>
      </c>
      <c r="D71" s="4">
        <v>452.05</v>
      </c>
      <c r="E71" s="2">
        <v>0</v>
      </c>
      <c r="F71" s="3">
        <v>220.11</v>
      </c>
      <c r="G71" s="2">
        <v>0</v>
      </c>
      <c r="H71" s="1"/>
      <c r="I71" s="2"/>
      <c r="J71" s="1">
        <f>MIN($B71,$D71,$F71,$H71)</f>
        <v>0</v>
      </c>
      <c r="K71" s="1">
        <f>MIN($C71,$E71,$G71,$I71)</f>
        <v>0</v>
      </c>
      <c r="L71" s="1">
        <f>MEDIAN($B71,$D71,$F71,$H71)</f>
        <v>0</v>
      </c>
      <c r="M71" s="1">
        <f>MEDIAN($C71,$E71,$G71,$I71)</f>
        <v>0</v>
      </c>
      <c r="N71" s="1">
        <f>MAX($B71,$D71,$F71,$H71)</f>
        <v>0</v>
      </c>
      <c r="O71" s="1">
        <f>MAX($C71,$E71,$G71,$I71)</f>
        <v>0</v>
      </c>
    </row>
    <row r="72" spans="1:15">
      <c r="A72" s="1" t="s">
        <v>69</v>
      </c>
      <c r="B72" s="1">
        <v>300.11</v>
      </c>
      <c r="C72" s="2">
        <v>0</v>
      </c>
      <c r="D72" s="4">
        <v>360.3</v>
      </c>
      <c r="E72" s="2">
        <v>0</v>
      </c>
      <c r="F72" s="3">
        <v>224.17</v>
      </c>
      <c r="G72" s="2">
        <v>0</v>
      </c>
      <c r="H72" s="1"/>
      <c r="I72" s="2"/>
      <c r="J72" s="1">
        <f>MIN($B72,$D72,$F72,$H72)</f>
        <v>0</v>
      </c>
      <c r="K72" s="1">
        <f>MIN($C72,$E72,$G72,$I72)</f>
        <v>0</v>
      </c>
      <c r="L72" s="1">
        <f>MEDIAN($B72,$D72,$F72,$H72)</f>
        <v>0</v>
      </c>
      <c r="M72" s="1">
        <f>MEDIAN($C72,$E72,$G72,$I72)</f>
        <v>0</v>
      </c>
      <c r="N72" s="1">
        <f>MAX($B72,$D72,$F72,$H72)</f>
        <v>0</v>
      </c>
      <c r="O72" s="1">
        <f>MAX($C72,$E72,$G72,$I72)</f>
        <v>0</v>
      </c>
    </row>
    <row r="73" spans="1:15">
      <c r="A73" s="1" t="s">
        <v>70</v>
      </c>
      <c r="B73" s="1">
        <v>312.87</v>
      </c>
      <c r="C73" s="2">
        <v>0</v>
      </c>
      <c r="D73" s="4">
        <v>426.02</v>
      </c>
      <c r="E73" s="2">
        <v>0</v>
      </c>
      <c r="F73" s="3">
        <v>223.28</v>
      </c>
      <c r="G73" s="2">
        <v>0</v>
      </c>
      <c r="H73" s="1"/>
      <c r="I73" s="2"/>
      <c r="J73" s="1">
        <f>MIN($B73,$D73,$F73,$H73)</f>
        <v>0</v>
      </c>
      <c r="K73" s="1">
        <f>MIN($C73,$E73,$G73,$I73)</f>
        <v>0</v>
      </c>
      <c r="L73" s="1">
        <f>MEDIAN($B73,$D73,$F73,$H73)</f>
        <v>0</v>
      </c>
      <c r="M73" s="1">
        <f>MEDIAN($C73,$E73,$G73,$I73)</f>
        <v>0</v>
      </c>
      <c r="N73" s="1">
        <f>MAX($B73,$D73,$F73,$H73)</f>
        <v>0</v>
      </c>
      <c r="O73" s="1">
        <f>MAX($C73,$E73,$G73,$I73)</f>
        <v>0</v>
      </c>
    </row>
    <row r="74" spans="1:15">
      <c r="A74" s="1" t="s">
        <v>71</v>
      </c>
      <c r="B74" s="1">
        <v>4.15</v>
      </c>
      <c r="C74" s="2">
        <v>0</v>
      </c>
      <c r="D74" s="1">
        <v>5.68</v>
      </c>
      <c r="E74" s="2">
        <v>0</v>
      </c>
      <c r="F74" s="3">
        <v>3.2</v>
      </c>
      <c r="G74" s="2">
        <v>0</v>
      </c>
      <c r="H74" s="1"/>
      <c r="I74" s="2"/>
      <c r="J74" s="1">
        <f>MIN($B74,$D74,$F74,$H74)</f>
        <v>0</v>
      </c>
      <c r="K74" s="1">
        <f>MIN($C74,$E74,$G74,$I74)</f>
        <v>0</v>
      </c>
      <c r="L74" s="1">
        <f>MEDIAN($B74,$D74,$F74,$H74)</f>
        <v>0</v>
      </c>
      <c r="M74" s="1">
        <f>MEDIAN($C74,$E74,$G74,$I74)</f>
        <v>0</v>
      </c>
      <c r="N74" s="1">
        <f>MAX($B74,$D74,$F74,$H74)</f>
        <v>0</v>
      </c>
      <c r="O74" s="1">
        <f>MAX($C74,$E74,$G74,$I74)</f>
        <v>0</v>
      </c>
    </row>
    <row r="75" spans="1:15">
      <c r="A75" s="1" t="s">
        <v>72</v>
      </c>
      <c r="B75" s="1">
        <v>3.94</v>
      </c>
      <c r="C75" s="2">
        <v>0</v>
      </c>
      <c r="D75" s="1">
        <v>5.24</v>
      </c>
      <c r="E75" s="2">
        <v>0</v>
      </c>
      <c r="F75" s="3">
        <v>3.23</v>
      </c>
      <c r="G75" s="2">
        <v>0</v>
      </c>
      <c r="H75" s="1"/>
      <c r="I75" s="2"/>
      <c r="J75" s="1">
        <f>MIN($B75,$D75,$F75,$H75)</f>
        <v>0</v>
      </c>
      <c r="K75" s="1">
        <f>MIN($C75,$E75,$G75,$I75)</f>
        <v>0</v>
      </c>
      <c r="L75" s="1">
        <f>MEDIAN($B75,$D75,$F75,$H75)</f>
        <v>0</v>
      </c>
      <c r="M75" s="1">
        <f>MEDIAN($C75,$E75,$G75,$I75)</f>
        <v>0</v>
      </c>
      <c r="N75" s="1">
        <f>MAX($B75,$D75,$F75,$H75)</f>
        <v>0</v>
      </c>
      <c r="O75" s="1">
        <f>MAX($C75,$E75,$G75,$I75)</f>
        <v>0</v>
      </c>
    </row>
    <row r="76" spans="1:15">
      <c r="A76" s="1" t="s">
        <v>73</v>
      </c>
      <c r="B76" s="1">
        <v>3.76</v>
      </c>
      <c r="C76" s="2">
        <v>0</v>
      </c>
      <c r="D76" s="1">
        <v>5.27</v>
      </c>
      <c r="E76" s="2">
        <v>0</v>
      </c>
      <c r="F76" s="1">
        <v>3.65</v>
      </c>
      <c r="G76" s="2">
        <v>0</v>
      </c>
      <c r="H76" s="1"/>
      <c r="I76" s="2"/>
      <c r="J76" s="1">
        <f>MIN($B76,$D76,$F76,$H76)</f>
        <v>0</v>
      </c>
      <c r="K76" s="1">
        <f>MIN($C76,$E76,$G76,$I76)</f>
        <v>0</v>
      </c>
      <c r="L76" s="1">
        <f>MEDIAN($B76,$D76,$F76,$H76)</f>
        <v>0</v>
      </c>
      <c r="M76" s="1">
        <f>MEDIAN($C76,$E76,$G76,$I76)</f>
        <v>0</v>
      </c>
      <c r="N76" s="1">
        <f>MAX($B76,$D76,$F76,$H76)</f>
        <v>0</v>
      </c>
      <c r="O76" s="1">
        <f>MAX($C76,$E76,$G76,$I76)</f>
        <v>0</v>
      </c>
    </row>
    <row r="77" spans="1:15">
      <c r="A77" s="1" t="s">
        <v>74</v>
      </c>
      <c r="B77" s="1">
        <v>3.77</v>
      </c>
      <c r="C77" s="2">
        <v>0</v>
      </c>
      <c r="D77" s="4">
        <v>5.83</v>
      </c>
      <c r="E77" s="2">
        <v>0</v>
      </c>
      <c r="F77" s="3">
        <v>3.13</v>
      </c>
      <c r="G77" s="2">
        <v>0</v>
      </c>
      <c r="H77" s="1"/>
      <c r="I77" s="2"/>
      <c r="J77" s="1">
        <f>MIN($B77,$D77,$F77,$H77)</f>
        <v>0</v>
      </c>
      <c r="K77" s="1">
        <f>MIN($C77,$E77,$G77,$I77)</f>
        <v>0</v>
      </c>
      <c r="L77" s="1">
        <f>MEDIAN($B77,$D77,$F77,$H77)</f>
        <v>0</v>
      </c>
      <c r="M77" s="1">
        <f>MEDIAN($C77,$E77,$G77,$I77)</f>
        <v>0</v>
      </c>
      <c r="N77" s="1">
        <f>MAX($B77,$D77,$F77,$H77)</f>
        <v>0</v>
      </c>
      <c r="O77" s="1">
        <f>MAX($C77,$E77,$G77,$I77)</f>
        <v>0</v>
      </c>
    </row>
    <row r="78" spans="1:15">
      <c r="A78" s="1" t="s">
        <v>75</v>
      </c>
      <c r="B78" s="1">
        <v>8.4</v>
      </c>
      <c r="C78" s="2">
        <v>0</v>
      </c>
      <c r="D78" s="4">
        <v>18.27</v>
      </c>
      <c r="E78" s="2">
        <v>0</v>
      </c>
      <c r="F78" s="3">
        <v>6.48</v>
      </c>
      <c r="G78" s="2">
        <v>0</v>
      </c>
      <c r="H78" s="1"/>
      <c r="I78" s="2"/>
      <c r="J78" s="1">
        <f>MIN($B78,$D78,$F78,$H78)</f>
        <v>0</v>
      </c>
      <c r="K78" s="1">
        <f>MIN($C78,$E78,$G78,$I78)</f>
        <v>0</v>
      </c>
      <c r="L78" s="1">
        <f>MEDIAN($B78,$D78,$F78,$H78)</f>
        <v>0</v>
      </c>
      <c r="M78" s="1">
        <f>MEDIAN($C78,$E78,$G78,$I78)</f>
        <v>0</v>
      </c>
      <c r="N78" s="1">
        <f>MAX($B78,$D78,$F78,$H78)</f>
        <v>0</v>
      </c>
      <c r="O78" s="1">
        <f>MAX($C78,$E78,$G78,$I78)</f>
        <v>0</v>
      </c>
    </row>
    <row r="79" spans="1:15">
      <c r="A79" s="1" t="s">
        <v>76</v>
      </c>
      <c r="B79" s="3">
        <v>8.48</v>
      </c>
      <c r="C79" s="2">
        <v>0</v>
      </c>
      <c r="D79" s="4">
        <v>13.48</v>
      </c>
      <c r="E79" s="2">
        <v>0</v>
      </c>
      <c r="F79" s="1">
        <v>8.6</v>
      </c>
      <c r="G79" s="2">
        <v>0</v>
      </c>
      <c r="H79" s="1"/>
      <c r="I79" s="2"/>
      <c r="J79" s="1">
        <f>MIN($B79,$D79,$F79,$H79)</f>
        <v>0</v>
      </c>
      <c r="K79" s="1">
        <f>MIN($C79,$E79,$G79,$I79)</f>
        <v>0</v>
      </c>
      <c r="L79" s="1">
        <f>MEDIAN($B79,$D79,$F79,$H79)</f>
        <v>0</v>
      </c>
      <c r="M79" s="1">
        <f>MEDIAN($C79,$E79,$G79,$I79)</f>
        <v>0</v>
      </c>
      <c r="N79" s="1">
        <f>MAX($B79,$D79,$F79,$H79)</f>
        <v>0</v>
      </c>
      <c r="O79" s="1">
        <f>MAX($C79,$E79,$G79,$I79)</f>
        <v>0</v>
      </c>
    </row>
    <row r="80" spans="1:15">
      <c r="A80" s="1" t="s">
        <v>77</v>
      </c>
      <c r="B80" s="1">
        <v>8.77</v>
      </c>
      <c r="C80" s="2">
        <v>0</v>
      </c>
      <c r="D80" s="1">
        <v>9.970000000000001</v>
      </c>
      <c r="E80" s="2">
        <v>0</v>
      </c>
      <c r="F80" s="3">
        <v>6.45</v>
      </c>
      <c r="G80" s="2">
        <v>0</v>
      </c>
      <c r="H80" s="1"/>
      <c r="I80" s="2"/>
      <c r="J80" s="1">
        <f>MIN($B80,$D80,$F80,$H80)</f>
        <v>0</v>
      </c>
      <c r="K80" s="1">
        <f>MIN($C80,$E80,$G80,$I80)</f>
        <v>0</v>
      </c>
      <c r="L80" s="1">
        <f>MEDIAN($B80,$D80,$F80,$H80)</f>
        <v>0</v>
      </c>
      <c r="M80" s="1">
        <f>MEDIAN($C80,$E80,$G80,$I80)</f>
        <v>0</v>
      </c>
      <c r="N80" s="1">
        <f>MAX($B80,$D80,$F80,$H80)</f>
        <v>0</v>
      </c>
      <c r="O80" s="1">
        <f>MAX($C80,$E80,$G80,$I80)</f>
        <v>0</v>
      </c>
    </row>
    <row r="81" spans="1:15">
      <c r="A81" s="1" t="s">
        <v>78</v>
      </c>
      <c r="B81" s="1">
        <v>8.16</v>
      </c>
      <c r="C81" s="2">
        <v>0</v>
      </c>
      <c r="D81" s="4">
        <v>17.59</v>
      </c>
      <c r="E81" s="2">
        <v>0</v>
      </c>
      <c r="F81" s="3">
        <v>6.76</v>
      </c>
      <c r="G81" s="2">
        <v>0</v>
      </c>
      <c r="H81" s="1"/>
      <c r="I81" s="2"/>
      <c r="J81" s="1">
        <f>MIN($B81,$D81,$F81,$H81)</f>
        <v>0</v>
      </c>
      <c r="K81" s="1">
        <f>MIN($C81,$E81,$G81,$I81)</f>
        <v>0</v>
      </c>
      <c r="L81" s="1">
        <f>MEDIAN($B81,$D81,$F81,$H81)</f>
        <v>0</v>
      </c>
      <c r="M81" s="1">
        <f>MEDIAN($C81,$E81,$G81,$I81)</f>
        <v>0</v>
      </c>
      <c r="N81" s="1">
        <f>MAX($B81,$D81,$F81,$H81)</f>
        <v>0</v>
      </c>
      <c r="O81" s="1">
        <f>MAX($C81,$E81,$G81,$I81)</f>
        <v>0</v>
      </c>
    </row>
    <row r="82" spans="1:15">
      <c r="A82" s="1"/>
      <c r="B82" s="1"/>
      <c r="C82" s="2"/>
      <c r="D82" s="1"/>
      <c r="E82" s="2"/>
      <c r="F82" s="1"/>
      <c r="G82" s="2"/>
      <c r="H82" s="1"/>
      <c r="I82" s="2"/>
      <c r="J82" s="1"/>
      <c r="K82" s="1"/>
      <c r="L82" s="1"/>
      <c r="M82" s="1"/>
      <c r="N82" s="1"/>
      <c r="O82" s="1"/>
    </row>
    <row r="83" spans="1:15">
      <c r="A83" s="1" t="s">
        <v>79</v>
      </c>
      <c r="B83" s="1">
        <f>SUM(B$3:B$81)</f>
        <v>0</v>
      </c>
      <c r="C83" s="1">
        <f>SUM(C$3:C$81)</f>
        <v>0</v>
      </c>
      <c r="D83" s="4">
        <f>SUM(D$3:D$81)</f>
        <v>0</v>
      </c>
      <c r="E83" s="1">
        <f>SUM(E$3:E$81)</f>
        <v>0</v>
      </c>
      <c r="F83" s="1">
        <f>SUM(F$3:F$81)</f>
        <v>0</v>
      </c>
      <c r="G83" s="1">
        <f>SUM(G$3:G$81)</f>
        <v>0</v>
      </c>
      <c r="H83" s="3">
        <f>SUM(H$3:H$81)</f>
        <v>0</v>
      </c>
      <c r="I83" s="3">
        <f>SUM(I$3:I$81)</f>
        <v>0</v>
      </c>
      <c r="J83" s="1">
        <f>SUM(J$3:J$81)</f>
        <v>0</v>
      </c>
      <c r="K83" s="1">
        <f>SUM(K$3:K$81)</f>
        <v>0</v>
      </c>
      <c r="L83" s="1">
        <f>SUM(L$3:L$81)</f>
        <v>0</v>
      </c>
      <c r="M83" s="1">
        <f>SUM(M$3:M$81)</f>
        <v>0</v>
      </c>
      <c r="N83" s="1">
        <f>SUM(N$3:N$81)</f>
        <v>0</v>
      </c>
      <c r="O83" s="1">
        <f>SUM(O$3:O$81)</f>
        <v>0</v>
      </c>
    </row>
    <row r="84" spans="1:15">
      <c r="A84" s="1" t="s">
        <v>80</v>
      </c>
      <c r="B84" s="1">
        <f>AVERAGE(B$3:B$81)</f>
        <v>0</v>
      </c>
      <c r="C84" s="1">
        <f>AVERAGE(C$3:C$81)</f>
        <v>0</v>
      </c>
      <c r="D84" s="4">
        <f>AVERAGE(D$3:D$81)</f>
        <v>0</v>
      </c>
      <c r="E84" s="1">
        <f>AVERAGE(E$3:E$81)</f>
        <v>0</v>
      </c>
      <c r="F84" s="1">
        <f>AVERAGE(F$3:F$81)</f>
        <v>0</v>
      </c>
      <c r="G84" s="1">
        <f>AVERAGE(G$3:G$81)</f>
        <v>0</v>
      </c>
      <c r="H84" s="3">
        <f>AVERAGE(H$3:H$81)</f>
        <v>0</v>
      </c>
      <c r="I84" s="3">
        <f>AVERAGE(I$3:I$81)</f>
        <v>0</v>
      </c>
      <c r="J84" s="1">
        <f>AVERAGE(J$3:J$81)</f>
        <v>0</v>
      </c>
      <c r="K84" s="1">
        <f>AVERAGE(K$3:K$81)</f>
        <v>0</v>
      </c>
      <c r="L84" s="1">
        <f>AVERAGE(L$3:L$81)</f>
        <v>0</v>
      </c>
      <c r="M84" s="1">
        <f>AVERAGE(M$3:M$81)</f>
        <v>0</v>
      </c>
      <c r="N84" s="1">
        <f>AVERAGE(N$3:N$81)</f>
        <v>0</v>
      </c>
      <c r="O84" s="1">
        <f>AVERAGE(O$3:O$81)</f>
        <v>0</v>
      </c>
    </row>
    <row r="85" spans="1:15">
      <c r="A85" s="1" t="s">
        <v>81</v>
      </c>
      <c r="B85" s="1">
        <f>STDEV(B$3:B$81)</f>
        <v>0</v>
      </c>
      <c r="C85" s="1">
        <f>STDEV(C$3:C$81)</f>
        <v>0</v>
      </c>
      <c r="D85" s="1">
        <f>STDEV(D$3:D$81)</f>
        <v>0</v>
      </c>
      <c r="E85" s="1">
        <f>STDEV(E$3:E$81)</f>
        <v>0</v>
      </c>
      <c r="F85" s="4">
        <f>STDEV(F$3:F$81)</f>
        <v>0</v>
      </c>
      <c r="G85" s="1">
        <f>STDEV(G$3:G$81)</f>
        <v>0</v>
      </c>
      <c r="H85" s="3">
        <f>STDEV(H$3:H$81)</f>
        <v>0</v>
      </c>
      <c r="I85" s="3">
        <f>STDEV(I$3:I$81)</f>
        <v>0</v>
      </c>
      <c r="J85" s="1">
        <f>STDEV(J$3:J$81)</f>
        <v>0</v>
      </c>
      <c r="K85" s="1">
        <f>STDEV(K$3:K$81)</f>
        <v>0</v>
      </c>
      <c r="L85" s="1">
        <f>STDEV(L$3:L$81)</f>
        <v>0</v>
      </c>
      <c r="M85" s="1">
        <f>STDEV(M$3:M$81)</f>
        <v>0</v>
      </c>
      <c r="N85" s="1">
        <f>STDEV(N$3:N$81)</f>
        <v>0</v>
      </c>
      <c r="O85" s="1">
        <f>STDEV(O$3:O$81)</f>
        <v>0</v>
      </c>
    </row>
    <row r="86" spans="1:15">
      <c r="A86" s="1" t="s">
        <v>82</v>
      </c>
      <c r="B86" s="1">
        <f>SUMPRODUCT(--(B$3:B$81-$J$3:$J$81)^2)^0.5</f>
        <v>0</v>
      </c>
      <c r="C86" s="1">
        <f>SUMPRODUCT(--(C$3:C$81-$K$3:$K$81)^2)^0.5</f>
        <v>0</v>
      </c>
      <c r="D86" s="4">
        <f>SUMPRODUCT(--(D$3:D$81-$J$3:$J$81)^2)^0.5</f>
        <v>0</v>
      </c>
      <c r="E86" s="1">
        <f>SUMPRODUCT(--(E$3:E$81-$K$3:$K$81)^2)^0.5</f>
        <v>0</v>
      </c>
      <c r="F86" s="1">
        <f>SUMPRODUCT(--(F$3:F$81-$J$3:$J$81)^2)^0.5</f>
        <v>0</v>
      </c>
      <c r="G86" s="1">
        <f>SUMPRODUCT(--(G$3:G$81-$K$3:$K$81)^2)^0.5</f>
        <v>0</v>
      </c>
      <c r="H86" s="3">
        <f>SUMPRODUCT(--(H$3:H$81-$J$3:$J$81)^2)^0.5</f>
        <v>0</v>
      </c>
      <c r="I86" s="3">
        <f>SUMPRODUCT(--(I$3:I$81-$K$3:$K$81)^2)^0.5</f>
        <v>0</v>
      </c>
      <c r="J86" s="1"/>
      <c r="K86" s="1"/>
      <c r="L86" s="1"/>
      <c r="M86" s="1"/>
      <c r="N86" s="1"/>
      <c r="O86" s="1"/>
    </row>
    <row r="87" spans="1:15">
      <c r="A87" s="1" t="s">
        <v>83</v>
      </c>
      <c r="B87" s="1">
        <f>SUMPRODUCT(NOT(ISBLANK(B$3:B$81))*(B$3:B$81=$J$3:$J$81))</f>
        <v>0</v>
      </c>
      <c r="C87" s="1">
        <f>SUMPRODUCT(NOT(ISBLANK(C$3:C$81))*(C$3:C$81=$K$3:$K$81))</f>
        <v>0</v>
      </c>
      <c r="D87" s="4">
        <f>SUMPRODUCT(NOT(ISBLANK(D$3:D$81))*(D$3:D$81=$J$3:$J$81))</f>
        <v>0</v>
      </c>
      <c r="E87" s="1">
        <f>SUMPRODUCT(NOT(ISBLANK(E$3:E$81))*(E$3:E$81=$K$3:$K$81))</f>
        <v>0</v>
      </c>
      <c r="F87" s="1">
        <f>SUMPRODUCT(NOT(ISBLANK(F$3:F$81))*(F$3:F$81=$J$3:$J$81))</f>
        <v>0</v>
      </c>
      <c r="G87" s="1">
        <f>SUMPRODUCT(NOT(ISBLANK(G$3:G$81))*(G$3:G$81=$K$3:$K$81))</f>
        <v>0</v>
      </c>
      <c r="H87" s="3">
        <f>SUMPRODUCT(NOT(ISBLANK(H$3:H$81))*(H$3:H$81=$J$3:$J$81))</f>
        <v>0</v>
      </c>
      <c r="I87" s="3">
        <f>SUMPRODUCT(NOT(ISBLANK(I$3:I$81))*(I$3:I$81=$K$3:$K$81))</f>
        <v>0</v>
      </c>
      <c r="J87" s="1"/>
      <c r="K87" s="1"/>
      <c r="L87" s="1"/>
      <c r="M87" s="1"/>
      <c r="N87" s="1"/>
      <c r="O87" s="1"/>
    </row>
    <row r="88" spans="1:15">
      <c r="A88" s="1" t="s">
        <v>84</v>
      </c>
      <c r="B88" s="1">
        <f>SUMPRODUCT(NOT(ISBLANK(B$3:B$81))*(B$3:B$81&lt;$L$3:$L$81))</f>
        <v>0</v>
      </c>
      <c r="C88" s="1">
        <f>SUMPRODUCT(NOT(ISBLANK(C$3:C$81))*(C$3:C$81&lt;$M$3:$M$81))</f>
        <v>0</v>
      </c>
      <c r="D88" s="4">
        <f>SUMPRODUCT(NOT(ISBLANK(D$3:D$81))*(D$3:D$81&lt;$L$3:$L$81))</f>
        <v>0</v>
      </c>
      <c r="E88" s="1">
        <f>SUMPRODUCT(NOT(ISBLANK(E$3:E$81))*(E$3:E$81&lt;$M$3:$M$81))</f>
        <v>0</v>
      </c>
      <c r="F88" s="1">
        <f>SUMPRODUCT(NOT(ISBLANK(F$3:F$81))*(F$3:F$81&lt;$L$3:$L$81))</f>
        <v>0</v>
      </c>
      <c r="G88" s="1">
        <f>SUMPRODUCT(NOT(ISBLANK(G$3:G$81))*(G$3:G$81&lt;$M$3:$M$81))</f>
        <v>0</v>
      </c>
      <c r="H88" s="3">
        <f>SUMPRODUCT(NOT(ISBLANK(H$3:H$81))*(H$3:H$81&lt;$L$3:$L$81))</f>
        <v>0</v>
      </c>
      <c r="I88" s="3">
        <f>SUMPRODUCT(NOT(ISBLANK(I$3:I$81))*(I$3:I$81&lt;$M$3:$M$81))</f>
        <v>0</v>
      </c>
      <c r="J88" s="1"/>
      <c r="K88" s="1"/>
      <c r="L88" s="1"/>
      <c r="M88" s="1"/>
      <c r="N88" s="1"/>
      <c r="O88" s="1"/>
    </row>
    <row r="89" spans="1:15">
      <c r="A89" s="1" t="s">
        <v>85</v>
      </c>
      <c r="B89" s="1">
        <f>SUMPRODUCT((NOT(ISBLANK(B$3:B$81))*(B$3:B$81&gt;$L$3:$L$81))+ISBLANK(B$3:B$81))</f>
        <v>0</v>
      </c>
      <c r="C89" s="1">
        <f>SUMPRODUCT((NOT(ISBLANK(C$3:C$81))*(C$3:C$81&gt;$M$3:$M$81))+ISBLANK(C$3:C$81))</f>
        <v>0</v>
      </c>
      <c r="D89" s="1">
        <f>SUMPRODUCT((NOT(ISBLANK(D$3:D$81))*(D$3:D$81&gt;$L$3:$L$81))+ISBLANK(D$3:D$81))</f>
        <v>0</v>
      </c>
      <c r="E89" s="1">
        <f>SUMPRODUCT((NOT(ISBLANK(E$3:E$81))*(E$3:E$81&gt;$M$3:$M$81))+ISBLANK(E$3:E$81))</f>
        <v>0</v>
      </c>
      <c r="F89" s="3">
        <f>SUMPRODUCT((NOT(ISBLANK(F$3:F$81))*(F$3:F$81&gt;$L$3:$L$81))+ISBLANK(F$3:F$81))</f>
        <v>0</v>
      </c>
      <c r="G89" s="1">
        <f>SUMPRODUCT((NOT(ISBLANK(G$3:G$81))*(G$3:G$81&gt;$M$3:$M$81))+ISBLANK(G$3:G$81))</f>
        <v>0</v>
      </c>
      <c r="H89" s="4">
        <f>SUMPRODUCT((NOT(ISBLANK(H$3:H$81))*(H$3:H$81&gt;$L$3:$L$81))+ISBLANK(H$3:H$81))</f>
        <v>0</v>
      </c>
      <c r="I89" s="4">
        <f>SUMPRODUCT((NOT(ISBLANK(I$3:I$81))*(I$3:I$81&gt;$M$3:$M$81))+ISBLANK(I$3:I$81))</f>
        <v>0</v>
      </c>
      <c r="J89" s="1"/>
      <c r="K89" s="1"/>
      <c r="L89" s="1"/>
      <c r="M89" s="1"/>
      <c r="N89" s="1"/>
      <c r="O89" s="1"/>
    </row>
    <row r="90" spans="1:15">
      <c r="A90" s="1" t="s">
        <v>86</v>
      </c>
      <c r="B90" s="1">
        <f>SUMPRODUCT((NOT(ISBLANK(B$3:B$81))*(B$3:B$81=$N$3:$N$81))+ISBLANK(B$3:B$81))</f>
        <v>0</v>
      </c>
      <c r="C90" s="1">
        <f>SUMPRODUCT((NOT(ISBLANK(C$3:C$81))*(C$3:C$81=$O$3:$O$81))+ISBLANK(C$3:C$81))</f>
        <v>0</v>
      </c>
      <c r="D90" s="4">
        <f>SUMPRODUCT((NOT(ISBLANK(D$3:D$81))*(D$3:D$81=$N$3:$N$81))+ISBLANK(D$3:D$81))</f>
        <v>0</v>
      </c>
      <c r="E90" s="1">
        <f>SUMPRODUCT((NOT(ISBLANK(E$3:E$81))*(E$3:E$81=$O$3:$O$81))+ISBLANK(E$3:E$81))</f>
        <v>0</v>
      </c>
      <c r="F90" s="1">
        <f>SUMPRODUCT((NOT(ISBLANK(F$3:F$81))*(F$3:F$81=$N$3:$N$81))+ISBLANK(F$3:F$81))</f>
        <v>0</v>
      </c>
      <c r="G90" s="1">
        <f>SUMPRODUCT((NOT(ISBLANK(G$3:G$81))*(G$3:G$81=$O$3:$O$81))+ISBLANK(G$3:G$81))</f>
        <v>0</v>
      </c>
      <c r="H90" s="3">
        <f>SUMPRODUCT((NOT(ISBLANK(H$3:H$81))*(H$3:H$81=$N$3:$N$81))+ISBLANK(H$3:H$81))</f>
        <v>0</v>
      </c>
      <c r="I90" s="3">
        <f>SUMPRODUCT((NOT(ISBLANK(I$3:I$81))*(I$3:I$81=$O$3:$O$81))+ISBLANK(I$3:I$81))</f>
        <v>0</v>
      </c>
      <c r="J90" s="1"/>
      <c r="K90" s="1"/>
      <c r="L90" s="1"/>
      <c r="M90" s="1"/>
      <c r="N90" s="1"/>
      <c r="O9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 t="s">
        <v>96</v>
      </c>
      <c r="B1" s="1" t="s">
        <v>87</v>
      </c>
      <c r="C1" s="2"/>
      <c r="D1" s="1" t="s">
        <v>90</v>
      </c>
      <c r="E1" s="2"/>
      <c r="F1" s="1" t="s">
        <v>91</v>
      </c>
      <c r="G1" s="2"/>
      <c r="H1" s="1" t="s">
        <v>92</v>
      </c>
      <c r="I1" s="2"/>
      <c r="J1" s="1" t="s">
        <v>93</v>
      </c>
      <c r="K1" s="1"/>
      <c r="L1" s="1" t="s">
        <v>94</v>
      </c>
      <c r="M1" s="1"/>
      <c r="N1" s="1" t="s">
        <v>95</v>
      </c>
      <c r="O1" s="1"/>
    </row>
    <row r="2" spans="1:15">
      <c r="A2" s="6" t="s">
        <v>94</v>
      </c>
      <c r="B2" s="1" t="s">
        <v>88</v>
      </c>
      <c r="C2" s="2" t="s">
        <v>89</v>
      </c>
      <c r="D2" s="1" t="s">
        <v>88</v>
      </c>
      <c r="E2" s="2" t="s">
        <v>89</v>
      </c>
      <c r="F2" s="1" t="s">
        <v>88</v>
      </c>
      <c r="G2" s="2" t="s">
        <v>89</v>
      </c>
      <c r="H2" s="1" t="s">
        <v>88</v>
      </c>
      <c r="I2" s="2" t="s">
        <v>89</v>
      </c>
      <c r="J2" s="1" t="s">
        <v>88</v>
      </c>
      <c r="K2" s="1" t="s">
        <v>89</v>
      </c>
      <c r="L2" s="1" t="s">
        <v>88</v>
      </c>
      <c r="M2" s="1" t="s">
        <v>89</v>
      </c>
      <c r="N2" s="1" t="s">
        <v>88</v>
      </c>
      <c r="O2" s="1" t="s">
        <v>89</v>
      </c>
    </row>
    <row r="3" spans="1:15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>
        <f>MIN($B4,$D4,$F4,$H4)</f>
        <v>0</v>
      </c>
      <c r="K4" s="1">
        <f>MIN($C4,$E4,$G4,$I4)</f>
        <v>0</v>
      </c>
      <c r="L4" s="1">
        <f>MEDIAN($B4,$D4,$F4,$H4)</f>
        <v>0</v>
      </c>
      <c r="M4" s="1">
        <f>MEDIAN($C4,$E4,$G4,$I4)</f>
        <v>0</v>
      </c>
      <c r="N4" s="1">
        <f>MAX($B4,$D4,$F4,$H4)</f>
        <v>0</v>
      </c>
      <c r="O4" s="1">
        <f>MAX($C4,$E4,$G4,$I4)</f>
        <v>0</v>
      </c>
    </row>
    <row r="5" spans="1:15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>
        <f>MIN($B5,$D5,$F5,$H5)</f>
        <v>0</v>
      </c>
      <c r="K5" s="1">
        <f>MIN($C5,$E5,$G5,$I5)</f>
        <v>0</v>
      </c>
      <c r="L5" s="1">
        <f>MEDIAN($B5,$D5,$F5,$H5)</f>
        <v>0</v>
      </c>
      <c r="M5" s="1">
        <f>MEDIAN($C5,$E5,$G5,$I5)</f>
        <v>0</v>
      </c>
      <c r="N5" s="1">
        <f>MAX($B5,$D5,$F5,$H5)</f>
        <v>0</v>
      </c>
      <c r="O5" s="1">
        <f>MAX($C5,$E5,$G5,$I5)</f>
        <v>0</v>
      </c>
    </row>
    <row r="6" spans="1:15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>
        <f>MIN($B6,$D6,$F6,$H6)</f>
        <v>0</v>
      </c>
      <c r="K6" s="1">
        <f>MIN($C6,$E6,$G6,$I6)</f>
        <v>0</v>
      </c>
      <c r="L6" s="1">
        <f>MEDIAN($B6,$D6,$F6,$H6)</f>
        <v>0</v>
      </c>
      <c r="M6" s="1">
        <f>MEDIAN($C6,$E6,$G6,$I6)</f>
        <v>0</v>
      </c>
      <c r="N6" s="1">
        <f>MAX($B6,$D6,$F6,$H6)</f>
        <v>0</v>
      </c>
      <c r="O6" s="1">
        <f>MAX($C6,$E6,$G6,$I6)</f>
        <v>0</v>
      </c>
    </row>
    <row r="7" spans="1:15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>
        <f>MIN($B7,$D7,$F7,$H7)</f>
        <v>0</v>
      </c>
      <c r="K7" s="1">
        <f>MIN($C7,$E7,$G7,$I7)</f>
        <v>0</v>
      </c>
      <c r="L7" s="1">
        <f>MEDIAN($B7,$D7,$F7,$H7)</f>
        <v>0</v>
      </c>
      <c r="M7" s="1">
        <f>MEDIAN($C7,$E7,$G7,$I7)</f>
        <v>0</v>
      </c>
      <c r="N7" s="1">
        <f>MAX($B7,$D7,$F7,$H7)</f>
        <v>0</v>
      </c>
      <c r="O7" s="1">
        <f>MAX($C7,$E7,$G7,$I7)</f>
        <v>0</v>
      </c>
    </row>
    <row r="8" spans="1:15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>
        <f>MIN($B8,$D8,$F8,$H8)</f>
        <v>0</v>
      </c>
      <c r="K8" s="1">
        <f>MIN($C8,$E8,$G8,$I8)</f>
        <v>0</v>
      </c>
      <c r="L8" s="1">
        <f>MEDIAN($B8,$D8,$F8,$H8)</f>
        <v>0</v>
      </c>
      <c r="M8" s="1">
        <f>MEDIAN($C8,$E8,$G8,$I8)</f>
        <v>0</v>
      </c>
      <c r="N8" s="1">
        <f>MAX($B8,$D8,$F8,$H8)</f>
        <v>0</v>
      </c>
      <c r="O8" s="1">
        <f>MAX($C8,$E8,$G8,$I8)</f>
        <v>0</v>
      </c>
    </row>
    <row r="9" spans="1:15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>
        <f>MIN($B9,$D9,$F9,$H9)</f>
        <v>0</v>
      </c>
      <c r="K9" s="1">
        <f>MIN($C9,$E9,$G9,$I9)</f>
        <v>0</v>
      </c>
      <c r="L9" s="1">
        <f>MEDIAN($B9,$D9,$F9,$H9)</f>
        <v>0</v>
      </c>
      <c r="M9" s="1">
        <f>MEDIAN($C9,$E9,$G9,$I9)</f>
        <v>0</v>
      </c>
      <c r="N9" s="1">
        <f>MAX($B9,$D9,$F9,$H9)</f>
        <v>0</v>
      </c>
      <c r="O9" s="1">
        <f>MAX($C9,$E9,$G9,$I9)</f>
        <v>0</v>
      </c>
    </row>
    <row r="10" spans="1:15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>
        <f>MIN($B10,$D10,$F10,$H10)</f>
        <v>0</v>
      </c>
      <c r="K10" s="1">
        <f>MIN($C10,$E10,$G10,$I10)</f>
        <v>0</v>
      </c>
      <c r="L10" s="1">
        <f>MEDIAN($B10,$D10,$F10,$H10)</f>
        <v>0</v>
      </c>
      <c r="M10" s="1">
        <f>MEDIAN($C10,$E10,$G10,$I10)</f>
        <v>0</v>
      </c>
      <c r="N10" s="1">
        <f>MAX($B10,$D10,$F10,$H10)</f>
        <v>0</v>
      </c>
      <c r="O10" s="1">
        <f>MAX($C10,$E10,$G10,$I10)</f>
        <v>0</v>
      </c>
    </row>
    <row r="11" spans="1:15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>
        <f>MIN($B11,$D11,$F11,$H11)</f>
        <v>0</v>
      </c>
      <c r="K11" s="1">
        <f>MIN($C11,$E11,$G11,$I11)</f>
        <v>0</v>
      </c>
      <c r="L11" s="1">
        <f>MEDIAN($B11,$D11,$F11,$H11)</f>
        <v>0</v>
      </c>
      <c r="M11" s="1">
        <f>MEDIAN($C11,$E11,$G11,$I11)</f>
        <v>0</v>
      </c>
      <c r="N11" s="1">
        <f>MAX($B11,$D11,$F11,$H11)</f>
        <v>0</v>
      </c>
      <c r="O11" s="1">
        <f>MAX($C11,$E11,$G11,$I11)</f>
        <v>0</v>
      </c>
    </row>
    <row r="12" spans="1:15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>
        <f>MIN($B12,$D12,$F12,$H12)</f>
        <v>0</v>
      </c>
      <c r="K12" s="1">
        <f>MIN($C12,$E12,$G12,$I12)</f>
        <v>0</v>
      </c>
      <c r="L12" s="1">
        <f>MEDIAN($B12,$D12,$F12,$H12)</f>
        <v>0</v>
      </c>
      <c r="M12" s="1">
        <f>MEDIAN($C12,$E12,$G12,$I12)</f>
        <v>0</v>
      </c>
      <c r="N12" s="1">
        <f>MAX($B12,$D12,$F12,$H12)</f>
        <v>0</v>
      </c>
      <c r="O12" s="1">
        <f>MAX($C12,$E12,$G12,$I12)</f>
        <v>0</v>
      </c>
    </row>
    <row r="13" spans="1:15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>
        <f>MIN($B13,$D13,$F13,$H13)</f>
        <v>0</v>
      </c>
      <c r="K13" s="1">
        <f>MIN($C13,$E13,$G13,$I13)</f>
        <v>0</v>
      </c>
      <c r="L13" s="1">
        <f>MEDIAN($B13,$D13,$F13,$H13)</f>
        <v>0</v>
      </c>
      <c r="M13" s="1">
        <f>MEDIAN($C13,$E13,$G13,$I13)</f>
        <v>0</v>
      </c>
      <c r="N13" s="1">
        <f>MAX($B13,$D13,$F13,$H13)</f>
        <v>0</v>
      </c>
      <c r="O13" s="1">
        <f>MAX($C13,$E13,$G13,$I13)</f>
        <v>0</v>
      </c>
    </row>
    <row r="14" spans="1:15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>
        <f>MIN($B14,$D14,$F14,$H14)</f>
        <v>0</v>
      </c>
      <c r="K14" s="1">
        <f>MIN($C14,$E14,$G14,$I14)</f>
        <v>0</v>
      </c>
      <c r="L14" s="1">
        <f>MEDIAN($B14,$D14,$F14,$H14)</f>
        <v>0</v>
      </c>
      <c r="M14" s="1">
        <f>MEDIAN($C14,$E14,$G14,$I14)</f>
        <v>0</v>
      </c>
      <c r="N14" s="1">
        <f>MAX($B14,$D14,$F14,$H14)</f>
        <v>0</v>
      </c>
      <c r="O14" s="1">
        <f>MAX($C14,$E14,$G14,$I14)</f>
        <v>0</v>
      </c>
    </row>
    <row r="15" spans="1:15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>
        <f>MIN($B15,$D15,$F15,$H15)</f>
        <v>0</v>
      </c>
      <c r="K15" s="1">
        <f>MIN($C15,$E15,$G15,$I15)</f>
        <v>0</v>
      </c>
      <c r="L15" s="1">
        <f>MEDIAN($B15,$D15,$F15,$H15)</f>
        <v>0</v>
      </c>
      <c r="M15" s="1">
        <f>MEDIAN($C15,$E15,$G15,$I15)</f>
        <v>0</v>
      </c>
      <c r="N15" s="1">
        <f>MAX($B15,$D15,$F15,$H15)</f>
        <v>0</v>
      </c>
      <c r="O15" s="1">
        <f>MAX($C15,$E15,$G15,$I15)</f>
        <v>0</v>
      </c>
    </row>
    <row r="16" spans="1:15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>
        <f>MIN($B16,$D16,$F16,$H16)</f>
        <v>0</v>
      </c>
      <c r="K16" s="1">
        <f>MIN($C16,$E16,$G16,$I16)</f>
        <v>0</v>
      </c>
      <c r="L16" s="1">
        <f>MEDIAN($B16,$D16,$F16,$H16)</f>
        <v>0</v>
      </c>
      <c r="M16" s="1">
        <f>MEDIAN($C16,$E16,$G16,$I16)</f>
        <v>0</v>
      </c>
      <c r="N16" s="1">
        <f>MAX($B16,$D16,$F16,$H16)</f>
        <v>0</v>
      </c>
      <c r="O16" s="1">
        <f>MAX($C16,$E16,$G16,$I16)</f>
        <v>0</v>
      </c>
    </row>
    <row r="17" spans="1:15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>
        <f>MIN($B17,$D17,$F17,$H17)</f>
        <v>0</v>
      </c>
      <c r="K17" s="1">
        <f>MIN($C17,$E17,$G17,$I17)</f>
        <v>0</v>
      </c>
      <c r="L17" s="1">
        <f>MEDIAN($B17,$D17,$F17,$H17)</f>
        <v>0</v>
      </c>
      <c r="M17" s="1">
        <f>MEDIAN($C17,$E17,$G17,$I17)</f>
        <v>0</v>
      </c>
      <c r="N17" s="1">
        <f>MAX($B17,$D17,$F17,$H17)</f>
        <v>0</v>
      </c>
      <c r="O17" s="1">
        <f>MAX($C17,$E17,$G17,$I17)</f>
        <v>0</v>
      </c>
    </row>
    <row r="18" spans="1:15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>
        <f>MIN($B18,$D18,$F18,$H18)</f>
        <v>0</v>
      </c>
      <c r="K18" s="1">
        <f>MIN($C18,$E18,$G18,$I18)</f>
        <v>0</v>
      </c>
      <c r="L18" s="1">
        <f>MEDIAN($B18,$D18,$F18,$H18)</f>
        <v>0</v>
      </c>
      <c r="M18" s="1">
        <f>MEDIAN($C18,$E18,$G18,$I18)</f>
        <v>0</v>
      </c>
      <c r="N18" s="1">
        <f>MAX($B18,$D18,$F18,$H18)</f>
        <v>0</v>
      </c>
      <c r="O18" s="1">
        <f>MAX($C18,$E18,$G18,$I18)</f>
        <v>0</v>
      </c>
    </row>
    <row r="19" spans="1:15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>
        <f>MIN($B19,$D19,$F19,$H19)</f>
        <v>0</v>
      </c>
      <c r="K19" s="1">
        <f>MIN($C19,$E19,$G19,$I19)</f>
        <v>0</v>
      </c>
      <c r="L19" s="1">
        <f>MEDIAN($B19,$D19,$F19,$H19)</f>
        <v>0</v>
      </c>
      <c r="M19" s="1">
        <f>MEDIAN($C19,$E19,$G19,$I19)</f>
        <v>0</v>
      </c>
      <c r="N19" s="1">
        <f>MAX($B19,$D19,$F19,$H19)</f>
        <v>0</v>
      </c>
      <c r="O19" s="1">
        <f>MAX($C19,$E19,$G19,$I19)</f>
        <v>0</v>
      </c>
    </row>
    <row r="20" spans="1:15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>
        <f>MIN($B20,$D20,$F20,$H20)</f>
        <v>0</v>
      </c>
      <c r="K20" s="1">
        <f>MIN($C20,$E20,$G20,$I20)</f>
        <v>0</v>
      </c>
      <c r="L20" s="1">
        <f>MEDIAN($B20,$D20,$F20,$H20)</f>
        <v>0</v>
      </c>
      <c r="M20" s="1">
        <f>MEDIAN($C20,$E20,$G20,$I20)</f>
        <v>0</v>
      </c>
      <c r="N20" s="1">
        <f>MAX($B20,$D20,$F20,$H20)</f>
        <v>0</v>
      </c>
      <c r="O20" s="1">
        <f>MAX($C20,$E20,$G20,$I20)</f>
        <v>0</v>
      </c>
    </row>
    <row r="21" spans="1:15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>
        <f>MIN($B21,$D21,$F21,$H21)</f>
        <v>0</v>
      </c>
      <c r="K21" s="1">
        <f>MIN($C21,$E21,$G21,$I21)</f>
        <v>0</v>
      </c>
      <c r="L21" s="1">
        <f>MEDIAN($B21,$D21,$F21,$H21)</f>
        <v>0</v>
      </c>
      <c r="M21" s="1">
        <f>MEDIAN($C21,$E21,$G21,$I21)</f>
        <v>0</v>
      </c>
      <c r="N21" s="1">
        <f>MAX($B21,$D21,$F21,$H21)</f>
        <v>0</v>
      </c>
      <c r="O21" s="1">
        <f>MAX($C21,$E21,$G21,$I21)</f>
        <v>0</v>
      </c>
    </row>
    <row r="22" spans="1:15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>
        <f>MIN($B22,$D22,$F22,$H22)</f>
        <v>0</v>
      </c>
      <c r="K22" s="1">
        <f>MIN($C22,$E22,$G22,$I22)</f>
        <v>0</v>
      </c>
      <c r="L22" s="1">
        <f>MEDIAN($B22,$D22,$F22,$H22)</f>
        <v>0</v>
      </c>
      <c r="M22" s="1">
        <f>MEDIAN($C22,$E22,$G22,$I22)</f>
        <v>0</v>
      </c>
      <c r="N22" s="1">
        <f>MAX($B22,$D22,$F22,$H22)</f>
        <v>0</v>
      </c>
      <c r="O22" s="1">
        <f>MAX($C22,$E22,$G22,$I22)</f>
        <v>0</v>
      </c>
    </row>
    <row r="23" spans="1:15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>
        <f>MIN($B23,$D23,$F23,$H23)</f>
        <v>0</v>
      </c>
      <c r="K23" s="1">
        <f>MIN($C23,$E23,$G23,$I23)</f>
        <v>0</v>
      </c>
      <c r="L23" s="1">
        <f>MEDIAN($B23,$D23,$F23,$H23)</f>
        <v>0</v>
      </c>
      <c r="M23" s="1">
        <f>MEDIAN($C23,$E23,$G23,$I23)</f>
        <v>0</v>
      </c>
      <c r="N23" s="1">
        <f>MAX($B23,$D23,$F23,$H23)</f>
        <v>0</v>
      </c>
      <c r="O23" s="1">
        <f>MAX($C23,$E23,$G23,$I23)</f>
        <v>0</v>
      </c>
    </row>
    <row r="24" spans="1:15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>
        <f>MIN($B24,$D24,$F24,$H24)</f>
        <v>0</v>
      </c>
      <c r="K24" s="1">
        <f>MIN($C24,$E24,$G24,$I24)</f>
        <v>0</v>
      </c>
      <c r="L24" s="1">
        <f>MEDIAN($B24,$D24,$F24,$H24)</f>
        <v>0</v>
      </c>
      <c r="M24" s="1">
        <f>MEDIAN($C24,$E24,$G24,$I24)</f>
        <v>0</v>
      </c>
      <c r="N24" s="1">
        <f>MAX($B24,$D24,$F24,$H24)</f>
        <v>0</v>
      </c>
      <c r="O24" s="1">
        <f>MAX($C24,$E24,$G24,$I24)</f>
        <v>0</v>
      </c>
    </row>
    <row r="25" spans="1:15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>
        <f>MIN($B25,$D25,$F25,$H25)</f>
        <v>0</v>
      </c>
      <c r="K25" s="1">
        <f>MIN($C25,$E25,$G25,$I25)</f>
        <v>0</v>
      </c>
      <c r="L25" s="1">
        <f>MEDIAN($B25,$D25,$F25,$H25)</f>
        <v>0</v>
      </c>
      <c r="M25" s="1">
        <f>MEDIAN($C25,$E25,$G25,$I25)</f>
        <v>0</v>
      </c>
      <c r="N25" s="1">
        <f>MAX($B25,$D25,$F25,$H25)</f>
        <v>0</v>
      </c>
      <c r="O25" s="1">
        <f>MAX($C25,$E25,$G25,$I25)</f>
        <v>0</v>
      </c>
    </row>
    <row r="26" spans="1:15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>
        <f>MIN($B26,$D26,$F26,$H26)</f>
        <v>0</v>
      </c>
      <c r="K26" s="1">
        <f>MIN($C26,$E26,$G26,$I26)</f>
        <v>0</v>
      </c>
      <c r="L26" s="1">
        <f>MEDIAN($B26,$D26,$F26,$H26)</f>
        <v>0</v>
      </c>
      <c r="M26" s="1">
        <f>MEDIAN($C26,$E26,$G26,$I26)</f>
        <v>0</v>
      </c>
      <c r="N26" s="1">
        <f>MAX($B26,$D26,$F26,$H26)</f>
        <v>0</v>
      </c>
      <c r="O26" s="1">
        <f>MAX($C26,$E26,$G26,$I26)</f>
        <v>0</v>
      </c>
    </row>
    <row r="27" spans="1:15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>
        <f>MIN($B27,$D27,$F27,$H27)</f>
        <v>0</v>
      </c>
      <c r="K27" s="1">
        <f>MIN($C27,$E27,$G27,$I27)</f>
        <v>0</v>
      </c>
      <c r="L27" s="1">
        <f>MEDIAN($B27,$D27,$F27,$H27)</f>
        <v>0</v>
      </c>
      <c r="M27" s="1">
        <f>MEDIAN($C27,$E27,$G27,$I27)</f>
        <v>0</v>
      </c>
      <c r="N27" s="1">
        <f>MAX($B27,$D27,$F27,$H27)</f>
        <v>0</v>
      </c>
      <c r="O27" s="1">
        <f>MAX($C27,$E27,$G27,$I27)</f>
        <v>0</v>
      </c>
    </row>
    <row r="28" spans="1:15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>
        <f>MIN($B28,$D28,$F28,$H28)</f>
        <v>0</v>
      </c>
      <c r="K28" s="1">
        <f>MIN($C28,$E28,$G28,$I28)</f>
        <v>0</v>
      </c>
      <c r="L28" s="1">
        <f>MEDIAN($B28,$D28,$F28,$H28)</f>
        <v>0</v>
      </c>
      <c r="M28" s="1">
        <f>MEDIAN($C28,$E28,$G28,$I28)</f>
        <v>0</v>
      </c>
      <c r="N28" s="1">
        <f>MAX($B28,$D28,$F28,$H28)</f>
        <v>0</v>
      </c>
      <c r="O28" s="1">
        <f>MAX($C28,$E28,$G28,$I28)</f>
        <v>0</v>
      </c>
    </row>
    <row r="29" spans="1:15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>
        <f>MIN($B29,$D29,$F29,$H29)</f>
        <v>0</v>
      </c>
      <c r="K29" s="1">
        <f>MIN($C29,$E29,$G29,$I29)</f>
        <v>0</v>
      </c>
      <c r="L29" s="1">
        <f>MEDIAN($B29,$D29,$F29,$H29)</f>
        <v>0</v>
      </c>
      <c r="M29" s="1">
        <f>MEDIAN($C29,$E29,$G29,$I29)</f>
        <v>0</v>
      </c>
      <c r="N29" s="1">
        <f>MAX($B29,$D29,$F29,$H29)</f>
        <v>0</v>
      </c>
      <c r="O29" s="1">
        <f>MAX($C29,$E29,$G29,$I29)</f>
        <v>0</v>
      </c>
    </row>
    <row r="30" spans="1:15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>
        <f>MIN($B30,$D30,$F30,$H30)</f>
        <v>0</v>
      </c>
      <c r="K30" s="1">
        <f>MIN($C30,$E30,$G30,$I30)</f>
        <v>0</v>
      </c>
      <c r="L30" s="1">
        <f>MEDIAN($B30,$D30,$F30,$H30)</f>
        <v>0</v>
      </c>
      <c r="M30" s="1">
        <f>MEDIAN($C30,$E30,$G30,$I30)</f>
        <v>0</v>
      </c>
      <c r="N30" s="1">
        <f>MAX($B30,$D30,$F30,$H30)</f>
        <v>0</v>
      </c>
      <c r="O30" s="1">
        <f>MAX($C30,$E30,$G30,$I30)</f>
        <v>0</v>
      </c>
    </row>
    <row r="31" spans="1:15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>
        <f>MIN($B31,$D31,$F31,$H31)</f>
        <v>0</v>
      </c>
      <c r="K31" s="1">
        <f>MIN($C31,$E31,$G31,$I31)</f>
        <v>0</v>
      </c>
      <c r="L31" s="1">
        <f>MEDIAN($B31,$D31,$F31,$H31)</f>
        <v>0</v>
      </c>
      <c r="M31" s="1">
        <f>MEDIAN($C31,$E31,$G31,$I31)</f>
        <v>0</v>
      </c>
      <c r="N31" s="1">
        <f>MAX($B31,$D31,$F31,$H31)</f>
        <v>0</v>
      </c>
      <c r="O31" s="1">
        <f>MAX($C31,$E31,$G31,$I31)</f>
        <v>0</v>
      </c>
    </row>
    <row r="32" spans="1:15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>
        <f>MIN($B32,$D32,$F32,$H32)</f>
        <v>0</v>
      </c>
      <c r="K32" s="1">
        <f>MIN($C32,$E32,$G32,$I32)</f>
        <v>0</v>
      </c>
      <c r="L32" s="1">
        <f>MEDIAN($B32,$D32,$F32,$H32)</f>
        <v>0</v>
      </c>
      <c r="M32" s="1">
        <f>MEDIAN($C32,$E32,$G32,$I32)</f>
        <v>0</v>
      </c>
      <c r="N32" s="1">
        <f>MAX($B32,$D32,$F32,$H32)</f>
        <v>0</v>
      </c>
      <c r="O32" s="1">
        <f>MAX($C32,$E32,$G32,$I32)</f>
        <v>0</v>
      </c>
    </row>
    <row r="33" spans="1:15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>
        <f>MIN($B33,$D33,$F33,$H33)</f>
        <v>0</v>
      </c>
      <c r="K33" s="1">
        <f>MIN($C33,$E33,$G33,$I33)</f>
        <v>0</v>
      </c>
      <c r="L33" s="1">
        <f>MEDIAN($B33,$D33,$F33,$H33)</f>
        <v>0</v>
      </c>
      <c r="M33" s="1">
        <f>MEDIAN($C33,$E33,$G33,$I33)</f>
        <v>0</v>
      </c>
      <c r="N33" s="1">
        <f>MAX($B33,$D33,$F33,$H33)</f>
        <v>0</v>
      </c>
      <c r="O33" s="1">
        <f>MAX($C33,$E33,$G33,$I33)</f>
        <v>0</v>
      </c>
    </row>
    <row r="34" spans="1:15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>
        <f>MIN($B34,$D34,$F34,$H34)</f>
        <v>0</v>
      </c>
      <c r="K34" s="1">
        <f>MIN($C34,$E34,$G34,$I34)</f>
        <v>0</v>
      </c>
      <c r="L34" s="1">
        <f>MEDIAN($B34,$D34,$F34,$H34)</f>
        <v>0</v>
      </c>
      <c r="M34" s="1">
        <f>MEDIAN($C34,$E34,$G34,$I34)</f>
        <v>0</v>
      </c>
      <c r="N34" s="1">
        <f>MAX($B34,$D34,$F34,$H34)</f>
        <v>0</v>
      </c>
      <c r="O34" s="1">
        <f>MAX($C34,$E34,$G34,$I34)</f>
        <v>0</v>
      </c>
    </row>
    <row r="35" spans="1:15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>
        <f>MIN($B35,$D35,$F35,$H35)</f>
        <v>0</v>
      </c>
      <c r="K35" s="1">
        <f>MIN($C35,$E35,$G35,$I35)</f>
        <v>0</v>
      </c>
      <c r="L35" s="1">
        <f>MEDIAN($B35,$D35,$F35,$H35)</f>
        <v>0</v>
      </c>
      <c r="M35" s="1">
        <f>MEDIAN($C35,$E35,$G35,$I35)</f>
        <v>0</v>
      </c>
      <c r="N35" s="1">
        <f>MAX($B35,$D35,$F35,$H35)</f>
        <v>0</v>
      </c>
      <c r="O35" s="1">
        <f>MAX($C35,$E35,$G35,$I35)</f>
        <v>0</v>
      </c>
    </row>
    <row r="36" spans="1:15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>
        <f>MIN($B36,$D36,$F36,$H36)</f>
        <v>0</v>
      </c>
      <c r="K36" s="1">
        <f>MIN($C36,$E36,$G36,$I36)</f>
        <v>0</v>
      </c>
      <c r="L36" s="1">
        <f>MEDIAN($B36,$D36,$F36,$H36)</f>
        <v>0</v>
      </c>
      <c r="M36" s="1">
        <f>MEDIAN($C36,$E36,$G36,$I36)</f>
        <v>0</v>
      </c>
      <c r="N36" s="1">
        <f>MAX($B36,$D36,$F36,$H36)</f>
        <v>0</v>
      </c>
      <c r="O36" s="1">
        <f>MAX($C36,$E36,$G36,$I36)</f>
        <v>0</v>
      </c>
    </row>
    <row r="37" spans="1:15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>
        <f>MIN($B37,$D37,$F37,$H37)</f>
        <v>0</v>
      </c>
      <c r="K37" s="1">
        <f>MIN($C37,$E37,$G37,$I37)</f>
        <v>0</v>
      </c>
      <c r="L37" s="1">
        <f>MEDIAN($B37,$D37,$F37,$H37)</f>
        <v>0</v>
      </c>
      <c r="M37" s="1">
        <f>MEDIAN($C37,$E37,$G37,$I37)</f>
        <v>0</v>
      </c>
      <c r="N37" s="1">
        <f>MAX($B37,$D37,$F37,$H37)</f>
        <v>0</v>
      </c>
      <c r="O37" s="1">
        <f>MAX($C37,$E37,$G37,$I37)</f>
        <v>0</v>
      </c>
    </row>
    <row r="38" spans="1:15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>
        <f>MIN($B38,$D38,$F38,$H38)</f>
        <v>0</v>
      </c>
      <c r="K38" s="1">
        <f>MIN($C38,$E38,$G38,$I38)</f>
        <v>0</v>
      </c>
      <c r="L38" s="1">
        <f>MEDIAN($B38,$D38,$F38,$H38)</f>
        <v>0</v>
      </c>
      <c r="M38" s="1">
        <f>MEDIAN($C38,$E38,$G38,$I38)</f>
        <v>0</v>
      </c>
      <c r="N38" s="1">
        <f>MAX($B38,$D38,$F38,$H38)</f>
        <v>0</v>
      </c>
      <c r="O38" s="1">
        <f>MAX($C38,$E38,$G38,$I38)</f>
        <v>0</v>
      </c>
    </row>
    <row r="39" spans="1:15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>
        <f>MIN($B39,$D39,$F39,$H39)</f>
        <v>0</v>
      </c>
      <c r="K39" s="1">
        <f>MIN($C39,$E39,$G39,$I39)</f>
        <v>0</v>
      </c>
      <c r="L39" s="1">
        <f>MEDIAN($B39,$D39,$F39,$H39)</f>
        <v>0</v>
      </c>
      <c r="M39" s="1">
        <f>MEDIAN($C39,$E39,$G39,$I39)</f>
        <v>0</v>
      </c>
      <c r="N39" s="1">
        <f>MAX($B39,$D39,$F39,$H39)</f>
        <v>0</v>
      </c>
      <c r="O39" s="1">
        <f>MAX($C39,$E39,$G39,$I39)</f>
        <v>0</v>
      </c>
    </row>
    <row r="40" spans="1:15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>
        <f>MIN($B40,$D40,$F40,$H40)</f>
        <v>0</v>
      </c>
      <c r="K40" s="1">
        <f>MIN($C40,$E40,$G40,$I40)</f>
        <v>0</v>
      </c>
      <c r="L40" s="1">
        <f>MEDIAN($B40,$D40,$F40,$H40)</f>
        <v>0</v>
      </c>
      <c r="M40" s="1">
        <f>MEDIAN($C40,$E40,$G40,$I40)</f>
        <v>0</v>
      </c>
      <c r="N40" s="1">
        <f>MAX($B40,$D40,$F40,$H40)</f>
        <v>0</v>
      </c>
      <c r="O40" s="1">
        <f>MAX($C40,$E40,$G40,$I40)</f>
        <v>0</v>
      </c>
    </row>
    <row r="41" spans="1:15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>
        <f>MIN($B41,$D41,$F41,$H41)</f>
        <v>0</v>
      </c>
      <c r="K41" s="1">
        <f>MIN($C41,$E41,$G41,$I41)</f>
        <v>0</v>
      </c>
      <c r="L41" s="1">
        <f>MEDIAN($B41,$D41,$F41,$H41)</f>
        <v>0</v>
      </c>
      <c r="M41" s="1">
        <f>MEDIAN($C41,$E41,$G41,$I41)</f>
        <v>0</v>
      </c>
      <c r="N41" s="1">
        <f>MAX($B41,$D41,$F41,$H41)</f>
        <v>0</v>
      </c>
      <c r="O41" s="1">
        <f>MAX($C41,$E41,$G41,$I41)</f>
        <v>0</v>
      </c>
    </row>
    <row r="42" spans="1:15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>
        <f>MIN($B42,$D42,$F42,$H42)</f>
        <v>0</v>
      </c>
      <c r="K42" s="1">
        <f>MIN($C42,$E42,$G42,$I42)</f>
        <v>0</v>
      </c>
      <c r="L42" s="1">
        <f>MEDIAN($B42,$D42,$F42,$H42)</f>
        <v>0</v>
      </c>
      <c r="M42" s="1">
        <f>MEDIAN($C42,$E42,$G42,$I42)</f>
        <v>0</v>
      </c>
      <c r="N42" s="1">
        <f>MAX($B42,$D42,$F42,$H42)</f>
        <v>0</v>
      </c>
      <c r="O42" s="1">
        <f>MAX($C42,$E42,$G42,$I42)</f>
        <v>0</v>
      </c>
    </row>
    <row r="43" spans="1:15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>
        <f>MIN($B43,$D43,$F43,$H43)</f>
        <v>0</v>
      </c>
      <c r="K43" s="1">
        <f>MIN($C43,$E43,$G43,$I43)</f>
        <v>0</v>
      </c>
      <c r="L43" s="1">
        <f>MEDIAN($B43,$D43,$F43,$H43)</f>
        <v>0</v>
      </c>
      <c r="M43" s="1">
        <f>MEDIAN($C43,$E43,$G43,$I43)</f>
        <v>0</v>
      </c>
      <c r="N43" s="1">
        <f>MAX($B43,$D43,$F43,$H43)</f>
        <v>0</v>
      </c>
      <c r="O43" s="1">
        <f>MAX($C43,$E43,$G43,$I43)</f>
        <v>0</v>
      </c>
    </row>
    <row r="44" spans="1:15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>
        <f>MIN($B44,$D44,$F44,$H44)</f>
        <v>0</v>
      </c>
      <c r="K44" s="1">
        <f>MIN($C44,$E44,$G44,$I44)</f>
        <v>0</v>
      </c>
      <c r="L44" s="1">
        <f>MEDIAN($B44,$D44,$F44,$H44)</f>
        <v>0</v>
      </c>
      <c r="M44" s="1">
        <f>MEDIAN($C44,$E44,$G44,$I44)</f>
        <v>0</v>
      </c>
      <c r="N44" s="1">
        <f>MAX($B44,$D44,$F44,$H44)</f>
        <v>0</v>
      </c>
      <c r="O44" s="1">
        <f>MAX($C44,$E44,$G44,$I44)</f>
        <v>0</v>
      </c>
    </row>
    <row r="45" spans="1:15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>
        <f>MIN($B45,$D45,$F45,$H45)</f>
        <v>0</v>
      </c>
      <c r="K45" s="1">
        <f>MIN($C45,$E45,$G45,$I45)</f>
        <v>0</v>
      </c>
      <c r="L45" s="1">
        <f>MEDIAN($B45,$D45,$F45,$H45)</f>
        <v>0</v>
      </c>
      <c r="M45" s="1">
        <f>MEDIAN($C45,$E45,$G45,$I45)</f>
        <v>0</v>
      </c>
      <c r="N45" s="1">
        <f>MAX($B45,$D45,$F45,$H45)</f>
        <v>0</v>
      </c>
      <c r="O45" s="1">
        <f>MAX($C45,$E45,$G45,$I45)</f>
        <v>0</v>
      </c>
    </row>
    <row r="46" spans="1:15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>
        <f>MIN($B46,$D46,$F46,$H46)</f>
        <v>0</v>
      </c>
      <c r="K46" s="1">
        <f>MIN($C46,$E46,$G46,$I46)</f>
        <v>0</v>
      </c>
      <c r="L46" s="1">
        <f>MEDIAN($B46,$D46,$F46,$H46)</f>
        <v>0</v>
      </c>
      <c r="M46" s="1">
        <f>MEDIAN($C46,$E46,$G46,$I46)</f>
        <v>0</v>
      </c>
      <c r="N46" s="1">
        <f>MAX($B46,$D46,$F46,$H46)</f>
        <v>0</v>
      </c>
      <c r="O46" s="1">
        <f>MAX($C46,$E46,$G46,$I46)</f>
        <v>0</v>
      </c>
    </row>
    <row r="47" spans="1:15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>
        <f>MIN($B47,$D47,$F47,$H47)</f>
        <v>0</v>
      </c>
      <c r="K47" s="1">
        <f>MIN($C47,$E47,$G47,$I47)</f>
        <v>0</v>
      </c>
      <c r="L47" s="1">
        <f>MEDIAN($B47,$D47,$F47,$H47)</f>
        <v>0</v>
      </c>
      <c r="M47" s="1">
        <f>MEDIAN($C47,$E47,$G47,$I47)</f>
        <v>0</v>
      </c>
      <c r="N47" s="1">
        <f>MAX($B47,$D47,$F47,$H47)</f>
        <v>0</v>
      </c>
      <c r="O47" s="1">
        <f>MAX($C47,$E47,$G47,$I47)</f>
        <v>0</v>
      </c>
    </row>
    <row r="48" spans="1:15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>
        <f>MIN($B48,$D48,$F48,$H48)</f>
        <v>0</v>
      </c>
      <c r="K48" s="1">
        <f>MIN($C48,$E48,$G48,$I48)</f>
        <v>0</v>
      </c>
      <c r="L48" s="1">
        <f>MEDIAN($B48,$D48,$F48,$H48)</f>
        <v>0</v>
      </c>
      <c r="M48" s="1">
        <f>MEDIAN($C48,$E48,$G48,$I48)</f>
        <v>0</v>
      </c>
      <c r="N48" s="1">
        <f>MAX($B48,$D48,$F48,$H48)</f>
        <v>0</v>
      </c>
      <c r="O48" s="1">
        <f>MAX($C48,$E48,$G48,$I48)</f>
        <v>0</v>
      </c>
    </row>
    <row r="49" spans="1:15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>
        <f>MIN($B49,$D49,$F49,$H49)</f>
        <v>0</v>
      </c>
      <c r="K49" s="1">
        <f>MIN($C49,$E49,$G49,$I49)</f>
        <v>0</v>
      </c>
      <c r="L49" s="1">
        <f>MEDIAN($B49,$D49,$F49,$H49)</f>
        <v>0</v>
      </c>
      <c r="M49" s="1">
        <f>MEDIAN($C49,$E49,$G49,$I49)</f>
        <v>0</v>
      </c>
      <c r="N49" s="1">
        <f>MAX($B49,$D49,$F49,$H49)</f>
        <v>0</v>
      </c>
      <c r="O49" s="1">
        <f>MAX($C49,$E49,$G49,$I49)</f>
        <v>0</v>
      </c>
    </row>
    <row r="50" spans="1:15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>
        <f>MIN($B50,$D50,$F50,$H50)</f>
        <v>0</v>
      </c>
      <c r="K50" s="1">
        <f>MIN($C50,$E50,$G50,$I50)</f>
        <v>0</v>
      </c>
      <c r="L50" s="1">
        <f>MEDIAN($B50,$D50,$F50,$H50)</f>
        <v>0</v>
      </c>
      <c r="M50" s="1">
        <f>MEDIAN($C50,$E50,$G50,$I50)</f>
        <v>0</v>
      </c>
      <c r="N50" s="1">
        <f>MAX($B50,$D50,$F50,$H50)</f>
        <v>0</v>
      </c>
      <c r="O50" s="1">
        <f>MAX($C50,$E50,$G50,$I50)</f>
        <v>0</v>
      </c>
    </row>
    <row r="51" spans="1:15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>
        <f>MIN($B51,$D51,$F51,$H51)</f>
        <v>0</v>
      </c>
      <c r="K51" s="1">
        <f>MIN($C51,$E51,$G51,$I51)</f>
        <v>0</v>
      </c>
      <c r="L51" s="1">
        <f>MEDIAN($B51,$D51,$F51,$H51)</f>
        <v>0</v>
      </c>
      <c r="M51" s="1">
        <f>MEDIAN($C51,$E51,$G51,$I51)</f>
        <v>0</v>
      </c>
      <c r="N51" s="1">
        <f>MAX($B51,$D51,$F51,$H51)</f>
        <v>0</v>
      </c>
      <c r="O51" s="1">
        <f>MAX($C51,$E51,$G51,$I51)</f>
        <v>0</v>
      </c>
    </row>
    <row r="52" spans="1:15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>
        <f>MIN($B52,$D52,$F52,$H52)</f>
        <v>0</v>
      </c>
      <c r="K52" s="1">
        <f>MIN($C52,$E52,$G52,$I52)</f>
        <v>0</v>
      </c>
      <c r="L52" s="1">
        <f>MEDIAN($B52,$D52,$F52,$H52)</f>
        <v>0</v>
      </c>
      <c r="M52" s="1">
        <f>MEDIAN($C52,$E52,$G52,$I52)</f>
        <v>0</v>
      </c>
      <c r="N52" s="1">
        <f>MAX($B52,$D52,$F52,$H52)</f>
        <v>0</v>
      </c>
      <c r="O52" s="1">
        <f>MAX($C52,$E52,$G52,$I52)</f>
        <v>0</v>
      </c>
    </row>
    <row r="53" spans="1:15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>
        <f>MIN($B53,$D53,$F53,$H53)</f>
        <v>0</v>
      </c>
      <c r="K53" s="1">
        <f>MIN($C53,$E53,$G53,$I53)</f>
        <v>0</v>
      </c>
      <c r="L53" s="1">
        <f>MEDIAN($B53,$D53,$F53,$H53)</f>
        <v>0</v>
      </c>
      <c r="M53" s="1">
        <f>MEDIAN($C53,$E53,$G53,$I53)</f>
        <v>0</v>
      </c>
      <c r="N53" s="1">
        <f>MAX($B53,$D53,$F53,$H53)</f>
        <v>0</v>
      </c>
      <c r="O53" s="1">
        <f>MAX($C53,$E53,$G53,$I53)</f>
        <v>0</v>
      </c>
    </row>
    <row r="54" spans="1:15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>
        <f>MIN($B54,$D54,$F54,$H54)</f>
        <v>0</v>
      </c>
      <c r="K54" s="1">
        <f>MIN($C54,$E54,$G54,$I54)</f>
        <v>0</v>
      </c>
      <c r="L54" s="1">
        <f>MEDIAN($B54,$D54,$F54,$H54)</f>
        <v>0</v>
      </c>
      <c r="M54" s="1">
        <f>MEDIAN($C54,$E54,$G54,$I54)</f>
        <v>0</v>
      </c>
      <c r="N54" s="1">
        <f>MAX($B54,$D54,$F54,$H54)</f>
        <v>0</v>
      </c>
      <c r="O54" s="1">
        <f>MAX($C54,$E54,$G54,$I54)</f>
        <v>0</v>
      </c>
    </row>
    <row r="55" spans="1:15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>
        <f>MIN($B55,$D55,$F55,$H55)</f>
        <v>0</v>
      </c>
      <c r="K55" s="1">
        <f>MIN($C55,$E55,$G55,$I55)</f>
        <v>0</v>
      </c>
      <c r="L55" s="1">
        <f>MEDIAN($B55,$D55,$F55,$H55)</f>
        <v>0</v>
      </c>
      <c r="M55" s="1">
        <f>MEDIAN($C55,$E55,$G55,$I55)</f>
        <v>0</v>
      </c>
      <c r="N55" s="1">
        <f>MAX($B55,$D55,$F55,$H55)</f>
        <v>0</v>
      </c>
      <c r="O55" s="1">
        <f>MAX($C55,$E55,$G55,$I55)</f>
        <v>0</v>
      </c>
    </row>
    <row r="56" spans="1:15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>
        <f>MIN($B56,$D56,$F56,$H56)</f>
        <v>0</v>
      </c>
      <c r="K56" s="1">
        <f>MIN($C56,$E56,$G56,$I56)</f>
        <v>0</v>
      </c>
      <c r="L56" s="1">
        <f>MEDIAN($B56,$D56,$F56,$H56)</f>
        <v>0</v>
      </c>
      <c r="M56" s="1">
        <f>MEDIAN($C56,$E56,$G56,$I56)</f>
        <v>0</v>
      </c>
      <c r="N56" s="1">
        <f>MAX($B56,$D56,$F56,$H56)</f>
        <v>0</v>
      </c>
      <c r="O56" s="1">
        <f>MAX($C56,$E56,$G56,$I56)</f>
        <v>0</v>
      </c>
    </row>
    <row r="57" spans="1:15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>
        <f>MIN($B57,$D57,$F57,$H57)</f>
        <v>0</v>
      </c>
      <c r="K57" s="1">
        <f>MIN($C57,$E57,$G57,$I57)</f>
        <v>0</v>
      </c>
      <c r="L57" s="1">
        <f>MEDIAN($B57,$D57,$F57,$H57)</f>
        <v>0</v>
      </c>
      <c r="M57" s="1">
        <f>MEDIAN($C57,$E57,$G57,$I57)</f>
        <v>0</v>
      </c>
      <c r="N57" s="1">
        <f>MAX($B57,$D57,$F57,$H57)</f>
        <v>0</v>
      </c>
      <c r="O57" s="1">
        <f>MAX($C57,$E57,$G57,$I57)</f>
        <v>0</v>
      </c>
    </row>
    <row r="58" spans="1:15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>
        <f>MIN($B58,$D58,$F58,$H58)</f>
        <v>0</v>
      </c>
      <c r="K58" s="1">
        <f>MIN($C58,$E58,$G58,$I58)</f>
        <v>0</v>
      </c>
      <c r="L58" s="1">
        <f>MEDIAN($B58,$D58,$F58,$H58)</f>
        <v>0</v>
      </c>
      <c r="M58" s="1">
        <f>MEDIAN($C58,$E58,$G58,$I58)</f>
        <v>0</v>
      </c>
      <c r="N58" s="1">
        <f>MAX($B58,$D58,$F58,$H58)</f>
        <v>0</v>
      </c>
      <c r="O58" s="1">
        <f>MAX($C58,$E58,$G58,$I58)</f>
        <v>0</v>
      </c>
    </row>
    <row r="59" spans="1:15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>
        <f>MIN($B59,$D59,$F59,$H59)</f>
        <v>0</v>
      </c>
      <c r="K59" s="1">
        <f>MIN($C59,$E59,$G59,$I59)</f>
        <v>0</v>
      </c>
      <c r="L59" s="1">
        <f>MEDIAN($B59,$D59,$F59,$H59)</f>
        <v>0</v>
      </c>
      <c r="M59" s="1">
        <f>MEDIAN($C59,$E59,$G59,$I59)</f>
        <v>0</v>
      </c>
      <c r="N59" s="1">
        <f>MAX($B59,$D59,$F59,$H59)</f>
        <v>0</v>
      </c>
      <c r="O59" s="1">
        <f>MAX($C59,$E59,$G59,$I59)</f>
        <v>0</v>
      </c>
    </row>
    <row r="60" spans="1:15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>
        <f>MIN($B60,$D60,$F60,$H60)</f>
        <v>0</v>
      </c>
      <c r="K60" s="1">
        <f>MIN($C60,$E60,$G60,$I60)</f>
        <v>0</v>
      </c>
      <c r="L60" s="1">
        <f>MEDIAN($B60,$D60,$F60,$H60)</f>
        <v>0</v>
      </c>
      <c r="M60" s="1">
        <f>MEDIAN($C60,$E60,$G60,$I60)</f>
        <v>0</v>
      </c>
      <c r="N60" s="1">
        <f>MAX($B60,$D60,$F60,$H60)</f>
        <v>0</v>
      </c>
      <c r="O60" s="1">
        <f>MAX($C60,$E60,$G60,$I60)</f>
        <v>0</v>
      </c>
    </row>
    <row r="61" spans="1:15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>
        <f>MIN($B61,$D61,$F61,$H61)</f>
        <v>0</v>
      </c>
      <c r="K61" s="1">
        <f>MIN($C61,$E61,$G61,$I61)</f>
        <v>0</v>
      </c>
      <c r="L61" s="1">
        <f>MEDIAN($B61,$D61,$F61,$H61)</f>
        <v>0</v>
      </c>
      <c r="M61" s="1">
        <f>MEDIAN($C61,$E61,$G61,$I61)</f>
        <v>0</v>
      </c>
      <c r="N61" s="1">
        <f>MAX($B61,$D61,$F61,$H61)</f>
        <v>0</v>
      </c>
      <c r="O61" s="1">
        <f>MAX($C61,$E61,$G61,$I61)</f>
        <v>0</v>
      </c>
    </row>
    <row r="62" spans="1:15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/>
      <c r="I62" s="1"/>
      <c r="J62" s="1">
        <f>MIN($B62,$D62,$F62,$H62)</f>
        <v>0</v>
      </c>
      <c r="K62" s="1">
        <f>MIN($C62,$E62,$G62,$I62)</f>
        <v>0</v>
      </c>
      <c r="L62" s="1">
        <f>MEDIAN($B62,$D62,$F62,$H62)</f>
        <v>0</v>
      </c>
      <c r="M62" s="1">
        <f>MEDIAN($C62,$E62,$G62,$I62)</f>
        <v>0</v>
      </c>
      <c r="N62" s="1">
        <f>MAX($B62,$D62,$F62,$H62)</f>
        <v>0</v>
      </c>
      <c r="O62" s="1">
        <f>MAX($C62,$E62,$G62,$I62)</f>
        <v>0</v>
      </c>
    </row>
    <row r="63" spans="1:15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/>
      <c r="I63" s="1"/>
      <c r="J63" s="1">
        <f>MIN($B63,$D63,$F63,$H63)</f>
        <v>0</v>
      </c>
      <c r="K63" s="1">
        <f>MIN($C63,$E63,$G63,$I63)</f>
        <v>0</v>
      </c>
      <c r="L63" s="1">
        <f>MEDIAN($B63,$D63,$F63,$H63)</f>
        <v>0</v>
      </c>
      <c r="M63" s="1">
        <f>MEDIAN($C63,$E63,$G63,$I63)</f>
        <v>0</v>
      </c>
      <c r="N63" s="1">
        <f>MAX($B63,$D63,$F63,$H63)</f>
        <v>0</v>
      </c>
      <c r="O63" s="1">
        <f>MAX($C63,$E63,$G63,$I63)</f>
        <v>0</v>
      </c>
    </row>
    <row r="64" spans="1:15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/>
      <c r="I64" s="1"/>
      <c r="J64" s="1">
        <f>MIN($B64,$D64,$F64,$H64)</f>
        <v>0</v>
      </c>
      <c r="K64" s="1">
        <f>MIN($C64,$E64,$G64,$I64)</f>
        <v>0</v>
      </c>
      <c r="L64" s="1">
        <f>MEDIAN($B64,$D64,$F64,$H64)</f>
        <v>0</v>
      </c>
      <c r="M64" s="1">
        <f>MEDIAN($C64,$E64,$G64,$I64)</f>
        <v>0</v>
      </c>
      <c r="N64" s="1">
        <f>MAX($B64,$D64,$F64,$H64)</f>
        <v>0</v>
      </c>
      <c r="O64" s="1">
        <f>MAX($C64,$E64,$G64,$I64)</f>
        <v>0</v>
      </c>
    </row>
    <row r="65" spans="1:15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/>
      <c r="I65" s="1"/>
      <c r="J65" s="1">
        <f>MIN($B65,$D65,$F65,$H65)</f>
        <v>0</v>
      </c>
      <c r="K65" s="1">
        <f>MIN($C65,$E65,$G65,$I65)</f>
        <v>0</v>
      </c>
      <c r="L65" s="1">
        <f>MEDIAN($B65,$D65,$F65,$H65)</f>
        <v>0</v>
      </c>
      <c r="M65" s="1">
        <f>MEDIAN($C65,$E65,$G65,$I65)</f>
        <v>0</v>
      </c>
      <c r="N65" s="1">
        <f>MAX($B65,$D65,$F65,$H65)</f>
        <v>0</v>
      </c>
      <c r="O65" s="1">
        <f>MAX($C65,$E65,$G65,$I65)</f>
        <v>0</v>
      </c>
    </row>
    <row r="66" spans="1:15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/>
      <c r="I66" s="1"/>
      <c r="J66" s="1">
        <f>MIN($B66,$D66,$F66,$H66)</f>
        <v>0</v>
      </c>
      <c r="K66" s="1">
        <f>MIN($C66,$E66,$G66,$I66)</f>
        <v>0</v>
      </c>
      <c r="L66" s="1">
        <f>MEDIAN($B66,$D66,$F66,$H66)</f>
        <v>0</v>
      </c>
      <c r="M66" s="1">
        <f>MEDIAN($C66,$E66,$G66,$I66)</f>
        <v>0</v>
      </c>
      <c r="N66" s="1">
        <f>MAX($B66,$D66,$F66,$H66)</f>
        <v>0</v>
      </c>
      <c r="O66" s="1">
        <f>MAX($C66,$E66,$G66,$I66)</f>
        <v>0</v>
      </c>
    </row>
    <row r="67" spans="1:15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/>
      <c r="I67" s="1"/>
      <c r="J67" s="1">
        <f>MIN($B67,$D67,$F67,$H67)</f>
        <v>0</v>
      </c>
      <c r="K67" s="1">
        <f>MIN($C67,$E67,$G67,$I67)</f>
        <v>0</v>
      </c>
      <c r="L67" s="1">
        <f>MEDIAN($B67,$D67,$F67,$H67)</f>
        <v>0</v>
      </c>
      <c r="M67" s="1">
        <f>MEDIAN($C67,$E67,$G67,$I67)</f>
        <v>0</v>
      </c>
      <c r="N67" s="1">
        <f>MAX($B67,$D67,$F67,$H67)</f>
        <v>0</v>
      </c>
      <c r="O67" s="1">
        <f>MAX($C67,$E67,$G67,$I67)</f>
        <v>0</v>
      </c>
    </row>
    <row r="68" spans="1:15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/>
      <c r="I68" s="1"/>
      <c r="J68" s="1">
        <f>MIN($B68,$D68,$F68,$H68)</f>
        <v>0</v>
      </c>
      <c r="K68" s="1">
        <f>MIN($C68,$E68,$G68,$I68)</f>
        <v>0</v>
      </c>
      <c r="L68" s="1">
        <f>MEDIAN($B68,$D68,$F68,$H68)</f>
        <v>0</v>
      </c>
      <c r="M68" s="1">
        <f>MEDIAN($C68,$E68,$G68,$I68)</f>
        <v>0</v>
      </c>
      <c r="N68" s="1">
        <f>MAX($B68,$D68,$F68,$H68)</f>
        <v>0</v>
      </c>
      <c r="O68" s="1">
        <f>MAX($C68,$E68,$G68,$I68)</f>
        <v>0</v>
      </c>
    </row>
    <row r="69" spans="1:15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/>
      <c r="I69" s="1"/>
      <c r="J69" s="1">
        <f>MIN($B69,$D69,$F69,$H69)</f>
        <v>0</v>
      </c>
      <c r="K69" s="1">
        <f>MIN($C69,$E69,$G69,$I69)</f>
        <v>0</v>
      </c>
      <c r="L69" s="1">
        <f>MEDIAN($B69,$D69,$F69,$H69)</f>
        <v>0</v>
      </c>
      <c r="M69" s="1">
        <f>MEDIAN($C69,$E69,$G69,$I69)</f>
        <v>0</v>
      </c>
      <c r="N69" s="1">
        <f>MAX($B69,$D69,$F69,$H69)</f>
        <v>0</v>
      </c>
      <c r="O69" s="1">
        <f>MAX($C69,$E69,$G69,$I69)</f>
        <v>0</v>
      </c>
    </row>
    <row r="70" spans="1:15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/>
      <c r="I70" s="1"/>
      <c r="J70" s="1">
        <f>MIN($B70,$D70,$F70,$H70)</f>
        <v>0</v>
      </c>
      <c r="K70" s="1">
        <f>MIN($C70,$E70,$G70,$I70)</f>
        <v>0</v>
      </c>
      <c r="L70" s="1">
        <f>MEDIAN($B70,$D70,$F70,$H70)</f>
        <v>0</v>
      </c>
      <c r="M70" s="1">
        <f>MEDIAN($C70,$E70,$G70,$I70)</f>
        <v>0</v>
      </c>
      <c r="N70" s="1">
        <f>MAX($B70,$D70,$F70,$H70)</f>
        <v>0</v>
      </c>
      <c r="O70" s="1">
        <f>MAX($C70,$E70,$G70,$I70)</f>
        <v>0</v>
      </c>
    </row>
    <row r="71" spans="1:15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/>
      <c r="I71" s="1"/>
      <c r="J71" s="1">
        <f>MIN($B71,$D71,$F71,$H71)</f>
        <v>0</v>
      </c>
      <c r="K71" s="1">
        <f>MIN($C71,$E71,$G71,$I71)</f>
        <v>0</v>
      </c>
      <c r="L71" s="1">
        <f>MEDIAN($B71,$D71,$F71,$H71)</f>
        <v>0</v>
      </c>
      <c r="M71" s="1">
        <f>MEDIAN($C71,$E71,$G71,$I71)</f>
        <v>0</v>
      </c>
      <c r="N71" s="1">
        <f>MAX($B71,$D71,$F71,$H71)</f>
        <v>0</v>
      </c>
      <c r="O71" s="1">
        <f>MAX($C71,$E71,$G71,$I71)</f>
        <v>0</v>
      </c>
    </row>
    <row r="72" spans="1:15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/>
      <c r="I72" s="1"/>
      <c r="J72" s="1">
        <f>MIN($B72,$D72,$F72,$H72)</f>
        <v>0</v>
      </c>
      <c r="K72" s="1">
        <f>MIN($C72,$E72,$G72,$I72)</f>
        <v>0</v>
      </c>
      <c r="L72" s="1">
        <f>MEDIAN($B72,$D72,$F72,$H72)</f>
        <v>0</v>
      </c>
      <c r="M72" s="1">
        <f>MEDIAN($C72,$E72,$G72,$I72)</f>
        <v>0</v>
      </c>
      <c r="N72" s="1">
        <f>MAX($B72,$D72,$F72,$H72)</f>
        <v>0</v>
      </c>
      <c r="O72" s="1">
        <f>MAX($C72,$E72,$G72,$I72)</f>
        <v>0</v>
      </c>
    </row>
    <row r="73" spans="1:15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/>
      <c r="I73" s="1"/>
      <c r="J73" s="1">
        <f>MIN($B73,$D73,$F73,$H73)</f>
        <v>0</v>
      </c>
      <c r="K73" s="1">
        <f>MIN($C73,$E73,$G73,$I73)</f>
        <v>0</v>
      </c>
      <c r="L73" s="1">
        <f>MEDIAN($B73,$D73,$F73,$H73)</f>
        <v>0</v>
      </c>
      <c r="M73" s="1">
        <f>MEDIAN($C73,$E73,$G73,$I73)</f>
        <v>0</v>
      </c>
      <c r="N73" s="1">
        <f>MAX($B73,$D73,$F73,$H73)</f>
        <v>0</v>
      </c>
      <c r="O73" s="1">
        <f>MAX($C73,$E73,$G73,$I73)</f>
        <v>0</v>
      </c>
    </row>
    <row r="74" spans="1:15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/>
      <c r="I74" s="1"/>
      <c r="J74" s="1">
        <f>MIN($B74,$D74,$F74,$H74)</f>
        <v>0</v>
      </c>
      <c r="K74" s="1">
        <f>MIN($C74,$E74,$G74,$I74)</f>
        <v>0</v>
      </c>
      <c r="L74" s="1">
        <f>MEDIAN($B74,$D74,$F74,$H74)</f>
        <v>0</v>
      </c>
      <c r="M74" s="1">
        <f>MEDIAN($C74,$E74,$G74,$I74)</f>
        <v>0</v>
      </c>
      <c r="N74" s="1">
        <f>MAX($B74,$D74,$F74,$H74)</f>
        <v>0</v>
      </c>
      <c r="O74" s="1">
        <f>MAX($C74,$E74,$G74,$I74)</f>
        <v>0</v>
      </c>
    </row>
    <row r="75" spans="1:15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/>
      <c r="I75" s="1"/>
      <c r="J75" s="1">
        <f>MIN($B75,$D75,$F75,$H75)</f>
        <v>0</v>
      </c>
      <c r="K75" s="1">
        <f>MIN($C75,$E75,$G75,$I75)</f>
        <v>0</v>
      </c>
      <c r="L75" s="1">
        <f>MEDIAN($B75,$D75,$F75,$H75)</f>
        <v>0</v>
      </c>
      <c r="M75" s="1">
        <f>MEDIAN($C75,$E75,$G75,$I75)</f>
        <v>0</v>
      </c>
      <c r="N75" s="1">
        <f>MAX($B75,$D75,$F75,$H75)</f>
        <v>0</v>
      </c>
      <c r="O75" s="1">
        <f>MAX($C75,$E75,$G75,$I75)</f>
        <v>0</v>
      </c>
    </row>
    <row r="76" spans="1:15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/>
      <c r="I76" s="1"/>
      <c r="J76" s="1">
        <f>MIN($B76,$D76,$F76,$H76)</f>
        <v>0</v>
      </c>
      <c r="K76" s="1">
        <f>MIN($C76,$E76,$G76,$I76)</f>
        <v>0</v>
      </c>
      <c r="L76" s="1">
        <f>MEDIAN($B76,$D76,$F76,$H76)</f>
        <v>0</v>
      </c>
      <c r="M76" s="1">
        <f>MEDIAN($C76,$E76,$G76,$I76)</f>
        <v>0</v>
      </c>
      <c r="N76" s="1">
        <f>MAX($B76,$D76,$F76,$H76)</f>
        <v>0</v>
      </c>
      <c r="O76" s="1">
        <f>MAX($C76,$E76,$G76,$I76)</f>
        <v>0</v>
      </c>
    </row>
    <row r="77" spans="1:15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/>
      <c r="I77" s="1"/>
      <c r="J77" s="1">
        <f>MIN($B77,$D77,$F77,$H77)</f>
        <v>0</v>
      </c>
      <c r="K77" s="1">
        <f>MIN($C77,$E77,$G77,$I77)</f>
        <v>0</v>
      </c>
      <c r="L77" s="1">
        <f>MEDIAN($B77,$D77,$F77,$H77)</f>
        <v>0</v>
      </c>
      <c r="M77" s="1">
        <f>MEDIAN($C77,$E77,$G77,$I77)</f>
        <v>0</v>
      </c>
      <c r="N77" s="1">
        <f>MAX($B77,$D77,$F77,$H77)</f>
        <v>0</v>
      </c>
      <c r="O77" s="1">
        <f>MAX($C77,$E77,$G77,$I77)</f>
        <v>0</v>
      </c>
    </row>
    <row r="78" spans="1:15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/>
      <c r="I78" s="1"/>
      <c r="J78" s="1">
        <f>MIN($B78,$D78,$F78,$H78)</f>
        <v>0</v>
      </c>
      <c r="K78" s="1">
        <f>MIN($C78,$E78,$G78,$I78)</f>
        <v>0</v>
      </c>
      <c r="L78" s="1">
        <f>MEDIAN($B78,$D78,$F78,$H78)</f>
        <v>0</v>
      </c>
      <c r="M78" s="1">
        <f>MEDIAN($C78,$E78,$G78,$I78)</f>
        <v>0</v>
      </c>
      <c r="N78" s="1">
        <f>MAX($B78,$D78,$F78,$H78)</f>
        <v>0</v>
      </c>
      <c r="O78" s="1">
        <f>MAX($C78,$E78,$G78,$I78)</f>
        <v>0</v>
      </c>
    </row>
    <row r="79" spans="1:15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/>
      <c r="I79" s="1"/>
      <c r="J79" s="1">
        <f>MIN($B79,$D79,$F79,$H79)</f>
        <v>0</v>
      </c>
      <c r="K79" s="1">
        <f>MIN($C79,$E79,$G79,$I79)</f>
        <v>0</v>
      </c>
      <c r="L79" s="1">
        <f>MEDIAN($B79,$D79,$F79,$H79)</f>
        <v>0</v>
      </c>
      <c r="M79" s="1">
        <f>MEDIAN($C79,$E79,$G79,$I79)</f>
        <v>0</v>
      </c>
      <c r="N79" s="1">
        <f>MAX($B79,$D79,$F79,$H79)</f>
        <v>0</v>
      </c>
      <c r="O79" s="1">
        <f>MAX($C79,$E79,$G79,$I79)</f>
        <v>0</v>
      </c>
    </row>
    <row r="80" spans="1:15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/>
      <c r="I80" s="1"/>
      <c r="J80" s="1">
        <f>MIN($B80,$D80,$F80,$H80)</f>
        <v>0</v>
      </c>
      <c r="K80" s="1">
        <f>MIN($C80,$E80,$G80,$I80)</f>
        <v>0</v>
      </c>
      <c r="L80" s="1">
        <f>MEDIAN($B80,$D80,$F80,$H80)</f>
        <v>0</v>
      </c>
      <c r="M80" s="1">
        <f>MEDIAN($C80,$E80,$G80,$I80)</f>
        <v>0</v>
      </c>
      <c r="N80" s="1">
        <f>MAX($B80,$D80,$F80,$H80)</f>
        <v>0</v>
      </c>
      <c r="O80" s="1">
        <f>MAX($C80,$E80,$G80,$I80)</f>
        <v>0</v>
      </c>
    </row>
    <row r="81" spans="1:15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/>
      <c r="I81" s="1"/>
      <c r="J81" s="1">
        <f>MIN($B81,$D81,$F81,$H81)</f>
        <v>0</v>
      </c>
      <c r="K81" s="1">
        <f>MIN($C81,$E81,$G81,$I81)</f>
        <v>0</v>
      </c>
      <c r="L81" s="1">
        <f>MEDIAN($B81,$D81,$F81,$H81)</f>
        <v>0</v>
      </c>
      <c r="M81" s="1">
        <f>MEDIAN($C81,$E81,$G81,$I81)</f>
        <v>0</v>
      </c>
      <c r="N81" s="1">
        <f>MAX($B81,$D81,$F81,$H81)</f>
        <v>0</v>
      </c>
      <c r="O81" s="1">
        <f>MAX($C81,$E81,$G81,$I81)</f>
        <v>0</v>
      </c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79</v>
      </c>
      <c r="B83" s="1">
        <f>SUM(B$3:B$81)</f>
        <v>0</v>
      </c>
      <c r="C83" s="1">
        <f>SUM(C$3:C$81)</f>
        <v>0</v>
      </c>
      <c r="D83" s="1">
        <f>SUM(D$3:D$81)</f>
        <v>0</v>
      </c>
      <c r="E83" s="1">
        <f>SUM(E$3:E$81)</f>
        <v>0</v>
      </c>
      <c r="F83" s="1">
        <f>SUM(F$3:F$81)</f>
        <v>0</v>
      </c>
      <c r="G83" s="1">
        <f>SUM(G$3:G$81)</f>
        <v>0</v>
      </c>
      <c r="H83" s="1">
        <f>SUM(H$3:H$81)</f>
        <v>0</v>
      </c>
      <c r="I83" s="1">
        <f>SUM(I$3:I$81)</f>
        <v>0</v>
      </c>
      <c r="J83" s="1">
        <f>SUM(J$3:J$81)</f>
        <v>0</v>
      </c>
      <c r="K83" s="1">
        <f>SUM(K$3:K$81)</f>
        <v>0</v>
      </c>
      <c r="L83" s="1">
        <f>SUM(L$3:L$81)</f>
        <v>0</v>
      </c>
      <c r="M83" s="1">
        <f>SUM(M$3:M$81)</f>
        <v>0</v>
      </c>
      <c r="N83" s="1">
        <f>SUM(N$3:N$81)</f>
        <v>0</v>
      </c>
      <c r="O83" s="1">
        <f>SUM(O$3:O$81)</f>
        <v>0</v>
      </c>
    </row>
    <row r="84" spans="1:15">
      <c r="A84" s="1" t="s">
        <v>80</v>
      </c>
      <c r="B84" s="1">
        <f>AVERAGE(B$3:B$81)</f>
        <v>0</v>
      </c>
      <c r="C84" s="1">
        <f>AVERAGE(C$3:C$81)</f>
        <v>0</v>
      </c>
      <c r="D84" s="1">
        <f>AVERAGE(D$3:D$81)</f>
        <v>0</v>
      </c>
      <c r="E84" s="1">
        <f>AVERAGE(E$3:E$81)</f>
        <v>0</v>
      </c>
      <c r="F84" s="1">
        <f>AVERAGE(F$3:F$81)</f>
        <v>0</v>
      </c>
      <c r="G84" s="1">
        <f>AVERAGE(G$3:G$81)</f>
        <v>0</v>
      </c>
      <c r="H84" s="1">
        <f>AVERAGE(H$3:H$81)</f>
        <v>0</v>
      </c>
      <c r="I84" s="1">
        <f>AVERAGE(I$3:I$81)</f>
        <v>0</v>
      </c>
      <c r="J84" s="1">
        <f>AVERAGE(J$3:J$81)</f>
        <v>0</v>
      </c>
      <c r="K84" s="1">
        <f>AVERAGE(K$3:K$81)</f>
        <v>0</v>
      </c>
      <c r="L84" s="1">
        <f>AVERAGE(L$3:L$81)</f>
        <v>0</v>
      </c>
      <c r="M84" s="1">
        <f>AVERAGE(M$3:M$81)</f>
        <v>0</v>
      </c>
      <c r="N84" s="1">
        <f>AVERAGE(N$3:N$81)</f>
        <v>0</v>
      </c>
      <c r="O84" s="1">
        <f>AVERAGE(O$3:O$81)</f>
        <v>0</v>
      </c>
    </row>
    <row r="85" spans="1:15">
      <c r="A85" s="1" t="s">
        <v>81</v>
      </c>
      <c r="B85" s="1">
        <f>STDEV(B$3:B$81)</f>
        <v>0</v>
      </c>
      <c r="C85" s="1">
        <f>STDEV(C$3:C$81)</f>
        <v>0</v>
      </c>
      <c r="D85" s="1">
        <f>STDEV(D$3:D$81)</f>
        <v>0</v>
      </c>
      <c r="E85" s="1">
        <f>STDEV(E$3:E$81)</f>
        <v>0</v>
      </c>
      <c r="F85" s="1">
        <f>STDEV(F$3:F$81)</f>
        <v>0</v>
      </c>
      <c r="G85" s="1">
        <f>STDEV(G$3:G$81)</f>
        <v>0</v>
      </c>
      <c r="H85" s="1">
        <f>STDEV(H$3:H$81)</f>
        <v>0</v>
      </c>
      <c r="I85" s="1">
        <f>STDEV(I$3:I$81)</f>
        <v>0</v>
      </c>
      <c r="J85" s="1">
        <f>STDEV(J$3:J$81)</f>
        <v>0</v>
      </c>
      <c r="K85" s="1">
        <f>STDEV(K$3:K$81)</f>
        <v>0</v>
      </c>
      <c r="L85" s="1">
        <f>STDEV(L$3:L$81)</f>
        <v>0</v>
      </c>
      <c r="M85" s="1">
        <f>STDEV(M$3:M$81)</f>
        <v>0</v>
      </c>
      <c r="N85" s="1">
        <f>STDEV(N$3:N$81)</f>
        <v>0</v>
      </c>
      <c r="O85" s="1">
        <f>STDEV(O$3:O$81)</f>
        <v>0</v>
      </c>
    </row>
    <row r="86" spans="1:15">
      <c r="A86" s="1" t="s">
        <v>82</v>
      </c>
      <c r="B86" s="1">
        <f>SUMPRODUCT(--(B$3:B$81-$J$3:$J$81)^2)^0.5</f>
        <v>0</v>
      </c>
      <c r="C86" s="1">
        <f>SUMPRODUCT(--(C$3:C$81-$K$3:$K$81)^2)^0.5</f>
        <v>0</v>
      </c>
      <c r="D86" s="1">
        <f>SUMPRODUCT(--(D$3:D$81-$J$3:$J$81)^2)^0.5</f>
        <v>0</v>
      </c>
      <c r="E86" s="1">
        <f>SUMPRODUCT(--(E$3:E$81-$K$3:$K$81)^2)^0.5</f>
        <v>0</v>
      </c>
      <c r="F86" s="1">
        <f>SUMPRODUCT(--(F$3:F$81-$J$3:$J$81)^2)^0.5</f>
        <v>0</v>
      </c>
      <c r="G86" s="1">
        <f>SUMPRODUCT(--(G$3:G$81-$K$3:$K$81)^2)^0.5</f>
        <v>0</v>
      </c>
      <c r="H86" s="1">
        <f>SUMPRODUCT(--(H$3:H$81-$J$3:$J$81)^2)^0.5</f>
        <v>0</v>
      </c>
      <c r="I86" s="1">
        <f>SUMPRODUCT(--(I$3:I$81-$K$3:$K$81)^2)^0.5</f>
        <v>0</v>
      </c>
      <c r="J86" s="1"/>
      <c r="K86" s="1"/>
      <c r="L86" s="1"/>
      <c r="M86" s="1"/>
      <c r="N86" s="1"/>
      <c r="O86" s="1"/>
    </row>
    <row r="87" spans="1:15">
      <c r="A87" s="1" t="s">
        <v>83</v>
      </c>
      <c r="B87" s="1">
        <f>SUMPRODUCT(NOT(ISBLANK(B$3:B$81))*(B$3:B$81=$J$3:$J$81))</f>
        <v>0</v>
      </c>
      <c r="C87" s="1">
        <f>SUMPRODUCT(NOT(ISBLANK(C$3:C$81))*(C$3:C$81=$K$3:$K$81))</f>
        <v>0</v>
      </c>
      <c r="D87" s="1">
        <f>SUMPRODUCT(NOT(ISBLANK(D$3:D$81))*(D$3:D$81=$J$3:$J$81))</f>
        <v>0</v>
      </c>
      <c r="E87" s="1">
        <f>SUMPRODUCT(NOT(ISBLANK(E$3:E$81))*(E$3:E$81=$K$3:$K$81))</f>
        <v>0</v>
      </c>
      <c r="F87" s="1">
        <f>SUMPRODUCT(NOT(ISBLANK(F$3:F$81))*(F$3:F$81=$J$3:$J$81))</f>
        <v>0</v>
      </c>
      <c r="G87" s="1">
        <f>SUMPRODUCT(NOT(ISBLANK(G$3:G$81))*(G$3:G$81=$K$3:$K$81))</f>
        <v>0</v>
      </c>
      <c r="H87" s="1">
        <f>SUMPRODUCT(NOT(ISBLANK(H$3:H$81))*(H$3:H$81=$J$3:$J$81))</f>
        <v>0</v>
      </c>
      <c r="I87" s="1">
        <f>SUMPRODUCT(NOT(ISBLANK(I$3:I$81))*(I$3:I$81=$K$3:$K$81))</f>
        <v>0</v>
      </c>
      <c r="J87" s="1"/>
      <c r="K87" s="1"/>
      <c r="L87" s="1"/>
      <c r="M87" s="1"/>
      <c r="N87" s="1"/>
      <c r="O87" s="1"/>
    </row>
    <row r="88" spans="1:15">
      <c r="A88" s="1" t="s">
        <v>84</v>
      </c>
      <c r="B88" s="1">
        <f>SUMPRODUCT(NOT(ISBLANK(B$3:B$81))*(B$3:B$81&lt;$L$3:$L$81))</f>
        <v>0</v>
      </c>
      <c r="C88" s="1">
        <f>SUMPRODUCT(NOT(ISBLANK(C$3:C$81))*(C$3:C$81&lt;$M$3:$M$81))</f>
        <v>0</v>
      </c>
      <c r="D88" s="1">
        <f>SUMPRODUCT(NOT(ISBLANK(D$3:D$81))*(D$3:D$81&lt;$L$3:$L$81))</f>
        <v>0</v>
      </c>
      <c r="E88" s="1">
        <f>SUMPRODUCT(NOT(ISBLANK(E$3:E$81))*(E$3:E$81&lt;$M$3:$M$81))</f>
        <v>0</v>
      </c>
      <c r="F88" s="1">
        <f>SUMPRODUCT(NOT(ISBLANK(F$3:F$81))*(F$3:F$81&lt;$L$3:$L$81))</f>
        <v>0</v>
      </c>
      <c r="G88" s="1">
        <f>SUMPRODUCT(NOT(ISBLANK(G$3:G$81))*(G$3:G$81&lt;$M$3:$M$81))</f>
        <v>0</v>
      </c>
      <c r="H88" s="1">
        <f>SUMPRODUCT(NOT(ISBLANK(H$3:H$81))*(H$3:H$81&lt;$L$3:$L$81))</f>
        <v>0</v>
      </c>
      <c r="I88" s="1">
        <f>SUMPRODUCT(NOT(ISBLANK(I$3:I$81))*(I$3:I$81&lt;$M$3:$M$81))</f>
        <v>0</v>
      </c>
      <c r="J88" s="1"/>
      <c r="K88" s="1"/>
      <c r="L88" s="1"/>
      <c r="M88" s="1"/>
      <c r="N88" s="1"/>
      <c r="O88" s="1"/>
    </row>
    <row r="89" spans="1:15">
      <c r="A89" s="1" t="s">
        <v>85</v>
      </c>
      <c r="B89" s="1">
        <f>SUMPRODUCT((NOT(ISBLANK(B$3:B$81))*(B$3:B$81&gt;$L$3:$L$81))+ISBLANK(B$3:B$81))</f>
        <v>0</v>
      </c>
      <c r="C89" s="1">
        <f>SUMPRODUCT((NOT(ISBLANK(C$3:C$81))*(C$3:C$81&gt;$M$3:$M$81))+ISBLANK(C$3:C$81))</f>
        <v>0</v>
      </c>
      <c r="D89" s="1">
        <f>SUMPRODUCT((NOT(ISBLANK(D$3:D$81))*(D$3:D$81&gt;$L$3:$L$81))+ISBLANK(D$3:D$81))</f>
        <v>0</v>
      </c>
      <c r="E89" s="1">
        <f>SUMPRODUCT((NOT(ISBLANK(E$3:E$81))*(E$3:E$81&gt;$M$3:$M$81))+ISBLANK(E$3:E$81))</f>
        <v>0</v>
      </c>
      <c r="F89" s="1">
        <f>SUMPRODUCT((NOT(ISBLANK(F$3:F$81))*(F$3:F$81&gt;$L$3:$L$81))+ISBLANK(F$3:F$81))</f>
        <v>0</v>
      </c>
      <c r="G89" s="1">
        <f>SUMPRODUCT((NOT(ISBLANK(G$3:G$81))*(G$3:G$81&gt;$M$3:$M$81))+ISBLANK(G$3:G$81))</f>
        <v>0</v>
      </c>
      <c r="H89" s="1">
        <f>SUMPRODUCT((NOT(ISBLANK(H$3:H$81))*(H$3:H$81&gt;$L$3:$L$81))+ISBLANK(H$3:H$81))</f>
        <v>0</v>
      </c>
      <c r="I89" s="1">
        <f>SUMPRODUCT((NOT(ISBLANK(I$3:I$81))*(I$3:I$81&gt;$M$3:$M$81))+ISBLANK(I$3:I$81))</f>
        <v>0</v>
      </c>
      <c r="J89" s="1"/>
      <c r="K89" s="1"/>
      <c r="L89" s="1"/>
      <c r="M89" s="1"/>
      <c r="N89" s="1"/>
      <c r="O89" s="1"/>
    </row>
    <row r="90" spans="1:15">
      <c r="A90" s="1" t="s">
        <v>86</v>
      </c>
      <c r="B90" s="1">
        <f>SUMPRODUCT((NOT(ISBLANK(B$3:B$81))*(B$3:B$81=$N$3:$N$81))+ISBLANK(B$3:B$81))</f>
        <v>0</v>
      </c>
      <c r="C90" s="1">
        <f>SUMPRODUCT((NOT(ISBLANK(C$3:C$81))*(C$3:C$81=$O$3:$O$81))+ISBLANK(C$3:C$81))</f>
        <v>0</v>
      </c>
      <c r="D90" s="1">
        <f>SUMPRODUCT((NOT(ISBLANK(D$3:D$81))*(D$3:D$81=$N$3:$N$81))+ISBLANK(D$3:D$81))</f>
        <v>0</v>
      </c>
      <c r="E90" s="1">
        <f>SUMPRODUCT((NOT(ISBLANK(E$3:E$81))*(E$3:E$81=$O$3:$O$81))+ISBLANK(E$3:E$81))</f>
        <v>0</v>
      </c>
      <c r="F90" s="1">
        <f>SUMPRODUCT((NOT(ISBLANK(F$3:F$81))*(F$3:F$81=$N$3:$N$81))+ISBLANK(F$3:F$81))</f>
        <v>0</v>
      </c>
      <c r="G90" s="1">
        <f>SUMPRODUCT((NOT(ISBLANK(G$3:G$81))*(G$3:G$81=$O$3:$O$81))+ISBLANK(G$3:G$81))</f>
        <v>0</v>
      </c>
      <c r="H90" s="1">
        <f>SUMPRODUCT((NOT(ISBLANK(H$3:H$81))*(H$3:H$81=$N$3:$N$81))+ISBLANK(H$3:H$81))</f>
        <v>0</v>
      </c>
      <c r="I90" s="1">
        <f>SUMPRODUCT((NOT(ISBLANK(I$3:I$81))*(I$3:I$81=$O$3:$O$81))+ISBLANK(I$3:I$81))</f>
        <v>0</v>
      </c>
      <c r="J90" s="1"/>
      <c r="K90" s="1"/>
      <c r="L90" s="1"/>
      <c r="M90" s="1"/>
      <c r="N90" s="1"/>
      <c r="O90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/>
      <c r="B1" s="1" t="s">
        <v>87</v>
      </c>
      <c r="C1" s="2"/>
      <c r="D1" s="1" t="s">
        <v>90</v>
      </c>
      <c r="E1" s="2"/>
      <c r="F1" s="1" t="s">
        <v>91</v>
      </c>
      <c r="G1" s="2"/>
      <c r="H1" s="1" t="s">
        <v>92</v>
      </c>
      <c r="I1" s="2"/>
      <c r="J1" s="1" t="s">
        <v>93</v>
      </c>
      <c r="K1" s="1"/>
      <c r="L1" s="1" t="s">
        <v>94</v>
      </c>
      <c r="M1" s="1"/>
      <c r="N1" s="1" t="s">
        <v>95</v>
      </c>
      <c r="O1" s="1"/>
    </row>
    <row r="2" spans="1:15">
      <c r="A2" s="1"/>
      <c r="B2" s="1" t="s">
        <v>88</v>
      </c>
      <c r="C2" s="2" t="s">
        <v>89</v>
      </c>
      <c r="D2" s="1" t="s">
        <v>88</v>
      </c>
      <c r="E2" s="2" t="s">
        <v>89</v>
      </c>
      <c r="F2" s="1" t="s">
        <v>88</v>
      </c>
      <c r="G2" s="2" t="s">
        <v>89</v>
      </c>
      <c r="H2" s="1" t="s">
        <v>88</v>
      </c>
      <c r="I2" s="2" t="s">
        <v>89</v>
      </c>
      <c r="J2" s="1" t="s">
        <v>88</v>
      </c>
      <c r="K2" s="1" t="s">
        <v>89</v>
      </c>
      <c r="L2" s="1" t="s">
        <v>88</v>
      </c>
      <c r="M2" s="1" t="s">
        <v>89</v>
      </c>
      <c r="N2" s="1" t="s">
        <v>88</v>
      </c>
      <c r="O2" s="1" t="s">
        <v>89</v>
      </c>
    </row>
    <row r="3" spans="1:15">
      <c r="A3" s="1" t="s">
        <v>97</v>
      </c>
      <c r="B3" s="1">
        <f>AVERAGE(Instances!B3:Instances!B61)</f>
        <v>0</v>
      </c>
      <c r="C3" s="1">
        <f>SUM(Instances!C3:Instances!C61)</f>
        <v>0</v>
      </c>
      <c r="D3" s="4">
        <f>AVERAGE(Instances!D3:Instances!D61)</f>
        <v>0</v>
      </c>
      <c r="E3" s="1">
        <f>SUM(Instances!E3:Instances!E61)</f>
        <v>0</v>
      </c>
      <c r="F3" s="1">
        <f>AVERAGE(Instances!F3:Instances!F61)</f>
        <v>0</v>
      </c>
      <c r="G3" s="1">
        <f>SUM(Instances!G3:Instances!G61)</f>
        <v>0</v>
      </c>
      <c r="H3" s="3">
        <f>AVERAGE(Instances!H3:Instances!H61)</f>
        <v>0</v>
      </c>
      <c r="I3" s="3">
        <f>SUM(Instances!I3:Instances!I61)</f>
        <v>0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 t="s">
        <v>97</v>
      </c>
      <c r="B4" s="1">
        <f>AVERAGE(Instances!B62:Instances!B81)</f>
        <v>0</v>
      </c>
      <c r="C4" s="1">
        <f>SUM(Instances!C62:Instances!C81)</f>
        <v>0</v>
      </c>
      <c r="D4" s="4">
        <f>AVERAGE(Instances!D62:Instances!D81)</f>
        <v>0</v>
      </c>
      <c r="E4" s="1">
        <f>SUM(Instances!E62:Instances!E81)</f>
        <v>0</v>
      </c>
      <c r="F4" s="3">
        <f>AVERAGE(Instances!F62:Instances!F81)</f>
        <v>0</v>
      </c>
      <c r="G4" s="1">
        <f>SUM(Instances!G62:Instances!G81)</f>
        <v>0</v>
      </c>
      <c r="H4" s="1"/>
      <c r="I4" s="1"/>
      <c r="J4" s="1">
        <f>MIN($B4,$D4,$F4,$H4)</f>
        <v>0</v>
      </c>
      <c r="K4" s="1">
        <f>MIN($C4,$E4,$G4,$I4)</f>
        <v>0</v>
      </c>
      <c r="L4" s="1">
        <f>MEDIAN($B4,$D4,$F4,$H4)</f>
        <v>0</v>
      </c>
      <c r="M4" s="1">
        <f>MEDIAN($C4,$E4,$G4,$I4)</f>
        <v>0</v>
      </c>
      <c r="N4" s="1">
        <f>MAX($B4,$D4,$F4,$H4)</f>
        <v>0</v>
      </c>
      <c r="O4" s="1">
        <f>MAX($C4,$E4,$G4,$I4)</f>
        <v>0</v>
      </c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79</v>
      </c>
      <c r="B6" s="1">
        <f>SUM(B$3:B$4)</f>
        <v>0</v>
      </c>
      <c r="C6" s="1">
        <f>SUM(C$3:C$4)</f>
        <v>0</v>
      </c>
      <c r="D6" s="4">
        <f>SUM(D$3:D$4)</f>
        <v>0</v>
      </c>
      <c r="E6" s="1">
        <f>SUM(E$3:E$4)</f>
        <v>0</v>
      </c>
      <c r="F6" s="1">
        <f>SUM(F$3:F$4)</f>
        <v>0</v>
      </c>
      <c r="G6" s="1">
        <f>SUM(G$3:G$4)</f>
        <v>0</v>
      </c>
      <c r="H6" s="3">
        <f>SUM(H$3:H$4)</f>
        <v>0</v>
      </c>
      <c r="I6" s="3">
        <f>SUM(I$3:I$4)</f>
        <v>0</v>
      </c>
      <c r="J6" s="1">
        <f>SUM(J$3:J$4)</f>
        <v>0</v>
      </c>
      <c r="K6" s="1">
        <f>SUM(K$3:K$4)</f>
        <v>0</v>
      </c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</row>
    <row r="7" spans="1:15">
      <c r="A7" s="1" t="s">
        <v>80</v>
      </c>
      <c r="B7" s="1">
        <f>AVERAGE(B$3:B$4)</f>
        <v>0</v>
      </c>
      <c r="C7" s="1">
        <f>AVERAGE(C$3:C$4)</f>
        <v>0</v>
      </c>
      <c r="D7" s="4">
        <f>AVERAGE(D$3:D$4)</f>
        <v>0</v>
      </c>
      <c r="E7" s="1">
        <f>AVERAGE(E$3:E$4)</f>
        <v>0</v>
      </c>
      <c r="F7" s="1">
        <f>AVERAGE(F$3:F$4)</f>
        <v>0</v>
      </c>
      <c r="G7" s="1">
        <f>AVERAGE(G$3:G$4)</f>
        <v>0</v>
      </c>
      <c r="H7" s="3">
        <f>AVERAGE(H$3:H$4)</f>
        <v>0</v>
      </c>
      <c r="I7" s="3">
        <f>AVERAGE(I$3:I$4)</f>
        <v>0</v>
      </c>
      <c r="J7" s="1">
        <f>AVERAGE(J$3:J$4)</f>
        <v>0</v>
      </c>
      <c r="K7" s="1">
        <f>AVERAGE(K$3:K$4)</f>
        <v>0</v>
      </c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</row>
    <row r="8" spans="1:15">
      <c r="A8" s="1" t="s">
        <v>81</v>
      </c>
      <c r="B8" s="1">
        <f>STDEV(B$3:B$4)</f>
        <v>0</v>
      </c>
      <c r="C8" s="1">
        <f>STDEV(C$3:C$4)</f>
        <v>0</v>
      </c>
      <c r="D8" s="3">
        <f>STDEV(D$3:D$4)</f>
        <v>0</v>
      </c>
      <c r="E8" s="1">
        <f>STDEV(E$3:E$4)</f>
        <v>0</v>
      </c>
      <c r="F8" s="4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>
        <f>STDEV(K$3:K$4)</f>
        <v>0</v>
      </c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</row>
    <row r="9" spans="1:15">
      <c r="A9" s="1" t="s">
        <v>82</v>
      </c>
      <c r="B9" s="1">
        <f>SUMPRODUCT(--(B$3:B$4-$J$3:$J$4)^2)^0.5</f>
        <v>0</v>
      </c>
      <c r="C9" s="1">
        <f>SUMPRODUCT(--(C$3:C$4-$K$3:$K$4)^2)^0.5</f>
        <v>0</v>
      </c>
      <c r="D9" s="4">
        <f>SUMPRODUCT(--(D$3:D$4-$J$3:$J$4)^2)^0.5</f>
        <v>0</v>
      </c>
      <c r="E9" s="1">
        <f>SUMPRODUCT(--(E$3:E$4-$K$3:$K$4)^2)^0.5</f>
        <v>0</v>
      </c>
      <c r="F9" s="1">
        <f>SUMPRODUCT(--(F$3:F$4-$J$3:$J$4)^2)^0.5</f>
        <v>0</v>
      </c>
      <c r="G9" s="1">
        <f>SUMPRODUCT(--(G$3:G$4-$K$3:$K$4)^2)^0.5</f>
        <v>0</v>
      </c>
      <c r="H9" s="3">
        <f>SUMPRODUCT(--(H$3:H$4-$J$3:$J$4)^2)^0.5</f>
        <v>0</v>
      </c>
      <c r="I9" s="3">
        <f>SUMPRODUCT(--(I$3:I$4-$K$3:$K$4)^2)^0.5</f>
        <v>0</v>
      </c>
      <c r="J9" s="1"/>
      <c r="K9" s="1"/>
      <c r="L9" s="1"/>
      <c r="M9" s="1"/>
      <c r="N9" s="1"/>
      <c r="O9" s="1"/>
    </row>
    <row r="10" spans="1:15">
      <c r="A10" s="1" t="s">
        <v>83</v>
      </c>
      <c r="B10" s="1">
        <f>SUMPRODUCT(NOT(ISBLANK(B$3:B$4))*(B$3:B$4=$J$3:$J$4))</f>
        <v>0</v>
      </c>
      <c r="C10" s="1">
        <f>SUMPRODUCT(NOT(ISBLANK(C$3:C$4))*(C$3:C$4=$K$3:$K$4))</f>
        <v>0</v>
      </c>
      <c r="D10" s="1">
        <f>SUMPRODUCT(NOT(ISBLANK(D$3:D$4))*(D$3:D$4=$J$3:$J$4))</f>
        <v>0</v>
      </c>
      <c r="E10" s="1">
        <f>SUMPRODUCT(NOT(ISBLANK(E$3:E$4))*(E$3:E$4=$K$3:$K$4))</f>
        <v>0</v>
      </c>
      <c r="F10" s="1">
        <f>SUMPRODUCT(NOT(ISBLANK(F$3:F$4))*(F$3:F$4=$J$3:$J$4))</f>
        <v>0</v>
      </c>
      <c r="G10" s="1">
        <f>SUMPRODUCT(NOT(ISBLANK(G$3:G$4))*(G$3:G$4=$K$3:$K$4))</f>
        <v>0</v>
      </c>
      <c r="H10" s="1">
        <f>SUMPRODUCT(NOT(ISBLANK(H$3:H$4))*(H$3:H$4=$J$3:$J$4))</f>
        <v>0</v>
      </c>
      <c r="I10" s="1">
        <f>SUMPRODUCT(NOT(ISBLANK(I$3:I$4))*(I$3:I$4=$K$3:$K$4))</f>
        <v>0</v>
      </c>
      <c r="J10" s="1"/>
      <c r="K10" s="1"/>
      <c r="L10" s="1"/>
      <c r="M10" s="1"/>
      <c r="N10" s="1"/>
      <c r="O10" s="1"/>
    </row>
    <row r="11" spans="1:15">
      <c r="A11" s="1" t="s">
        <v>84</v>
      </c>
      <c r="B11" s="1">
        <f>SUMPRODUCT(NOT(ISBLANK(B$3:B$4))*(B$3:B$4&lt;$L$3:$L$4))</f>
        <v>0</v>
      </c>
      <c r="C11" s="1">
        <f>SUMPRODUCT(NOT(ISBLANK(C$3:C$4))*(C$3:C$4&lt;$M$3:$M$4))</f>
        <v>0</v>
      </c>
      <c r="D11" s="1">
        <f>SUMPRODUCT(NOT(ISBLANK(D$3:D$4))*(D$3:D$4&lt;$L$3:$L$4))</f>
        <v>0</v>
      </c>
      <c r="E11" s="1">
        <f>SUMPRODUCT(NOT(ISBLANK(E$3:E$4))*(E$3:E$4&lt;$M$3:$M$4))</f>
        <v>0</v>
      </c>
      <c r="F11" s="1">
        <f>SUMPRODUCT(NOT(ISBLANK(F$3:F$4))*(F$3:F$4&lt;$L$3:$L$4))</f>
        <v>0</v>
      </c>
      <c r="G11" s="1">
        <f>SUMPRODUCT(NOT(ISBLANK(G$3:G$4))*(G$3:G$4&lt;$M$3:$M$4))</f>
        <v>0</v>
      </c>
      <c r="H11" s="1">
        <f>SUMPRODUCT(NOT(ISBLANK(H$3:H$4))*(H$3:H$4&lt;$L$3:$L$4))</f>
        <v>0</v>
      </c>
      <c r="I11" s="3">
        <f>SUMPRODUCT(NOT(ISBLANK(I$3:I$4))*(I$3:I$4&lt;$M$3:$M$4))</f>
        <v>0</v>
      </c>
      <c r="J11" s="1"/>
      <c r="K11" s="1"/>
      <c r="L11" s="1"/>
      <c r="M11" s="1"/>
      <c r="N11" s="1"/>
      <c r="O11" s="1"/>
    </row>
    <row r="12" spans="1:15">
      <c r="A12" s="1" t="s">
        <v>85</v>
      </c>
      <c r="B12" s="1">
        <f>SUMPRODUCT((NOT(ISBLANK(B$3:B$4))*(B$3:B$4&gt;$L$3:$L$4))+ISBLANK(B$3:B$4))</f>
        <v>0</v>
      </c>
      <c r="C12" s="1">
        <f>SUMPRODUCT((NOT(ISBLANK(C$3:C$4))*(C$3:C$4&gt;$M$3:$M$4))+ISBLANK(C$3:C$4))</f>
        <v>0</v>
      </c>
      <c r="D12" s="1">
        <f>SUMPRODUCT((NOT(ISBLANK(D$3:D$4))*(D$3:D$4&gt;$L$3:$L$4))+ISBLANK(D$3:D$4))</f>
        <v>0</v>
      </c>
      <c r="E12" s="1">
        <f>SUMPRODUCT((NOT(ISBLANK(E$3:E$4))*(E$3:E$4&gt;$M$3:$M$4))+ISBLANK(E$3:E$4))</f>
        <v>0</v>
      </c>
      <c r="F12" s="1">
        <f>SUMPRODUCT((NOT(ISBLANK(F$3:F$4))*(F$3:F$4&gt;$L$3:$L$4))+ISBLANK(F$3:F$4))</f>
        <v>0</v>
      </c>
      <c r="G12" s="1">
        <f>SUMPRODUCT((NOT(ISBLANK(G$3:G$4))*(G$3:G$4&gt;$M$3:$M$4))+ISBLANK(G$3:G$4))</f>
        <v>0</v>
      </c>
      <c r="H12" s="1">
        <f>SUMPRODUCT((NOT(ISBLANK(H$3:H$4))*(H$3:H$4&gt;$L$3:$L$4))+ISBLANK(H$3:H$4))</f>
        <v>0</v>
      </c>
      <c r="I12" s="4">
        <f>SUMPRODUCT((NOT(ISBLANK(I$3:I$4))*(I$3:I$4&gt;$M$3:$M$4))+ISBLANK(I$3:I$4))</f>
        <v>0</v>
      </c>
      <c r="J12" s="1"/>
      <c r="K12" s="1"/>
      <c r="L12" s="1"/>
      <c r="M12" s="1"/>
      <c r="N12" s="1"/>
      <c r="O12" s="1"/>
    </row>
    <row r="13" spans="1:15">
      <c r="A13" s="1" t="s">
        <v>86</v>
      </c>
      <c r="B13" s="1">
        <f>SUMPRODUCT((NOT(ISBLANK(B$3:B$4))*(B$3:B$4=$N$3:$N$4))+ISBLANK(B$3:B$4))</f>
        <v>0</v>
      </c>
      <c r="C13" s="1">
        <f>SUMPRODUCT((NOT(ISBLANK(C$3:C$4))*(C$3:C$4=$O$3:$O$4))+ISBLANK(C$3:C$4))</f>
        <v>0</v>
      </c>
      <c r="D13" s="1">
        <f>SUMPRODUCT((NOT(ISBLANK(D$3:D$4))*(D$3:D$4=$N$3:$N$4))+ISBLANK(D$3:D$4))</f>
        <v>0</v>
      </c>
      <c r="E13" s="1">
        <f>SUMPRODUCT((NOT(ISBLANK(E$3:E$4))*(E$3:E$4=$O$3:$O$4))+ISBLANK(E$3:E$4))</f>
        <v>0</v>
      </c>
      <c r="F13" s="1">
        <f>SUMPRODUCT((NOT(ISBLANK(F$3:F$4))*(F$3:F$4=$N$3:$N$4))+ISBLANK(F$3:F$4))</f>
        <v>0</v>
      </c>
      <c r="G13" s="1">
        <f>SUMPRODUCT((NOT(ISBLANK(G$3:G$4))*(G$3:G$4=$O$3:$O$4))+ISBLANK(G$3:G$4))</f>
        <v>0</v>
      </c>
      <c r="H13" s="1">
        <f>SUMPRODUCT((NOT(ISBLANK(H$3:H$4))*(H$3:H$4=$N$3:$N$4))+ISBLANK(H$3:H$4))</f>
        <v>0</v>
      </c>
      <c r="I13" s="3">
        <f>SUMPRODUCT((NOT(ISBLANK(I$3:I$4))*(I$3:I$4=$O$3:$O$4))+ISBLANK(I$3:I$4))</f>
        <v>0</v>
      </c>
      <c r="J13" s="1"/>
      <c r="K13" s="1"/>
      <c r="L13" s="1"/>
      <c r="M13" s="1"/>
      <c r="N13" s="1"/>
      <c r="O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2026-02-19T19:02:08Z</dcterms:created>
  <dcterms:modified xsi:type="dcterms:W3CDTF">2026-02-19T19:02:08Z</dcterms:modified>
</cp:coreProperties>
</file>