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<sst xmlns="http://schemas.openxmlformats.org/spreadsheetml/2006/main" count="805" uniqueCount="307">
  <si>
    <t>./citybike-max100_user-input-n100</t>
  </si>
  <si>
    <t>./citybike-max100_user-input-n25</t>
  </si>
  <si>
    <t>./citybike-max100_user-input-n33</t>
  </si>
  <si>
    <t>./citybike-max100_user-input-n50</t>
  </si>
  <si>
    <t>./citybike-max150_user-input-n150</t>
  </si>
  <si>
    <t>./citybike-max150_user-input-n37</t>
  </si>
  <si>
    <t>./citybike-max150_user-input-n50</t>
  </si>
  <si>
    <t>./citybike-max150_user-input-n75</t>
  </si>
  <si>
    <t>./citybike-max200_user-input-n100</t>
  </si>
  <si>
    <t>./citybike-max200_user-input-n200</t>
  </si>
  <si>
    <t>./citybike-max200_user-input-n50</t>
  </si>
  <si>
    <t>./citybike-max200_user-input-n66</t>
  </si>
  <si>
    <t>./citybike-max50_user-input-n12</t>
  </si>
  <si>
    <t>./citybike-max50_user-input-n16</t>
  </si>
  <si>
    <t>./citybike-max50_user-input-n25</t>
  </si>
  <si>
    <t>./citybike-max50_user-input-n50</t>
  </si>
  <si>
    <t>./restaurant-1000_user-input-2000</t>
  </si>
  <si>
    <t>./restaurant-1000_user-input-4000</t>
  </si>
  <si>
    <t>./restaurant-1000_user-input-6000</t>
  </si>
  <si>
    <t>./restaurant-100_user-input-200</t>
  </si>
  <si>
    <t>./restaurant-100_user-input-400</t>
  </si>
  <si>
    <t>./restaurant-100_user-input-600</t>
  </si>
  <si>
    <t>./restaurant-1500_user-input-3000</t>
  </si>
  <si>
    <t>./restaurant-1500_user-input-6000</t>
  </si>
  <si>
    <t>./restaurant-1500_user-input-9000</t>
  </si>
  <si>
    <t>./restaurant-2000_user-input-12000</t>
  </si>
  <si>
    <t>./restaurant-2000_user-input-4000</t>
  </si>
  <si>
    <t>./restaurant-2000_user-input-8000</t>
  </si>
  <si>
    <t>./restaurant-500_user-input-1000</t>
  </si>
  <si>
    <t>./restaurant-500_user-input-2000</t>
  </si>
  <si>
    <t>./restaurant-500_user-input-3000</t>
  </si>
  <si>
    <t>./travelbike-max10_user-input-p372-v85</t>
  </si>
  <si>
    <t>./travelbike-max10_user-input-p419-v895</t>
  </si>
  <si>
    <t>./travelbike-max10_user-input-p425-v981</t>
  </si>
  <si>
    <t>./travelbike-max10_user-input-p480-v206</t>
  </si>
  <si>
    <t>./travelbike-max10_user-input-p62-v812</t>
  </si>
  <si>
    <t>./travelbike-max10_user-input-p753-v757</t>
  </si>
  <si>
    <t>./travelbike-max10_user-input-p800-v879</t>
  </si>
  <si>
    <t>./travelbike-max10_user-input-p84-v603</t>
  </si>
  <si>
    <t>./travelbike-max10_user-input-p885-v252</t>
  </si>
  <si>
    <t>./travelbike-max10_user-input-p888-v811</t>
  </si>
  <si>
    <t>./travelbike-max15_user-input-p1161-v435</t>
  </si>
  <si>
    <t>./travelbike-max15_user-input-p175-v424</t>
  </si>
  <si>
    <t>./travelbike-max15_user-input-p231-v999</t>
  </si>
  <si>
    <t>./travelbike-max15_user-input-p358-v446</t>
  </si>
  <si>
    <t>./travelbike-max15_user-input-p501-v682</t>
  </si>
  <si>
    <t>./travelbike-max15_user-input-p581-v854</t>
  </si>
  <si>
    <t>./travelbike-max15_user-input-p697-v1245</t>
  </si>
  <si>
    <t>./travelbike-max15_user-input-p789-v502</t>
  </si>
  <si>
    <t>./travelbike-max15_user-input-p90-v933</t>
  </si>
  <si>
    <t>./travelbike-max15_user-input-p965-v1266</t>
  </si>
  <si>
    <t>./travelbike-max20_user-input-p1416-v1035</t>
  </si>
  <si>
    <t>./travelbike-max20_user-input-p1777-v824</t>
  </si>
  <si>
    <t>./travelbike-max20_user-input-p1862-v1002</t>
  </si>
  <si>
    <t>./travelbike-max20_user-input-p321-v716</t>
  </si>
  <si>
    <t>./travelbike-max20_user-input-p398-v397</t>
  </si>
  <si>
    <t>./travelbike-max20_user-input-p468-v586</t>
  </si>
  <si>
    <t>./travelbike-max20_user-input-p495-v663</t>
  </si>
  <si>
    <t>./travelbike-max20_user-input-p524-v1039</t>
  </si>
  <si>
    <t>./travelbike-max20_user-input-p527-v149</t>
  </si>
  <si>
    <t>./travelbike-max20_user-input-p989-v687</t>
  </si>
  <si>
    <t>./travelbike-max5_user-input-p120-v487</t>
  </si>
  <si>
    <t>./travelbike-max5_user-input-p18-v147</t>
  </si>
  <si>
    <t>./travelbike-max5_user-input-p225-v316</t>
  </si>
  <si>
    <t>./travelbike-max5_user-input-p328-v77</t>
  </si>
  <si>
    <t>./travelbike-max5_user-input-p373-v252</t>
  </si>
  <si>
    <t>./travelbike-max5_user-input-p431-v92</t>
  </si>
  <si>
    <t>./travelbike-max5_user-input-p432-v138</t>
  </si>
  <si>
    <t>./travelbike-max5_user-input-p466-v255</t>
  </si>
  <si>
    <t>./travelbike-max5_user-input-p69-v221</t>
  </si>
  <si>
    <t>./travelbike-max5_user-input-p92-v415</t>
  </si>
  <si>
    <t>./cargobike-complex-100_user-input-0</t>
  </si>
  <si>
    <t>./cargobike-complex-100_user-input-1</t>
  </si>
  <si>
    <t>./cargobike-complex-100_user-input-10</t>
  </si>
  <si>
    <t>./cargobike-complex-100_user-input-11</t>
  </si>
  <si>
    <t>./cargobike-complex-100_user-input-12</t>
  </si>
  <si>
    <t>./cargobike-complex-100_user-input-13</t>
  </si>
  <si>
    <t>./cargobike-complex-100_user-input-14</t>
  </si>
  <si>
    <t>./cargobike-complex-100_user-input-15</t>
  </si>
  <si>
    <t>./cargobike-complex-100_user-input-16</t>
  </si>
  <si>
    <t>./cargobike-complex-100_user-input-17</t>
  </si>
  <si>
    <t>./cargobike-complex-100_user-input-18</t>
  </si>
  <si>
    <t>./cargobike-complex-100_user-input-19</t>
  </si>
  <si>
    <t>./cargobike-complex-100_user-input-2</t>
  </si>
  <si>
    <t>./cargobike-complex-100_user-input-3</t>
  </si>
  <si>
    <t>./cargobike-complex-100_user-input-4</t>
  </si>
  <si>
    <t>./cargobike-complex-100_user-input-5</t>
  </si>
  <si>
    <t>./cargobike-complex-100_user-input-6</t>
  </si>
  <si>
    <t>./cargobike-complex-100_user-input-7</t>
  </si>
  <si>
    <t>./cargobike-complex-100_user-input-8</t>
  </si>
  <si>
    <t>./cargobike-complex-100_user-input-9</t>
  </si>
  <si>
    <t>./cargobike-complex-200_user-input-0</t>
  </si>
  <si>
    <t>./cargobike-complex-200_user-input-1</t>
  </si>
  <si>
    <t>./cargobike-complex-200_user-input-10</t>
  </si>
  <si>
    <t>./cargobike-complex-200_user-input-11</t>
  </si>
  <si>
    <t>./cargobike-complex-200_user-input-12</t>
  </si>
  <si>
    <t>./cargobike-complex-200_user-input-13</t>
  </si>
  <si>
    <t>./cargobike-complex-200_user-input-14</t>
  </si>
  <si>
    <t>./cargobike-complex-200_user-input-15</t>
  </si>
  <si>
    <t>./cargobike-complex-200_user-input-16</t>
  </si>
  <si>
    <t>./cargobike-complex-200_user-input-17</t>
  </si>
  <si>
    <t>./cargobike-complex-200_user-input-18</t>
  </si>
  <si>
    <t>./cargobike-complex-200_user-input-19</t>
  </si>
  <si>
    <t>./cargobike-complex-200_user-input-2</t>
  </si>
  <si>
    <t>./cargobike-complex-200_user-input-3</t>
  </si>
  <si>
    <t>./cargobike-complex-200_user-input-4</t>
  </si>
  <si>
    <t>./cargobike-complex-200_user-input-5</t>
  </si>
  <si>
    <t>./cargobike-complex-200_user-input-6</t>
  </si>
  <si>
    <t>./cargobike-complex-200_user-input-7</t>
  </si>
  <si>
    <t>./cargobike-complex-200_user-input-8</t>
  </si>
  <si>
    <t>./cargobike-complex-200_user-input-9</t>
  </si>
  <si>
    <t>./cargobike-complex-300_user-input-0</t>
  </si>
  <si>
    <t>./cargobike-complex-300_user-input-1</t>
  </si>
  <si>
    <t>./cargobike-complex-300_user-input-10</t>
  </si>
  <si>
    <t>./cargobike-complex-300_user-input-11</t>
  </si>
  <si>
    <t>./cargobike-complex-300_user-input-12</t>
  </si>
  <si>
    <t>./cargobike-complex-300_user-input-13</t>
  </si>
  <si>
    <t>./cargobike-complex-300_user-input-14</t>
  </si>
  <si>
    <t>./cargobike-complex-300_user-input-15</t>
  </si>
  <si>
    <t>./cargobike-complex-300_user-input-16</t>
  </si>
  <si>
    <t>./cargobike-complex-300_user-input-17</t>
  </si>
  <si>
    <t>./cargobike-complex-300_user-input-18</t>
  </si>
  <si>
    <t>./cargobike-complex-300_user-input-19</t>
  </si>
  <si>
    <t>./cargobike-complex-300_user-input-2</t>
  </si>
  <si>
    <t>./cargobike-complex-300_user-input-3</t>
  </si>
  <si>
    <t>./cargobike-complex-300_user-input-4</t>
  </si>
  <si>
    <t>./cargobike-complex-300_user-input-5</t>
  </si>
  <si>
    <t>./cargobike-complex-300_user-input-6</t>
  </si>
  <si>
    <t>./cargobike-complex-300_user-input-7</t>
  </si>
  <si>
    <t>./cargobike-complex-300_user-input-8</t>
  </si>
  <si>
    <t>./cargobike-complex-300_user-input-9</t>
  </si>
  <si>
    <t>./cargobike-complex-400_user-input-0</t>
  </si>
  <si>
    <t>./cargobike-complex-400_user-input-1</t>
  </si>
  <si>
    <t>./cargobike-complex-400_user-input-10</t>
  </si>
  <si>
    <t>./cargobike-complex-400_user-input-11</t>
  </si>
  <si>
    <t>./cargobike-complex-400_user-input-12</t>
  </si>
  <si>
    <t>./cargobike-complex-400_user-input-13</t>
  </si>
  <si>
    <t>./cargobike-complex-400_user-input-14</t>
  </si>
  <si>
    <t>./cargobike-complex-400_user-input-15</t>
  </si>
  <si>
    <t>./cargobike-complex-400_user-input-16</t>
  </si>
  <si>
    <t>./cargobike-complex-400_user-input-17</t>
  </si>
  <si>
    <t>./cargobike-complex-400_user-input-18</t>
  </si>
  <si>
    <t>./cargobike-complex-400_user-input-19</t>
  </si>
  <si>
    <t>./cargobike-complex-400_user-input-2</t>
  </si>
  <si>
    <t>./cargobike-complex-400_user-input-3</t>
  </si>
  <si>
    <t>./cargobike-complex-400_user-input-4</t>
  </si>
  <si>
    <t>./cargobike-complex-400_user-input-5</t>
  </si>
  <si>
    <t>./cargobike-complex-400_user-input-6</t>
  </si>
  <si>
    <t>./cargobike-complex-400_user-input-7</t>
  </si>
  <si>
    <t>./cargobike-complex-400_user-input-8</t>
  </si>
  <si>
    <t>./cargobike-complex-400_user-input-9</t>
  </si>
  <si>
    <t>./cargobike-complex-500_user-input-0</t>
  </si>
  <si>
    <t>./cargobike-complex-500_user-input-1</t>
  </si>
  <si>
    <t>./cargobike-complex-500_user-input-10</t>
  </si>
  <si>
    <t>./cargobike-complex-500_user-input-11</t>
  </si>
  <si>
    <t>./cargobike-complex-500_user-input-12</t>
  </si>
  <si>
    <t>./cargobike-complex-500_user-input-13</t>
  </si>
  <si>
    <t>./cargobike-complex-500_user-input-14</t>
  </si>
  <si>
    <t>./cargobike-complex-500_user-input-15</t>
  </si>
  <si>
    <t>./cargobike-complex-500_user-input-16</t>
  </si>
  <si>
    <t>./cargobike-complex-500_user-input-17</t>
  </si>
  <si>
    <t>./cargobike-complex-500_user-input-18</t>
  </si>
  <si>
    <t>./cargobike-complex-500_user-input-19</t>
  </si>
  <si>
    <t>./cargobike-complex-500_user-input-2</t>
  </si>
  <si>
    <t>./cargobike-complex-500_user-input-3</t>
  </si>
  <si>
    <t>./cargobike-complex-500_user-input-4</t>
  </si>
  <si>
    <t>./cargobike-complex-500_user-input-5</t>
  </si>
  <si>
    <t>./cargobike-complex-500_user-input-6</t>
  </si>
  <si>
    <t>./cargobike-complex-500_user-input-7</t>
  </si>
  <si>
    <t>./cargobike-complex-500_user-input-8</t>
  </si>
  <si>
    <t>./cargobike-complex-500_user-input-9</t>
  </si>
  <si>
    <t>./cargobike-simple-100_user-input-0</t>
  </si>
  <si>
    <t>./cargobike-simple-100_user-input-1</t>
  </si>
  <si>
    <t>./cargobike-simple-100_user-input-10</t>
  </si>
  <si>
    <t>./cargobike-simple-100_user-input-11</t>
  </si>
  <si>
    <t>./cargobike-simple-100_user-input-12</t>
  </si>
  <si>
    <t>./cargobike-simple-100_user-input-13</t>
  </si>
  <si>
    <t>./cargobike-simple-100_user-input-14</t>
  </si>
  <si>
    <t>./cargobike-simple-100_user-input-15</t>
  </si>
  <si>
    <t>./cargobike-simple-100_user-input-16</t>
  </si>
  <si>
    <t>./cargobike-simple-100_user-input-17</t>
  </si>
  <si>
    <t>./cargobike-simple-100_user-input-18</t>
  </si>
  <si>
    <t>./cargobike-simple-100_user-input-19</t>
  </si>
  <si>
    <t>./cargobike-simple-100_user-input-2</t>
  </si>
  <si>
    <t>./cargobike-simple-100_user-input-3</t>
  </si>
  <si>
    <t>./cargobike-simple-100_user-input-4</t>
  </si>
  <si>
    <t>./cargobike-simple-100_user-input-5</t>
  </si>
  <si>
    <t>./cargobike-simple-100_user-input-6</t>
  </si>
  <si>
    <t>./cargobike-simple-100_user-input-7</t>
  </si>
  <si>
    <t>./cargobike-simple-100_user-input-8</t>
  </si>
  <si>
    <t>./cargobike-simple-100_user-input-9</t>
  </si>
  <si>
    <t>./cargobike-simple-200_user-input-0</t>
  </si>
  <si>
    <t>./cargobike-simple-200_user-input-1</t>
  </si>
  <si>
    <t>./cargobike-simple-200_user-input-10</t>
  </si>
  <si>
    <t>./cargobike-simple-200_user-input-11</t>
  </si>
  <si>
    <t>./cargobike-simple-200_user-input-12</t>
  </si>
  <si>
    <t>./cargobike-simple-200_user-input-13</t>
  </si>
  <si>
    <t>./cargobike-simple-200_user-input-14</t>
  </si>
  <si>
    <t>./cargobike-simple-200_user-input-15</t>
  </si>
  <si>
    <t>./cargobike-simple-200_user-input-16</t>
  </si>
  <si>
    <t>./cargobike-simple-200_user-input-17</t>
  </si>
  <si>
    <t>./cargobike-simple-200_user-input-18</t>
  </si>
  <si>
    <t>./cargobike-simple-200_user-input-19</t>
  </si>
  <si>
    <t>./cargobike-simple-200_user-input-2</t>
  </si>
  <si>
    <t>./cargobike-simple-200_user-input-3</t>
  </si>
  <si>
    <t>./cargobike-simple-200_user-input-4</t>
  </si>
  <si>
    <t>./cargobike-simple-200_user-input-5</t>
  </si>
  <si>
    <t>./cargobike-simple-200_user-input-6</t>
  </si>
  <si>
    <t>./cargobike-simple-200_user-input-7</t>
  </si>
  <si>
    <t>./cargobike-simple-200_user-input-8</t>
  </si>
  <si>
    <t>./cargobike-simple-200_user-input-9</t>
  </si>
  <si>
    <t>./cargobike-simple-300_user-input-0</t>
  </si>
  <si>
    <t>./cargobike-simple-300_user-input-1</t>
  </si>
  <si>
    <t>./cargobike-simple-300_user-input-10</t>
  </si>
  <si>
    <t>./cargobike-simple-300_user-input-11</t>
  </si>
  <si>
    <t>./cargobike-simple-300_user-input-12</t>
  </si>
  <si>
    <t>./cargobike-simple-300_user-input-13</t>
  </si>
  <si>
    <t>./cargobike-simple-300_user-input-14</t>
  </si>
  <si>
    <t>./cargobike-simple-300_user-input-15</t>
  </si>
  <si>
    <t>./cargobike-simple-300_user-input-16</t>
  </si>
  <si>
    <t>./cargobike-simple-300_user-input-17</t>
  </si>
  <si>
    <t>./cargobike-simple-300_user-input-18</t>
  </si>
  <si>
    <t>./cargobike-simple-300_user-input-19</t>
  </si>
  <si>
    <t>./cargobike-simple-300_user-input-2</t>
  </si>
  <si>
    <t>./cargobike-simple-300_user-input-3</t>
  </si>
  <si>
    <t>./cargobike-simple-300_user-input-4</t>
  </si>
  <si>
    <t>./cargobike-simple-300_user-input-5</t>
  </si>
  <si>
    <t>./cargobike-simple-300_user-input-6</t>
  </si>
  <si>
    <t>./cargobike-simple-300_user-input-7</t>
  </si>
  <si>
    <t>./cargobike-simple-300_user-input-8</t>
  </si>
  <si>
    <t>./cargobike-simple-300_user-input-9</t>
  </si>
  <si>
    <t>./cargobike-simple-400_user-input-0</t>
  </si>
  <si>
    <t>./cargobike-simple-400_user-input-1</t>
  </si>
  <si>
    <t>./cargobike-simple-400_user-input-10</t>
  </si>
  <si>
    <t>./cargobike-simple-400_user-input-11</t>
  </si>
  <si>
    <t>./cargobike-simple-400_user-input-12</t>
  </si>
  <si>
    <t>./cargobike-simple-400_user-input-13</t>
  </si>
  <si>
    <t>./cargobike-simple-400_user-input-14</t>
  </si>
  <si>
    <t>./cargobike-simple-400_user-input-15</t>
  </si>
  <si>
    <t>./cargobike-simple-400_user-input-16</t>
  </si>
  <si>
    <t>./cargobike-simple-400_user-input-17</t>
  </si>
  <si>
    <t>./cargobike-simple-400_user-input-18</t>
  </si>
  <si>
    <t>./cargobike-simple-400_user-input-19</t>
  </si>
  <si>
    <t>./cargobike-simple-400_user-input-2</t>
  </si>
  <si>
    <t>./cargobike-simple-400_user-input-3</t>
  </si>
  <si>
    <t>./cargobike-simple-400_user-input-4</t>
  </si>
  <si>
    <t>./cargobike-simple-400_user-input-5</t>
  </si>
  <si>
    <t>./cargobike-simple-400_user-input-6</t>
  </si>
  <si>
    <t>./cargobike-simple-400_user-input-7</t>
  </si>
  <si>
    <t>./cargobike-simple-400_user-input-8</t>
  </si>
  <si>
    <t>./cargobike-simple-400_user-input-9</t>
  </si>
  <si>
    <t>./cargobike-simple-500_user-input-0</t>
  </si>
  <si>
    <t>./cargobike-simple-500_user-input-1</t>
  </si>
  <si>
    <t>./cargobike-simple-500_user-input-10</t>
  </si>
  <si>
    <t>./cargobike-simple-500_user-input-11</t>
  </si>
  <si>
    <t>./cargobike-simple-500_user-input-12</t>
  </si>
  <si>
    <t>./cargobike-simple-500_user-input-13</t>
  </si>
  <si>
    <t>./cargobike-simple-500_user-input-14</t>
  </si>
  <si>
    <t>./cargobike-simple-500_user-input-15</t>
  </si>
  <si>
    <t>./cargobike-simple-500_user-input-16</t>
  </si>
  <si>
    <t>./cargobike-simple-500_user-input-17</t>
  </si>
  <si>
    <t>./cargobike-simple-500_user-input-18</t>
  </si>
  <si>
    <t>./cargobike-simple-500_user-input-19</t>
  </si>
  <si>
    <t>./cargobike-simple-500_user-input-2</t>
  </si>
  <si>
    <t>./cargobike-simple-500_user-input-3</t>
  </si>
  <si>
    <t>./cargobike-simple-500_user-input-4</t>
  </si>
  <si>
    <t>./cargobike-simple-500_user-input-5</t>
  </si>
  <si>
    <t>./cargobike-simple-500_user-input-6</t>
  </si>
  <si>
    <t>./cargobike-simple-500_user-input-7</t>
  </si>
  <si>
    <t>./cargobike-simple-500_user-input-8</t>
  </si>
  <si>
    <t>./cargobike-simple-500_user-input-9</t>
  </si>
  <si>
    <t>./citybike_user-input-n100</t>
  </si>
  <si>
    <t>./citybike_user-input-n12</t>
  </si>
  <si>
    <t>./citybike_user-input-n125</t>
  </si>
  <si>
    <t>./citybike_user-input-n150</t>
  </si>
  <si>
    <t>./citybike_user-input-n16</t>
  </si>
  <si>
    <t>./citybike_user-input-n175</t>
  </si>
  <si>
    <t>./citybike_user-input-n200</t>
  </si>
  <si>
    <t>./citybike_user-input-n25</t>
  </si>
  <si>
    <t>./citybike_user-input-n33</t>
  </si>
  <si>
    <t>./citybike_user-input-n50</t>
  </si>
  <si>
    <t>./citybike_user-input-n66</t>
  </si>
  <si>
    <t>./citybike_user-input-n75</t>
  </si>
  <si>
    <t>./citybike_user-input-n88</t>
  </si>
  <si>
    <t>SUM</t>
  </si>
  <si>
    <t>AVG</t>
  </si>
  <si>
    <t>DEV</t>
  </si>
  <si>
    <t>DST</t>
  </si>
  <si>
    <t>BEST</t>
  </si>
  <si>
    <t>BETTER</t>
  </si>
  <si>
    <t>WORSE</t>
  </si>
  <si>
    <t>WORST</t>
  </si>
  <si>
    <t>coomsuite-1.0.0/clingo-base</t>
  </si>
  <si>
    <t>time</t>
  </si>
  <si>
    <t>timeout</t>
  </si>
  <si>
    <t>coomsuite-1.0.0/clingo-bounds-exponential</t>
  </si>
  <si>
    <t>coomsuite-1.0.0/clingo-bounds-linear</t>
  </si>
  <si>
    <t>coomsuite-1.0.0/flingo-base</t>
  </si>
  <si>
    <t>coomsuite-1.0.0/flingo-bounds-exponential</t>
  </si>
  <si>
    <t>coomsuite-1.0.0/flingo-bounds-linear</t>
  </si>
  <si>
    <t>coomsuite-1.0.0/multishot-exponential</t>
  </si>
  <si>
    <t>coomsuite-1.0.0/multishot-linear</t>
  </si>
  <si>
    <t>min</t>
  </si>
  <si>
    <t>median</t>
  </si>
  <si>
    <t>max</t>
  </si>
  <si>
    <t>Merge criteria:</t>
  </si>
  <si>
    <t>.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</si>
</sst>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" fontId="0" fillId="0" borderId="0" xfId="0" applyNumberFormat="1"/>
    <xf numFmtId="164" fontId="0" fillId="2" borderId="0" xfId="0" applyNumberFormat="1" applyFill="1"/>
    <xf numFmtId="164" fontId="0" fillId="3" borderId="0" xfId="0" applyNumberFormat="1" applyFill="1"/>
    <xf numFmtId="1" fontId="0" fillId="2" borderId="0" xfId="0" applyNumberFormat="1" applyFill="1"/>
    <xf numFmtId="1" fontId="0" fillId="3" borderId="0" xfId="0" applyNumberForma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350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9.7109375" customWidth="1"/>
    <col min="2" max="3" width="13" customWidth="1"/>
    <col min="4" max="5" width="20" customWidth="1"/>
    <col min="6" max="7" width="17.140625" customWidth="1"/>
    <col min="8" max="9" width="13" customWidth="1"/>
    <col min="10" max="11" width="19.85546875" customWidth="1"/>
    <col min="12" max="13" width="17.140625" customWidth="1"/>
    <col min="14" max="15" width="18" customWidth="1"/>
    <col min="16" max="17" width="15.140625" customWidth="1"/>
    <col min="18" max="23" width="11.42578125" customWidth="1"/>
  </cols>
  <sheetData>
    <row r="1" spans="1:23">
      <c r="A1" s="1"/>
      <c r="B1" s="1" t="s">
        <v>292</v>
      </c>
      <c r="C1" s="2"/>
      <c r="D1" s="1" t="s">
        <v>295</v>
      </c>
      <c r="E1" s="2"/>
      <c r="F1" s="1" t="s">
        <v>296</v>
      </c>
      <c r="G1" s="2"/>
      <c r="H1" s="1" t="s">
        <v>297</v>
      </c>
      <c r="I1" s="2"/>
      <c r="J1" s="1" t="s">
        <v>298</v>
      </c>
      <c r="K1" s="2"/>
      <c r="L1" s="1" t="s">
        <v>299</v>
      </c>
      <c r="M1" s="2"/>
      <c r="N1" s="1" t="s">
        <v>300</v>
      </c>
      <c r="O1" s="2"/>
      <c r="P1" s="1" t="s">
        <v>301</v>
      </c>
      <c r="Q1" s="2"/>
      <c r="R1" s="1" t="s">
        <v>302</v>
      </c>
      <c r="S1" s="1"/>
      <c r="T1" s="1" t="s">
        <v>303</v>
      </c>
      <c r="U1" s="1"/>
      <c r="V1" s="1" t="s">
        <v>304</v>
      </c>
      <c r="W1" s="1"/>
    </row>
    <row r="2" spans="1:23">
      <c r="A2" s="1"/>
      <c r="B2" s="1" t="s">
        <v>293</v>
      </c>
      <c r="C2" s="2" t="s">
        <v>294</v>
      </c>
      <c r="D2" s="1" t="s">
        <v>293</v>
      </c>
      <c r="E2" s="2" t="s">
        <v>294</v>
      </c>
      <c r="F2" s="1" t="s">
        <v>293</v>
      </c>
      <c r="G2" s="2" t="s">
        <v>294</v>
      </c>
      <c r="H2" s="1" t="s">
        <v>293</v>
      </c>
      <c r="I2" s="2" t="s">
        <v>294</v>
      </c>
      <c r="J2" s="1" t="s">
        <v>293</v>
      </c>
      <c r="K2" s="2" t="s">
        <v>294</v>
      </c>
      <c r="L2" s="1" t="s">
        <v>293</v>
      </c>
      <c r="M2" s="2" t="s">
        <v>294</v>
      </c>
      <c r="N2" s="1" t="s">
        <v>293</v>
      </c>
      <c r="O2" s="2" t="s">
        <v>294</v>
      </c>
      <c r="P2" s="1" t="s">
        <v>293</v>
      </c>
      <c r="Q2" s="2" t="s">
        <v>294</v>
      </c>
      <c r="R2" s="1" t="s">
        <v>293</v>
      </c>
      <c r="S2" s="1" t="s">
        <v>294</v>
      </c>
      <c r="T2" s="1" t="s">
        <v>293</v>
      </c>
      <c r="U2" s="1" t="s">
        <v>294</v>
      </c>
      <c r="V2" s="1" t="s">
        <v>293</v>
      </c>
      <c r="W2" s="1" t="s">
        <v>294</v>
      </c>
    </row>
    <row r="3" spans="1:23">
      <c r="A3" s="1" t="s">
        <v>0</v>
      </c>
      <c r="B3" s="3">
        <v>6.82</v>
      </c>
      <c r="C3" s="2">
        <v>0</v>
      </c>
      <c r="D3" s="1"/>
      <c r="E3" s="2"/>
      <c r="F3" s="1"/>
      <c r="G3" s="2"/>
      <c r="H3" s="4">
        <v>27.06</v>
      </c>
      <c r="I3" s="2">
        <v>0</v>
      </c>
      <c r="J3" s="1"/>
      <c r="K3" s="2"/>
      <c r="L3" s="1"/>
      <c r="M3" s="2"/>
      <c r="N3" s="1"/>
      <c r="O3" s="2"/>
      <c r="P3" s="1"/>
      <c r="Q3" s="2"/>
      <c r="R3" s="1">
        <f>MIN($B3,$D3,$F3,$H3,$J3,$L3,$N3,$P3)</f>
        <v>0</v>
      </c>
      <c r="S3" s="1">
        <f>MIN($C3,$E3,$G3,$I3,$K3,$M3,$O3,$Q3)</f>
        <v>0</v>
      </c>
      <c r="T3" s="1">
        <f>MEDIAN($B3,$D3,$F3,$H3,$J3,$L3,$N3,$P3)</f>
        <v>0</v>
      </c>
      <c r="U3" s="1">
        <f>MEDIAN($C3,$E3,$G3,$I3,$K3,$M3,$O3,$Q3)</f>
        <v>0</v>
      </c>
      <c r="V3" s="1">
        <f>MAX($B3,$D3,$F3,$H3,$J3,$L3,$N3,$P3)</f>
        <v>0</v>
      </c>
      <c r="W3" s="1">
        <f>MAX($C3,$E3,$G3,$I3,$K3,$M3,$O3,$Q3)</f>
        <v>0</v>
      </c>
    </row>
    <row r="4" spans="1:23">
      <c r="A4" s="1" t="s">
        <v>1</v>
      </c>
      <c r="B4" s="3">
        <v>6.79</v>
      </c>
      <c r="C4" s="2">
        <v>0</v>
      </c>
      <c r="D4" s="1"/>
      <c r="E4" s="2"/>
      <c r="F4" s="1"/>
      <c r="G4" s="2"/>
      <c r="H4" s="4">
        <v>25.23</v>
      </c>
      <c r="I4" s="2">
        <v>0</v>
      </c>
      <c r="J4" s="1"/>
      <c r="K4" s="2"/>
      <c r="L4" s="1"/>
      <c r="M4" s="2"/>
      <c r="N4" s="1"/>
      <c r="O4" s="2"/>
      <c r="P4" s="1"/>
      <c r="Q4" s="2"/>
      <c r="R4" s="1">
        <f>MIN($B4,$D4,$F4,$H4,$J4,$L4,$N4,$P4)</f>
        <v>0</v>
      </c>
      <c r="S4" s="1">
        <f>MIN($C4,$E4,$G4,$I4,$K4,$M4,$O4,$Q4)</f>
        <v>0</v>
      </c>
      <c r="T4" s="1">
        <f>MEDIAN($B4,$D4,$F4,$H4,$J4,$L4,$N4,$P4)</f>
        <v>0</v>
      </c>
      <c r="U4" s="1">
        <f>MEDIAN($C4,$E4,$G4,$I4,$K4,$M4,$O4,$Q4)</f>
        <v>0</v>
      </c>
      <c r="V4" s="1">
        <f>MAX($B4,$D4,$F4,$H4,$J4,$L4,$N4,$P4)</f>
        <v>0</v>
      </c>
      <c r="W4" s="1">
        <f>MAX($C4,$E4,$G4,$I4,$K4,$M4,$O4,$Q4)</f>
        <v>0</v>
      </c>
    </row>
    <row r="5" spans="1:23">
      <c r="A5" s="1" t="s">
        <v>2</v>
      </c>
      <c r="B5" s="3">
        <v>6.64</v>
      </c>
      <c r="C5" s="2">
        <v>0</v>
      </c>
      <c r="D5" s="1"/>
      <c r="E5" s="2"/>
      <c r="F5" s="1"/>
      <c r="G5" s="2"/>
      <c r="H5" s="4">
        <v>26.14</v>
      </c>
      <c r="I5" s="2">
        <v>0</v>
      </c>
      <c r="J5" s="1"/>
      <c r="K5" s="2"/>
      <c r="L5" s="1"/>
      <c r="M5" s="2"/>
      <c r="N5" s="1"/>
      <c r="O5" s="2"/>
      <c r="P5" s="1"/>
      <c r="Q5" s="2"/>
      <c r="R5" s="1">
        <f>MIN($B5,$D5,$F5,$H5,$J5,$L5,$N5,$P5)</f>
        <v>0</v>
      </c>
      <c r="S5" s="1">
        <f>MIN($C5,$E5,$G5,$I5,$K5,$M5,$O5,$Q5)</f>
        <v>0</v>
      </c>
      <c r="T5" s="1">
        <f>MEDIAN($B5,$D5,$F5,$H5,$J5,$L5,$N5,$P5)</f>
        <v>0</v>
      </c>
      <c r="U5" s="1">
        <f>MEDIAN($C5,$E5,$G5,$I5,$K5,$M5,$O5,$Q5)</f>
        <v>0</v>
      </c>
      <c r="V5" s="1">
        <f>MAX($B5,$D5,$F5,$H5,$J5,$L5,$N5,$P5)</f>
        <v>0</v>
      </c>
      <c r="W5" s="1">
        <f>MAX($C5,$E5,$G5,$I5,$K5,$M5,$O5,$Q5)</f>
        <v>0</v>
      </c>
    </row>
    <row r="6" spans="1:23">
      <c r="A6" s="1" t="s">
        <v>3</v>
      </c>
      <c r="B6" s="3">
        <v>7.16</v>
      </c>
      <c r="C6" s="2">
        <v>0</v>
      </c>
      <c r="D6" s="1"/>
      <c r="E6" s="2"/>
      <c r="F6" s="1"/>
      <c r="G6" s="2"/>
      <c r="H6" s="4">
        <v>25.41</v>
      </c>
      <c r="I6" s="2">
        <v>0</v>
      </c>
      <c r="J6" s="1"/>
      <c r="K6" s="2"/>
      <c r="L6" s="1"/>
      <c r="M6" s="2"/>
      <c r="N6" s="1"/>
      <c r="O6" s="2"/>
      <c r="P6" s="1"/>
      <c r="Q6" s="2"/>
      <c r="R6" s="1">
        <f>MIN($B6,$D6,$F6,$H6,$J6,$L6,$N6,$P6)</f>
        <v>0</v>
      </c>
      <c r="S6" s="1">
        <f>MIN($C6,$E6,$G6,$I6,$K6,$M6,$O6,$Q6)</f>
        <v>0</v>
      </c>
      <c r="T6" s="1">
        <f>MEDIAN($B6,$D6,$F6,$H6,$J6,$L6,$N6,$P6)</f>
        <v>0</v>
      </c>
      <c r="U6" s="1">
        <f>MEDIAN($C6,$E6,$G6,$I6,$K6,$M6,$O6,$Q6)</f>
        <v>0</v>
      </c>
      <c r="V6" s="1">
        <f>MAX($B6,$D6,$F6,$H6,$J6,$L6,$N6,$P6)</f>
        <v>0</v>
      </c>
      <c r="W6" s="1">
        <f>MAX($C6,$E6,$G6,$I6,$K6,$M6,$O6,$Q6)</f>
        <v>0</v>
      </c>
    </row>
    <row r="7" spans="1:23">
      <c r="A7" s="1" t="s">
        <v>4</v>
      </c>
      <c r="B7" s="3">
        <v>9.25</v>
      </c>
      <c r="C7" s="2">
        <v>0</v>
      </c>
      <c r="D7" s="1"/>
      <c r="E7" s="2"/>
      <c r="F7" s="1"/>
      <c r="G7" s="2"/>
      <c r="H7" s="4">
        <v>42.64</v>
      </c>
      <c r="I7" s="2">
        <v>0</v>
      </c>
      <c r="J7" s="1"/>
      <c r="K7" s="2"/>
      <c r="L7" s="1"/>
      <c r="M7" s="2"/>
      <c r="N7" s="1"/>
      <c r="O7" s="2"/>
      <c r="P7" s="1"/>
      <c r="Q7" s="2"/>
      <c r="R7" s="1">
        <f>MIN($B7,$D7,$F7,$H7,$J7,$L7,$N7,$P7)</f>
        <v>0</v>
      </c>
      <c r="S7" s="1">
        <f>MIN($C7,$E7,$G7,$I7,$K7,$M7,$O7,$Q7)</f>
        <v>0</v>
      </c>
      <c r="T7" s="1">
        <f>MEDIAN($B7,$D7,$F7,$H7,$J7,$L7,$N7,$P7)</f>
        <v>0</v>
      </c>
      <c r="U7" s="1">
        <f>MEDIAN($C7,$E7,$G7,$I7,$K7,$M7,$O7,$Q7)</f>
        <v>0</v>
      </c>
      <c r="V7" s="1">
        <f>MAX($B7,$D7,$F7,$H7,$J7,$L7,$N7,$P7)</f>
        <v>0</v>
      </c>
      <c r="W7" s="1">
        <f>MAX($C7,$E7,$G7,$I7,$K7,$M7,$O7,$Q7)</f>
        <v>0</v>
      </c>
    </row>
    <row r="8" spans="1:23">
      <c r="A8" s="1" t="s">
        <v>5</v>
      </c>
      <c r="B8" s="3">
        <v>11.41</v>
      </c>
      <c r="C8" s="2">
        <v>0</v>
      </c>
      <c r="D8" s="1"/>
      <c r="E8" s="2"/>
      <c r="F8" s="1"/>
      <c r="G8" s="2"/>
      <c r="H8" s="4">
        <v>40.91</v>
      </c>
      <c r="I8" s="2">
        <v>0</v>
      </c>
      <c r="J8" s="1"/>
      <c r="K8" s="2"/>
      <c r="L8" s="1"/>
      <c r="M8" s="2"/>
      <c r="N8" s="1"/>
      <c r="O8" s="2"/>
      <c r="P8" s="1"/>
      <c r="Q8" s="2"/>
      <c r="R8" s="1">
        <f>MIN($B8,$D8,$F8,$H8,$J8,$L8,$N8,$P8)</f>
        <v>0</v>
      </c>
      <c r="S8" s="1">
        <f>MIN($C8,$E8,$G8,$I8,$K8,$M8,$O8,$Q8)</f>
        <v>0</v>
      </c>
      <c r="T8" s="1">
        <f>MEDIAN($B8,$D8,$F8,$H8,$J8,$L8,$N8,$P8)</f>
        <v>0</v>
      </c>
      <c r="U8" s="1">
        <f>MEDIAN($C8,$E8,$G8,$I8,$K8,$M8,$O8,$Q8)</f>
        <v>0</v>
      </c>
      <c r="V8" s="1">
        <f>MAX($B8,$D8,$F8,$H8,$J8,$L8,$N8,$P8)</f>
        <v>0</v>
      </c>
      <c r="W8" s="1">
        <f>MAX($C8,$E8,$G8,$I8,$K8,$M8,$O8,$Q8)</f>
        <v>0</v>
      </c>
    </row>
    <row r="9" spans="1:23">
      <c r="A9" s="1" t="s">
        <v>6</v>
      </c>
      <c r="B9" s="3">
        <v>9.199999999999999</v>
      </c>
      <c r="C9" s="2">
        <v>0</v>
      </c>
      <c r="D9" s="1"/>
      <c r="E9" s="2"/>
      <c r="F9" s="1"/>
      <c r="G9" s="2"/>
      <c r="H9" s="4">
        <v>41.9</v>
      </c>
      <c r="I9" s="2">
        <v>0</v>
      </c>
      <c r="J9" s="1"/>
      <c r="K9" s="2"/>
      <c r="L9" s="1"/>
      <c r="M9" s="2"/>
      <c r="N9" s="1"/>
      <c r="O9" s="2"/>
      <c r="P9" s="1"/>
      <c r="Q9" s="2"/>
      <c r="R9" s="1">
        <f>MIN($B9,$D9,$F9,$H9,$J9,$L9,$N9,$P9)</f>
        <v>0</v>
      </c>
      <c r="S9" s="1">
        <f>MIN($C9,$E9,$G9,$I9,$K9,$M9,$O9,$Q9)</f>
        <v>0</v>
      </c>
      <c r="T9" s="1">
        <f>MEDIAN($B9,$D9,$F9,$H9,$J9,$L9,$N9,$P9)</f>
        <v>0</v>
      </c>
      <c r="U9" s="1">
        <f>MEDIAN($C9,$E9,$G9,$I9,$K9,$M9,$O9,$Q9)</f>
        <v>0</v>
      </c>
      <c r="V9" s="1">
        <f>MAX($B9,$D9,$F9,$H9,$J9,$L9,$N9,$P9)</f>
        <v>0</v>
      </c>
      <c r="W9" s="1">
        <f>MAX($C9,$E9,$G9,$I9,$K9,$M9,$O9,$Q9)</f>
        <v>0</v>
      </c>
    </row>
    <row r="10" spans="1:23">
      <c r="A10" s="1" t="s">
        <v>7</v>
      </c>
      <c r="B10" s="3">
        <v>11.47</v>
      </c>
      <c r="C10" s="2">
        <v>0</v>
      </c>
      <c r="D10" s="1"/>
      <c r="E10" s="2"/>
      <c r="F10" s="1"/>
      <c r="G10" s="2"/>
      <c r="H10" s="4">
        <v>42.16</v>
      </c>
      <c r="I10" s="2">
        <v>0</v>
      </c>
      <c r="J10" s="1"/>
      <c r="K10" s="2"/>
      <c r="L10" s="1"/>
      <c r="M10" s="2"/>
      <c r="N10" s="1"/>
      <c r="O10" s="2"/>
      <c r="P10" s="1"/>
      <c r="Q10" s="2"/>
      <c r="R10" s="1">
        <f>MIN($B10,$D10,$F10,$H10,$J10,$L10,$N10,$P10)</f>
        <v>0</v>
      </c>
      <c r="S10" s="1">
        <f>MIN($C10,$E10,$G10,$I10,$K10,$M10,$O10,$Q10)</f>
        <v>0</v>
      </c>
      <c r="T10" s="1">
        <f>MEDIAN($B10,$D10,$F10,$H10,$J10,$L10,$N10,$P10)</f>
        <v>0</v>
      </c>
      <c r="U10" s="1">
        <f>MEDIAN($C10,$E10,$G10,$I10,$K10,$M10,$O10,$Q10)</f>
        <v>0</v>
      </c>
      <c r="V10" s="1">
        <f>MAX($B10,$D10,$F10,$H10,$J10,$L10,$N10,$P10)</f>
        <v>0</v>
      </c>
      <c r="W10" s="1">
        <f>MAX($C10,$E10,$G10,$I10,$K10,$M10,$O10,$Q10)</f>
        <v>0</v>
      </c>
    </row>
    <row r="11" spans="1:23">
      <c r="A11" s="1" t="s">
        <v>8</v>
      </c>
      <c r="B11" s="3">
        <v>16.88</v>
      </c>
      <c r="C11" s="2">
        <v>0</v>
      </c>
      <c r="D11" s="1"/>
      <c r="E11" s="2"/>
      <c r="F11" s="1"/>
      <c r="G11" s="2"/>
      <c r="H11" s="4">
        <v>61.13</v>
      </c>
      <c r="I11" s="2">
        <v>0</v>
      </c>
      <c r="J11" s="1"/>
      <c r="K11" s="2"/>
      <c r="L11" s="1"/>
      <c r="M11" s="2"/>
      <c r="N11" s="1"/>
      <c r="O11" s="2"/>
      <c r="P11" s="1"/>
      <c r="Q11" s="2"/>
      <c r="R11" s="1">
        <f>MIN($B11,$D11,$F11,$H11,$J11,$L11,$N11,$P11)</f>
        <v>0</v>
      </c>
      <c r="S11" s="1">
        <f>MIN($C11,$E11,$G11,$I11,$K11,$M11,$O11,$Q11)</f>
        <v>0</v>
      </c>
      <c r="T11" s="1">
        <f>MEDIAN($B11,$D11,$F11,$H11,$J11,$L11,$N11,$P11)</f>
        <v>0</v>
      </c>
      <c r="U11" s="1">
        <f>MEDIAN($C11,$E11,$G11,$I11,$K11,$M11,$O11,$Q11)</f>
        <v>0</v>
      </c>
      <c r="V11" s="1">
        <f>MAX($B11,$D11,$F11,$H11,$J11,$L11,$N11,$P11)</f>
        <v>0</v>
      </c>
      <c r="W11" s="1">
        <f>MAX($C11,$E11,$G11,$I11,$K11,$M11,$O11,$Q11)</f>
        <v>0</v>
      </c>
    </row>
    <row r="12" spans="1:23">
      <c r="A12" s="1" t="s">
        <v>9</v>
      </c>
      <c r="B12" s="3">
        <v>17.29</v>
      </c>
      <c r="C12" s="2">
        <v>0</v>
      </c>
      <c r="D12" s="1"/>
      <c r="E12" s="2"/>
      <c r="F12" s="1"/>
      <c r="G12" s="2"/>
      <c r="H12" s="4">
        <v>63.17</v>
      </c>
      <c r="I12" s="2">
        <v>0</v>
      </c>
      <c r="J12" s="1"/>
      <c r="K12" s="2"/>
      <c r="L12" s="1"/>
      <c r="M12" s="2"/>
      <c r="N12" s="1"/>
      <c r="O12" s="2"/>
      <c r="P12" s="1"/>
      <c r="Q12" s="2"/>
      <c r="R12" s="1">
        <f>MIN($B12,$D12,$F12,$H12,$J12,$L12,$N12,$P12)</f>
        <v>0</v>
      </c>
      <c r="S12" s="1">
        <f>MIN($C12,$E12,$G12,$I12,$K12,$M12,$O12,$Q12)</f>
        <v>0</v>
      </c>
      <c r="T12" s="1">
        <f>MEDIAN($B12,$D12,$F12,$H12,$J12,$L12,$N12,$P12)</f>
        <v>0</v>
      </c>
      <c r="U12" s="1">
        <f>MEDIAN($C12,$E12,$G12,$I12,$K12,$M12,$O12,$Q12)</f>
        <v>0</v>
      </c>
      <c r="V12" s="1">
        <f>MAX($B12,$D12,$F12,$H12,$J12,$L12,$N12,$P12)</f>
        <v>0</v>
      </c>
      <c r="W12" s="1">
        <f>MAX($C12,$E12,$G12,$I12,$K12,$M12,$O12,$Q12)</f>
        <v>0</v>
      </c>
    </row>
    <row r="13" spans="1:23">
      <c r="A13" s="1" t="s">
        <v>10</v>
      </c>
      <c r="B13" s="3">
        <v>16.76</v>
      </c>
      <c r="C13" s="2">
        <v>0</v>
      </c>
      <c r="D13" s="1"/>
      <c r="E13" s="2"/>
      <c r="F13" s="1"/>
      <c r="G13" s="2"/>
      <c r="H13" s="4">
        <v>58.23</v>
      </c>
      <c r="I13" s="2">
        <v>0</v>
      </c>
      <c r="J13" s="1"/>
      <c r="K13" s="2"/>
      <c r="L13" s="1"/>
      <c r="M13" s="2"/>
      <c r="N13" s="1"/>
      <c r="O13" s="2"/>
      <c r="P13" s="1"/>
      <c r="Q13" s="2"/>
      <c r="R13" s="1">
        <f>MIN($B13,$D13,$F13,$H13,$J13,$L13,$N13,$P13)</f>
        <v>0</v>
      </c>
      <c r="S13" s="1">
        <f>MIN($C13,$E13,$G13,$I13,$K13,$M13,$O13,$Q13)</f>
        <v>0</v>
      </c>
      <c r="T13" s="1">
        <f>MEDIAN($B13,$D13,$F13,$H13,$J13,$L13,$N13,$P13)</f>
        <v>0</v>
      </c>
      <c r="U13" s="1">
        <f>MEDIAN($C13,$E13,$G13,$I13,$K13,$M13,$O13,$Q13)</f>
        <v>0</v>
      </c>
      <c r="V13" s="1">
        <f>MAX($B13,$D13,$F13,$H13,$J13,$L13,$N13,$P13)</f>
        <v>0</v>
      </c>
      <c r="W13" s="1">
        <f>MAX($C13,$E13,$G13,$I13,$K13,$M13,$O13,$Q13)</f>
        <v>0</v>
      </c>
    </row>
    <row r="14" spans="1:23">
      <c r="A14" s="1" t="s">
        <v>11</v>
      </c>
      <c r="B14" s="3">
        <v>16.92</v>
      </c>
      <c r="C14" s="2">
        <v>0</v>
      </c>
      <c r="D14" s="1"/>
      <c r="E14" s="2"/>
      <c r="F14" s="1"/>
      <c r="G14" s="2"/>
      <c r="H14" s="4">
        <v>60.88</v>
      </c>
      <c r="I14" s="2">
        <v>0</v>
      </c>
      <c r="J14" s="1"/>
      <c r="K14" s="2"/>
      <c r="L14" s="1"/>
      <c r="M14" s="2"/>
      <c r="N14" s="1"/>
      <c r="O14" s="2"/>
      <c r="P14" s="1"/>
      <c r="Q14" s="2"/>
      <c r="R14" s="1">
        <f>MIN($B14,$D14,$F14,$H14,$J14,$L14,$N14,$P14)</f>
        <v>0</v>
      </c>
      <c r="S14" s="1">
        <f>MIN($C14,$E14,$G14,$I14,$K14,$M14,$O14,$Q14)</f>
        <v>0</v>
      </c>
      <c r="T14" s="1">
        <f>MEDIAN($B14,$D14,$F14,$H14,$J14,$L14,$N14,$P14)</f>
        <v>0</v>
      </c>
      <c r="U14" s="1">
        <f>MEDIAN($C14,$E14,$G14,$I14,$K14,$M14,$O14,$Q14)</f>
        <v>0</v>
      </c>
      <c r="V14" s="1">
        <f>MAX($B14,$D14,$F14,$H14,$J14,$L14,$N14,$P14)</f>
        <v>0</v>
      </c>
      <c r="W14" s="1">
        <f>MAX($C14,$E14,$G14,$I14,$K14,$M14,$O14,$Q14)</f>
        <v>0</v>
      </c>
    </row>
    <row r="15" spans="1:23">
      <c r="A15" s="1" t="s">
        <v>12</v>
      </c>
      <c r="B15" s="3">
        <v>3.9</v>
      </c>
      <c r="C15" s="2">
        <v>0</v>
      </c>
      <c r="D15" s="1"/>
      <c r="E15" s="2"/>
      <c r="F15" s="1"/>
      <c r="G15" s="2"/>
      <c r="H15" s="4">
        <v>13.06</v>
      </c>
      <c r="I15" s="2">
        <v>0</v>
      </c>
      <c r="J15" s="1"/>
      <c r="K15" s="2"/>
      <c r="L15" s="1"/>
      <c r="M15" s="2"/>
      <c r="N15" s="1"/>
      <c r="O15" s="2"/>
      <c r="P15" s="1"/>
      <c r="Q15" s="2"/>
      <c r="R15" s="1">
        <f>MIN($B15,$D15,$F15,$H15,$J15,$L15,$N15,$P15)</f>
        <v>0</v>
      </c>
      <c r="S15" s="1">
        <f>MIN($C15,$E15,$G15,$I15,$K15,$M15,$O15,$Q15)</f>
        <v>0</v>
      </c>
      <c r="T15" s="1">
        <f>MEDIAN($B15,$D15,$F15,$H15,$J15,$L15,$N15,$P15)</f>
        <v>0</v>
      </c>
      <c r="U15" s="1">
        <f>MEDIAN($C15,$E15,$G15,$I15,$K15,$M15,$O15,$Q15)</f>
        <v>0</v>
      </c>
      <c r="V15" s="1">
        <f>MAX($B15,$D15,$F15,$H15,$J15,$L15,$N15,$P15)</f>
        <v>0</v>
      </c>
      <c r="W15" s="1">
        <f>MAX($C15,$E15,$G15,$I15,$K15,$M15,$O15,$Q15)</f>
        <v>0</v>
      </c>
    </row>
    <row r="16" spans="1:23">
      <c r="A16" s="1" t="s">
        <v>13</v>
      </c>
      <c r="B16" s="3">
        <v>1.51</v>
      </c>
      <c r="C16" s="2">
        <v>0</v>
      </c>
      <c r="D16" s="1"/>
      <c r="E16" s="2"/>
      <c r="F16" s="1"/>
      <c r="G16" s="2"/>
      <c r="H16" s="4">
        <v>12.62</v>
      </c>
      <c r="I16" s="2">
        <v>0</v>
      </c>
      <c r="J16" s="1"/>
      <c r="K16" s="2"/>
      <c r="L16" s="1"/>
      <c r="M16" s="2"/>
      <c r="N16" s="1"/>
      <c r="O16" s="2"/>
      <c r="P16" s="1"/>
      <c r="Q16" s="2"/>
      <c r="R16" s="1">
        <f>MIN($B16,$D16,$F16,$H16,$J16,$L16,$N16,$P16)</f>
        <v>0</v>
      </c>
      <c r="S16" s="1">
        <f>MIN($C16,$E16,$G16,$I16,$K16,$M16,$O16,$Q16)</f>
        <v>0</v>
      </c>
      <c r="T16" s="1">
        <f>MEDIAN($B16,$D16,$F16,$H16,$J16,$L16,$N16,$P16)</f>
        <v>0</v>
      </c>
      <c r="U16" s="1">
        <f>MEDIAN($C16,$E16,$G16,$I16,$K16,$M16,$O16,$Q16)</f>
        <v>0</v>
      </c>
      <c r="V16" s="1">
        <f>MAX($B16,$D16,$F16,$H16,$J16,$L16,$N16,$P16)</f>
        <v>0</v>
      </c>
      <c r="W16" s="1">
        <f>MAX($C16,$E16,$G16,$I16,$K16,$M16,$O16,$Q16)</f>
        <v>0</v>
      </c>
    </row>
    <row r="17" spans="1:23">
      <c r="A17" s="1" t="s">
        <v>14</v>
      </c>
      <c r="B17" s="3">
        <v>1.69</v>
      </c>
      <c r="C17" s="2">
        <v>0</v>
      </c>
      <c r="D17" s="1"/>
      <c r="E17" s="2"/>
      <c r="F17" s="1"/>
      <c r="G17" s="2"/>
      <c r="H17" s="4">
        <v>13.15</v>
      </c>
      <c r="I17" s="2">
        <v>0</v>
      </c>
      <c r="J17" s="1"/>
      <c r="K17" s="2"/>
      <c r="L17" s="1"/>
      <c r="M17" s="2"/>
      <c r="N17" s="1"/>
      <c r="O17" s="2"/>
      <c r="P17" s="1"/>
      <c r="Q17" s="2"/>
      <c r="R17" s="1">
        <f>MIN($B17,$D17,$F17,$H17,$J17,$L17,$N17,$P17)</f>
        <v>0</v>
      </c>
      <c r="S17" s="1">
        <f>MIN($C17,$E17,$G17,$I17,$K17,$M17,$O17,$Q17)</f>
        <v>0</v>
      </c>
      <c r="T17" s="1">
        <f>MEDIAN($B17,$D17,$F17,$H17,$J17,$L17,$N17,$P17)</f>
        <v>0</v>
      </c>
      <c r="U17" s="1">
        <f>MEDIAN($C17,$E17,$G17,$I17,$K17,$M17,$O17,$Q17)</f>
        <v>0</v>
      </c>
      <c r="V17" s="1">
        <f>MAX($B17,$D17,$F17,$H17,$J17,$L17,$N17,$P17)</f>
        <v>0</v>
      </c>
      <c r="W17" s="1">
        <f>MAX($C17,$E17,$G17,$I17,$K17,$M17,$O17,$Q17)</f>
        <v>0</v>
      </c>
    </row>
    <row r="18" spans="1:23">
      <c r="A18" s="1" t="s">
        <v>15</v>
      </c>
      <c r="B18" s="3">
        <v>3.99</v>
      </c>
      <c r="C18" s="2">
        <v>0</v>
      </c>
      <c r="D18" s="1"/>
      <c r="E18" s="2"/>
      <c r="F18" s="1"/>
      <c r="G18" s="2"/>
      <c r="H18" s="4">
        <v>13.36</v>
      </c>
      <c r="I18" s="2">
        <v>0</v>
      </c>
      <c r="J18" s="1"/>
      <c r="K18" s="2"/>
      <c r="L18" s="1"/>
      <c r="M18" s="2"/>
      <c r="N18" s="1"/>
      <c r="O18" s="2"/>
      <c r="P18" s="1"/>
      <c r="Q18" s="2"/>
      <c r="R18" s="1">
        <f>MIN($B18,$D18,$F18,$H18,$J18,$L18,$N18,$P18)</f>
        <v>0</v>
      </c>
      <c r="S18" s="1">
        <f>MIN($C18,$E18,$G18,$I18,$K18,$M18,$O18,$Q18)</f>
        <v>0</v>
      </c>
      <c r="T18" s="1">
        <f>MEDIAN($B18,$D18,$F18,$H18,$J18,$L18,$N18,$P18)</f>
        <v>0</v>
      </c>
      <c r="U18" s="1">
        <f>MEDIAN($C18,$E18,$G18,$I18,$K18,$M18,$O18,$Q18)</f>
        <v>0</v>
      </c>
      <c r="V18" s="1">
        <f>MAX($B18,$D18,$F18,$H18,$J18,$L18,$N18,$P18)</f>
        <v>0</v>
      </c>
      <c r="W18" s="1">
        <f>MAX($C18,$E18,$G18,$I18,$K18,$M18,$O18,$Q18)</f>
        <v>0</v>
      </c>
    </row>
    <row r="19" spans="1:23">
      <c r="A19" s="1" t="s">
        <v>16</v>
      </c>
      <c r="B19" s="3">
        <v>64.73</v>
      </c>
      <c r="C19" s="5">
        <v>0</v>
      </c>
      <c r="D19" s="1"/>
      <c r="E19" s="2"/>
      <c r="F19" s="1"/>
      <c r="G19" s="2"/>
      <c r="H19" s="4">
        <v>1200</v>
      </c>
      <c r="I19" s="6">
        <v>1</v>
      </c>
      <c r="J19" s="1"/>
      <c r="K19" s="2"/>
      <c r="L19" s="1"/>
      <c r="M19" s="2"/>
      <c r="N19" s="1"/>
      <c r="O19" s="2"/>
      <c r="P19" s="1"/>
      <c r="Q19" s="2"/>
      <c r="R19" s="1">
        <f>MIN($B19,$D19,$F19,$H19,$J19,$L19,$N19,$P19)</f>
        <v>0</v>
      </c>
      <c r="S19" s="1">
        <f>MIN($C19,$E19,$G19,$I19,$K19,$M19,$O19,$Q19)</f>
        <v>0</v>
      </c>
      <c r="T19" s="1">
        <f>MEDIAN($B19,$D19,$F19,$H19,$J19,$L19,$N19,$P19)</f>
        <v>0</v>
      </c>
      <c r="U19" s="1">
        <f>MEDIAN($C19,$E19,$G19,$I19,$K19,$M19,$O19,$Q19)</f>
        <v>0</v>
      </c>
      <c r="V19" s="1">
        <f>MAX($B19,$D19,$F19,$H19,$J19,$L19,$N19,$P19)</f>
        <v>0</v>
      </c>
      <c r="W19" s="1">
        <f>MAX($C19,$E19,$G19,$I19,$K19,$M19,$O19,$Q19)</f>
        <v>0</v>
      </c>
    </row>
    <row r="20" spans="1:23">
      <c r="A20" s="1" t="s">
        <v>17</v>
      </c>
      <c r="B20" s="3">
        <v>63.05</v>
      </c>
      <c r="C20" s="5">
        <v>0</v>
      </c>
      <c r="D20" s="1"/>
      <c r="E20" s="2"/>
      <c r="F20" s="1"/>
      <c r="G20" s="2"/>
      <c r="H20" s="4">
        <v>1200</v>
      </c>
      <c r="I20" s="6">
        <v>1</v>
      </c>
      <c r="J20" s="1"/>
      <c r="K20" s="2"/>
      <c r="L20" s="1"/>
      <c r="M20" s="2"/>
      <c r="N20" s="1"/>
      <c r="O20" s="2"/>
      <c r="P20" s="1"/>
      <c r="Q20" s="2"/>
      <c r="R20" s="1">
        <f>MIN($B20,$D20,$F20,$H20,$J20,$L20,$N20,$P20)</f>
        <v>0</v>
      </c>
      <c r="S20" s="1">
        <f>MIN($C20,$E20,$G20,$I20,$K20,$M20,$O20,$Q20)</f>
        <v>0</v>
      </c>
      <c r="T20" s="1">
        <f>MEDIAN($B20,$D20,$F20,$H20,$J20,$L20,$N20,$P20)</f>
        <v>0</v>
      </c>
      <c r="U20" s="1">
        <f>MEDIAN($C20,$E20,$G20,$I20,$K20,$M20,$O20,$Q20)</f>
        <v>0</v>
      </c>
      <c r="V20" s="1">
        <f>MAX($B20,$D20,$F20,$H20,$J20,$L20,$N20,$P20)</f>
        <v>0</v>
      </c>
      <c r="W20" s="1">
        <f>MAX($C20,$E20,$G20,$I20,$K20,$M20,$O20,$Q20)</f>
        <v>0</v>
      </c>
    </row>
    <row r="21" spans="1:23">
      <c r="A21" s="1" t="s">
        <v>18</v>
      </c>
      <c r="B21" s="3">
        <v>66.75</v>
      </c>
      <c r="C21" s="2">
        <v>0</v>
      </c>
      <c r="D21" s="1"/>
      <c r="E21" s="2"/>
      <c r="F21" s="1"/>
      <c r="G21" s="2"/>
      <c r="H21" s="4">
        <v>469.5</v>
      </c>
      <c r="I21" s="2">
        <v>0</v>
      </c>
      <c r="J21" s="1"/>
      <c r="K21" s="2"/>
      <c r="L21" s="1"/>
      <c r="M21" s="2"/>
      <c r="N21" s="1"/>
      <c r="O21" s="2"/>
      <c r="P21" s="1"/>
      <c r="Q21" s="2"/>
      <c r="R21" s="1">
        <f>MIN($B21,$D21,$F21,$H21,$J21,$L21,$N21,$P21)</f>
        <v>0</v>
      </c>
      <c r="S21" s="1">
        <f>MIN($C21,$E21,$G21,$I21,$K21,$M21,$O21,$Q21)</f>
        <v>0</v>
      </c>
      <c r="T21" s="1">
        <f>MEDIAN($B21,$D21,$F21,$H21,$J21,$L21,$N21,$P21)</f>
        <v>0</v>
      </c>
      <c r="U21" s="1">
        <f>MEDIAN($C21,$E21,$G21,$I21,$K21,$M21,$O21,$Q21)</f>
        <v>0</v>
      </c>
      <c r="V21" s="1">
        <f>MAX($B21,$D21,$F21,$H21,$J21,$L21,$N21,$P21)</f>
        <v>0</v>
      </c>
      <c r="W21" s="1">
        <f>MAX($C21,$E21,$G21,$I21,$K21,$M21,$O21,$Q21)</f>
        <v>0</v>
      </c>
    </row>
    <row r="22" spans="1:23">
      <c r="A22" s="1" t="s">
        <v>19</v>
      </c>
      <c r="B22" s="3">
        <v>1.05</v>
      </c>
      <c r="C22" s="2">
        <v>0</v>
      </c>
      <c r="D22" s="1"/>
      <c r="E22" s="2"/>
      <c r="F22" s="1"/>
      <c r="G22" s="2"/>
      <c r="H22" s="4">
        <v>7.24</v>
      </c>
      <c r="I22" s="2">
        <v>0</v>
      </c>
      <c r="J22" s="1"/>
      <c r="K22" s="2"/>
      <c r="L22" s="1"/>
      <c r="M22" s="2"/>
      <c r="N22" s="1"/>
      <c r="O22" s="2"/>
      <c r="P22" s="1"/>
      <c r="Q22" s="2"/>
      <c r="R22" s="1">
        <f>MIN($B22,$D22,$F22,$H22,$J22,$L22,$N22,$P22)</f>
        <v>0</v>
      </c>
      <c r="S22" s="1">
        <f>MIN($C22,$E22,$G22,$I22,$K22,$M22,$O22,$Q22)</f>
        <v>0</v>
      </c>
      <c r="T22" s="1">
        <f>MEDIAN($B22,$D22,$F22,$H22,$J22,$L22,$N22,$P22)</f>
        <v>0</v>
      </c>
      <c r="U22" s="1">
        <f>MEDIAN($C22,$E22,$G22,$I22,$K22,$M22,$O22,$Q22)</f>
        <v>0</v>
      </c>
      <c r="V22" s="1">
        <f>MAX($B22,$D22,$F22,$H22,$J22,$L22,$N22,$P22)</f>
        <v>0</v>
      </c>
      <c r="W22" s="1">
        <f>MAX($C22,$E22,$G22,$I22,$K22,$M22,$O22,$Q22)</f>
        <v>0</v>
      </c>
    </row>
    <row r="23" spans="1:23">
      <c r="A23" s="1" t="s">
        <v>20</v>
      </c>
      <c r="B23" s="3">
        <v>0.9399999999999999</v>
      </c>
      <c r="C23" s="2">
        <v>0</v>
      </c>
      <c r="D23" s="1"/>
      <c r="E23" s="2"/>
      <c r="F23" s="1"/>
      <c r="G23" s="2"/>
      <c r="H23" s="4">
        <v>6.73</v>
      </c>
      <c r="I23" s="2">
        <v>0</v>
      </c>
      <c r="J23" s="1"/>
      <c r="K23" s="2"/>
      <c r="L23" s="1"/>
      <c r="M23" s="2"/>
      <c r="N23" s="1"/>
      <c r="O23" s="2"/>
      <c r="P23" s="1"/>
      <c r="Q23" s="2"/>
      <c r="R23" s="1">
        <f>MIN($B23,$D23,$F23,$H23,$J23,$L23,$N23,$P23)</f>
        <v>0</v>
      </c>
      <c r="S23" s="1">
        <f>MIN($C23,$E23,$G23,$I23,$K23,$M23,$O23,$Q23)</f>
        <v>0</v>
      </c>
      <c r="T23" s="1">
        <f>MEDIAN($B23,$D23,$F23,$H23,$J23,$L23,$N23,$P23)</f>
        <v>0</v>
      </c>
      <c r="U23" s="1">
        <f>MEDIAN($C23,$E23,$G23,$I23,$K23,$M23,$O23,$Q23)</f>
        <v>0</v>
      </c>
      <c r="V23" s="1">
        <f>MAX($B23,$D23,$F23,$H23,$J23,$L23,$N23,$P23)</f>
        <v>0</v>
      </c>
      <c r="W23" s="1">
        <f>MAX($C23,$E23,$G23,$I23,$K23,$M23,$O23,$Q23)</f>
        <v>0</v>
      </c>
    </row>
    <row r="24" spans="1:23">
      <c r="A24" s="1" t="s">
        <v>21</v>
      </c>
      <c r="B24" s="3">
        <v>1.13</v>
      </c>
      <c r="C24" s="2">
        <v>0</v>
      </c>
      <c r="D24" s="1"/>
      <c r="E24" s="2"/>
      <c r="F24" s="1"/>
      <c r="G24" s="2"/>
      <c r="H24" s="4">
        <v>5.22</v>
      </c>
      <c r="I24" s="2">
        <v>0</v>
      </c>
      <c r="J24" s="1"/>
      <c r="K24" s="2"/>
      <c r="L24" s="1"/>
      <c r="M24" s="2"/>
      <c r="N24" s="1"/>
      <c r="O24" s="2"/>
      <c r="P24" s="1"/>
      <c r="Q24" s="2"/>
      <c r="R24" s="1">
        <f>MIN($B24,$D24,$F24,$H24,$J24,$L24,$N24,$P24)</f>
        <v>0</v>
      </c>
      <c r="S24" s="1">
        <f>MIN($C24,$E24,$G24,$I24,$K24,$M24,$O24,$Q24)</f>
        <v>0</v>
      </c>
      <c r="T24" s="1">
        <f>MEDIAN($B24,$D24,$F24,$H24,$J24,$L24,$N24,$P24)</f>
        <v>0</v>
      </c>
      <c r="U24" s="1">
        <f>MEDIAN($C24,$E24,$G24,$I24,$K24,$M24,$O24,$Q24)</f>
        <v>0</v>
      </c>
      <c r="V24" s="1">
        <f>MAX($B24,$D24,$F24,$H24,$J24,$L24,$N24,$P24)</f>
        <v>0</v>
      </c>
      <c r="W24" s="1">
        <f>MAX($C24,$E24,$G24,$I24,$K24,$M24,$O24,$Q24)</f>
        <v>0</v>
      </c>
    </row>
    <row r="25" spans="1:23">
      <c r="A25" s="1" t="s">
        <v>22</v>
      </c>
      <c r="B25" s="3">
        <v>156.44</v>
      </c>
      <c r="C25" s="2">
        <v>0</v>
      </c>
      <c r="D25" s="1"/>
      <c r="E25" s="2"/>
      <c r="F25" s="1"/>
      <c r="G25" s="2"/>
      <c r="H25" s="4">
        <v>1182.92</v>
      </c>
      <c r="I25" s="2">
        <v>0</v>
      </c>
      <c r="J25" s="1"/>
      <c r="K25" s="2"/>
      <c r="L25" s="1"/>
      <c r="M25" s="2"/>
      <c r="N25" s="1"/>
      <c r="O25" s="2"/>
      <c r="P25" s="1"/>
      <c r="Q25" s="2"/>
      <c r="R25" s="1">
        <f>MIN($B25,$D25,$F25,$H25,$J25,$L25,$N25,$P25)</f>
        <v>0</v>
      </c>
      <c r="S25" s="1">
        <f>MIN($C25,$E25,$G25,$I25,$K25,$M25,$O25,$Q25)</f>
        <v>0</v>
      </c>
      <c r="T25" s="1">
        <f>MEDIAN($B25,$D25,$F25,$H25,$J25,$L25,$N25,$P25)</f>
        <v>0</v>
      </c>
      <c r="U25" s="1">
        <f>MEDIAN($C25,$E25,$G25,$I25,$K25,$M25,$O25,$Q25)</f>
        <v>0</v>
      </c>
      <c r="V25" s="1">
        <f>MAX($B25,$D25,$F25,$H25,$J25,$L25,$N25,$P25)</f>
        <v>0</v>
      </c>
      <c r="W25" s="1">
        <f>MAX($C25,$E25,$G25,$I25,$K25,$M25,$O25,$Q25)</f>
        <v>0</v>
      </c>
    </row>
    <row r="26" spans="1:23">
      <c r="A26" s="1" t="s">
        <v>23</v>
      </c>
      <c r="B26" s="3">
        <v>148.76</v>
      </c>
      <c r="C26" s="5">
        <v>0</v>
      </c>
      <c r="D26" s="1"/>
      <c r="E26" s="2"/>
      <c r="F26" s="1"/>
      <c r="G26" s="2"/>
      <c r="H26" s="4">
        <v>1200</v>
      </c>
      <c r="I26" s="6">
        <v>1</v>
      </c>
      <c r="J26" s="1"/>
      <c r="K26" s="2"/>
      <c r="L26" s="1"/>
      <c r="M26" s="2"/>
      <c r="N26" s="1"/>
      <c r="O26" s="2"/>
      <c r="P26" s="1"/>
      <c r="Q26" s="2"/>
      <c r="R26" s="1">
        <f>MIN($B26,$D26,$F26,$H26,$J26,$L26,$N26,$P26)</f>
        <v>0</v>
      </c>
      <c r="S26" s="1">
        <f>MIN($C26,$E26,$G26,$I26,$K26,$M26,$O26,$Q26)</f>
        <v>0</v>
      </c>
      <c r="T26" s="1">
        <f>MEDIAN($B26,$D26,$F26,$H26,$J26,$L26,$N26,$P26)</f>
        <v>0</v>
      </c>
      <c r="U26" s="1">
        <f>MEDIAN($C26,$E26,$G26,$I26,$K26,$M26,$O26,$Q26)</f>
        <v>0</v>
      </c>
      <c r="V26" s="1">
        <f>MAX($B26,$D26,$F26,$H26,$J26,$L26,$N26,$P26)</f>
        <v>0</v>
      </c>
      <c r="W26" s="1">
        <f>MAX($C26,$E26,$G26,$I26,$K26,$M26,$O26,$Q26)</f>
        <v>0</v>
      </c>
    </row>
    <row r="27" spans="1:23">
      <c r="A27" s="1" t="s">
        <v>24</v>
      </c>
      <c r="B27" s="3">
        <v>147.17</v>
      </c>
      <c r="C27" s="5">
        <v>0</v>
      </c>
      <c r="D27" s="1"/>
      <c r="E27" s="2"/>
      <c r="F27" s="1"/>
      <c r="G27" s="2"/>
      <c r="H27" s="4">
        <v>1200</v>
      </c>
      <c r="I27" s="6">
        <v>1</v>
      </c>
      <c r="J27" s="1"/>
      <c r="K27" s="2"/>
      <c r="L27" s="1"/>
      <c r="M27" s="2"/>
      <c r="N27" s="1"/>
      <c r="O27" s="2"/>
      <c r="P27" s="1"/>
      <c r="Q27" s="2"/>
      <c r="R27" s="1">
        <f>MIN($B27,$D27,$F27,$H27,$J27,$L27,$N27,$P27)</f>
        <v>0</v>
      </c>
      <c r="S27" s="1">
        <f>MIN($C27,$E27,$G27,$I27,$K27,$M27,$O27,$Q27)</f>
        <v>0</v>
      </c>
      <c r="T27" s="1">
        <f>MEDIAN($B27,$D27,$F27,$H27,$J27,$L27,$N27,$P27)</f>
        <v>0</v>
      </c>
      <c r="U27" s="1">
        <f>MEDIAN($C27,$E27,$G27,$I27,$K27,$M27,$O27,$Q27)</f>
        <v>0</v>
      </c>
      <c r="V27" s="1">
        <f>MAX($B27,$D27,$F27,$H27,$J27,$L27,$N27,$P27)</f>
        <v>0</v>
      </c>
      <c r="W27" s="1">
        <f>MAX($C27,$E27,$G27,$I27,$K27,$M27,$O27,$Q27)</f>
        <v>0</v>
      </c>
    </row>
    <row r="28" spans="1:23">
      <c r="A28" s="1" t="s">
        <v>25</v>
      </c>
      <c r="B28" s="1">
        <v>1200</v>
      </c>
      <c r="C28" s="2">
        <v>1</v>
      </c>
      <c r="D28" s="1"/>
      <c r="E28" s="2"/>
      <c r="F28" s="1"/>
      <c r="G28" s="2"/>
      <c r="H28" s="1">
        <v>1200</v>
      </c>
      <c r="I28" s="2">
        <v>1</v>
      </c>
      <c r="J28" s="1"/>
      <c r="K28" s="2"/>
      <c r="L28" s="1"/>
      <c r="M28" s="2"/>
      <c r="N28" s="1"/>
      <c r="O28" s="2"/>
      <c r="P28" s="1"/>
      <c r="Q28" s="2"/>
      <c r="R28" s="1">
        <f>MIN($B28,$D28,$F28,$H28,$J28,$L28,$N28,$P28)</f>
        <v>0</v>
      </c>
      <c r="S28" s="1">
        <f>MIN($C28,$E28,$G28,$I28,$K28,$M28,$O28,$Q28)</f>
        <v>0</v>
      </c>
      <c r="T28" s="1">
        <f>MEDIAN($B28,$D28,$F28,$H28,$J28,$L28,$N28,$P28)</f>
        <v>0</v>
      </c>
      <c r="U28" s="1">
        <f>MEDIAN($C28,$E28,$G28,$I28,$K28,$M28,$O28,$Q28)</f>
        <v>0</v>
      </c>
      <c r="V28" s="1">
        <f>MAX($B28,$D28,$F28,$H28,$J28,$L28,$N28,$P28)</f>
        <v>0</v>
      </c>
      <c r="W28" s="1">
        <f>MAX($C28,$E28,$G28,$I28,$K28,$M28,$O28,$Q28)</f>
        <v>0</v>
      </c>
    </row>
    <row r="29" spans="1:23">
      <c r="A29" s="1" t="s">
        <v>26</v>
      </c>
      <c r="B29" s="1">
        <v>1200</v>
      </c>
      <c r="C29" s="2">
        <v>1</v>
      </c>
      <c r="D29" s="1"/>
      <c r="E29" s="2"/>
      <c r="F29" s="1"/>
      <c r="G29" s="2"/>
      <c r="H29" s="1">
        <v>1200</v>
      </c>
      <c r="I29" s="2">
        <v>1</v>
      </c>
      <c r="J29" s="1"/>
      <c r="K29" s="2"/>
      <c r="L29" s="1"/>
      <c r="M29" s="2"/>
      <c r="N29" s="1"/>
      <c r="O29" s="2"/>
      <c r="P29" s="1"/>
      <c r="Q29" s="2"/>
      <c r="R29" s="1">
        <f>MIN($B29,$D29,$F29,$H29,$J29,$L29,$N29,$P29)</f>
        <v>0</v>
      </c>
      <c r="S29" s="1">
        <f>MIN($C29,$E29,$G29,$I29,$K29,$M29,$O29,$Q29)</f>
        <v>0</v>
      </c>
      <c r="T29" s="1">
        <f>MEDIAN($B29,$D29,$F29,$H29,$J29,$L29,$N29,$P29)</f>
        <v>0</v>
      </c>
      <c r="U29" s="1">
        <f>MEDIAN($C29,$E29,$G29,$I29,$K29,$M29,$O29,$Q29)</f>
        <v>0</v>
      </c>
      <c r="V29" s="1">
        <f>MAX($B29,$D29,$F29,$H29,$J29,$L29,$N29,$P29)</f>
        <v>0</v>
      </c>
      <c r="W29" s="1">
        <f>MAX($C29,$E29,$G29,$I29,$K29,$M29,$O29,$Q29)</f>
        <v>0</v>
      </c>
    </row>
    <row r="30" spans="1:23">
      <c r="A30" s="1" t="s">
        <v>27</v>
      </c>
      <c r="B30" s="1">
        <v>1200</v>
      </c>
      <c r="C30" s="2">
        <v>1</v>
      </c>
      <c r="D30" s="1"/>
      <c r="E30" s="2"/>
      <c r="F30" s="1"/>
      <c r="G30" s="2"/>
      <c r="H30" s="1">
        <v>1200</v>
      </c>
      <c r="I30" s="2">
        <v>1</v>
      </c>
      <c r="J30" s="1"/>
      <c r="K30" s="2"/>
      <c r="L30" s="1"/>
      <c r="M30" s="2"/>
      <c r="N30" s="1"/>
      <c r="O30" s="2"/>
      <c r="P30" s="1"/>
      <c r="Q30" s="2"/>
      <c r="R30" s="1">
        <f>MIN($B30,$D30,$F30,$H30,$J30,$L30,$N30,$P30)</f>
        <v>0</v>
      </c>
      <c r="S30" s="1">
        <f>MIN($C30,$E30,$G30,$I30,$K30,$M30,$O30,$Q30)</f>
        <v>0</v>
      </c>
      <c r="T30" s="1">
        <f>MEDIAN($B30,$D30,$F30,$H30,$J30,$L30,$N30,$P30)</f>
        <v>0</v>
      </c>
      <c r="U30" s="1">
        <f>MEDIAN($C30,$E30,$G30,$I30,$K30,$M30,$O30,$Q30)</f>
        <v>0</v>
      </c>
      <c r="V30" s="1">
        <f>MAX($B30,$D30,$F30,$H30,$J30,$L30,$N30,$P30)</f>
        <v>0</v>
      </c>
      <c r="W30" s="1">
        <f>MAX($C30,$E30,$G30,$I30,$K30,$M30,$O30,$Q30)</f>
        <v>0</v>
      </c>
    </row>
    <row r="31" spans="1:23">
      <c r="A31" s="1" t="s">
        <v>28</v>
      </c>
      <c r="B31" s="3">
        <v>15.12</v>
      </c>
      <c r="C31" s="2">
        <v>0</v>
      </c>
      <c r="D31" s="1"/>
      <c r="E31" s="2"/>
      <c r="F31" s="1"/>
      <c r="G31" s="2"/>
      <c r="H31" s="4">
        <v>257.72</v>
      </c>
      <c r="I31" s="2">
        <v>0</v>
      </c>
      <c r="J31" s="1"/>
      <c r="K31" s="2"/>
      <c r="L31" s="1"/>
      <c r="M31" s="2"/>
      <c r="N31" s="1"/>
      <c r="O31" s="2"/>
      <c r="P31" s="1"/>
      <c r="Q31" s="2"/>
      <c r="R31" s="1">
        <f>MIN($B31,$D31,$F31,$H31,$J31,$L31,$N31,$P31)</f>
        <v>0</v>
      </c>
      <c r="S31" s="1">
        <f>MIN($C31,$E31,$G31,$I31,$K31,$M31,$O31,$Q31)</f>
        <v>0</v>
      </c>
      <c r="T31" s="1">
        <f>MEDIAN($B31,$D31,$F31,$H31,$J31,$L31,$N31,$P31)</f>
        <v>0</v>
      </c>
      <c r="U31" s="1">
        <f>MEDIAN($C31,$E31,$G31,$I31,$K31,$M31,$O31,$Q31)</f>
        <v>0</v>
      </c>
      <c r="V31" s="1">
        <f>MAX($B31,$D31,$F31,$H31,$J31,$L31,$N31,$P31)</f>
        <v>0</v>
      </c>
      <c r="W31" s="1">
        <f>MAX($C31,$E31,$G31,$I31,$K31,$M31,$O31,$Q31)</f>
        <v>0</v>
      </c>
    </row>
    <row r="32" spans="1:23">
      <c r="A32" s="1" t="s">
        <v>29</v>
      </c>
      <c r="B32" s="3">
        <v>17.86</v>
      </c>
      <c r="C32" s="2">
        <v>0</v>
      </c>
      <c r="D32" s="1"/>
      <c r="E32" s="2"/>
      <c r="F32" s="1"/>
      <c r="G32" s="2"/>
      <c r="H32" s="4">
        <v>206.88</v>
      </c>
      <c r="I32" s="2">
        <v>0</v>
      </c>
      <c r="J32" s="1"/>
      <c r="K32" s="2"/>
      <c r="L32" s="1"/>
      <c r="M32" s="2"/>
      <c r="N32" s="1"/>
      <c r="O32" s="2"/>
      <c r="P32" s="1"/>
      <c r="Q32" s="2"/>
      <c r="R32" s="1">
        <f>MIN($B32,$D32,$F32,$H32,$J32,$L32,$N32,$P32)</f>
        <v>0</v>
      </c>
      <c r="S32" s="1">
        <f>MIN($C32,$E32,$G32,$I32,$K32,$M32,$O32,$Q32)</f>
        <v>0</v>
      </c>
      <c r="T32" s="1">
        <f>MEDIAN($B32,$D32,$F32,$H32,$J32,$L32,$N32,$P32)</f>
        <v>0</v>
      </c>
      <c r="U32" s="1">
        <f>MEDIAN($C32,$E32,$G32,$I32,$K32,$M32,$O32,$Q32)</f>
        <v>0</v>
      </c>
      <c r="V32" s="1">
        <f>MAX($B32,$D32,$F32,$H32,$J32,$L32,$N32,$P32)</f>
        <v>0</v>
      </c>
      <c r="W32" s="1">
        <f>MAX($C32,$E32,$G32,$I32,$K32,$M32,$O32,$Q32)</f>
        <v>0</v>
      </c>
    </row>
    <row r="33" spans="1:23">
      <c r="A33" s="1" t="s">
        <v>30</v>
      </c>
      <c r="B33" s="3">
        <v>18.15</v>
      </c>
      <c r="C33" s="2">
        <v>0</v>
      </c>
      <c r="D33" s="1"/>
      <c r="E33" s="2"/>
      <c r="F33" s="1"/>
      <c r="G33" s="2"/>
      <c r="H33" s="4">
        <v>48.14</v>
      </c>
      <c r="I33" s="2">
        <v>0</v>
      </c>
      <c r="J33" s="1"/>
      <c r="K33" s="2"/>
      <c r="L33" s="1"/>
      <c r="M33" s="2"/>
      <c r="N33" s="1"/>
      <c r="O33" s="2"/>
      <c r="P33" s="1"/>
      <c r="Q33" s="2"/>
      <c r="R33" s="1">
        <f>MIN($B33,$D33,$F33,$H33,$J33,$L33,$N33,$P33)</f>
        <v>0</v>
      </c>
      <c r="S33" s="1">
        <f>MIN($C33,$E33,$G33,$I33,$K33,$M33,$O33,$Q33)</f>
        <v>0</v>
      </c>
      <c r="T33" s="1">
        <f>MEDIAN($B33,$D33,$F33,$H33,$J33,$L33,$N33,$P33)</f>
        <v>0</v>
      </c>
      <c r="U33" s="1">
        <f>MEDIAN($C33,$E33,$G33,$I33,$K33,$M33,$O33,$Q33)</f>
        <v>0</v>
      </c>
      <c r="V33" s="1">
        <f>MAX($B33,$D33,$F33,$H33,$J33,$L33,$N33,$P33)</f>
        <v>0</v>
      </c>
      <c r="W33" s="1">
        <f>MAX($C33,$E33,$G33,$I33,$K33,$M33,$O33,$Q33)</f>
        <v>0</v>
      </c>
    </row>
    <row r="34" spans="1:23">
      <c r="A34" s="1" t="s">
        <v>31</v>
      </c>
      <c r="B34" s="4">
        <v>168.77</v>
      </c>
      <c r="C34" s="2">
        <v>0</v>
      </c>
      <c r="D34" s="1"/>
      <c r="E34" s="2"/>
      <c r="F34" s="1"/>
      <c r="G34" s="2"/>
      <c r="H34" s="3">
        <v>7.9</v>
      </c>
      <c r="I34" s="2">
        <v>0</v>
      </c>
      <c r="J34" s="1"/>
      <c r="K34" s="2"/>
      <c r="L34" s="1"/>
      <c r="M34" s="2"/>
      <c r="N34" s="1"/>
      <c r="O34" s="2"/>
      <c r="P34" s="1"/>
      <c r="Q34" s="2"/>
      <c r="R34" s="1">
        <f>MIN($B34,$D34,$F34,$H34,$J34,$L34,$N34,$P34)</f>
        <v>0</v>
      </c>
      <c r="S34" s="1">
        <f>MIN($C34,$E34,$G34,$I34,$K34,$M34,$O34,$Q34)</f>
        <v>0</v>
      </c>
      <c r="T34" s="1">
        <f>MEDIAN($B34,$D34,$F34,$H34,$J34,$L34,$N34,$P34)</f>
        <v>0</v>
      </c>
      <c r="U34" s="1">
        <f>MEDIAN($C34,$E34,$G34,$I34,$K34,$M34,$O34,$Q34)</f>
        <v>0</v>
      </c>
      <c r="V34" s="1">
        <f>MAX($B34,$D34,$F34,$H34,$J34,$L34,$N34,$P34)</f>
        <v>0</v>
      </c>
      <c r="W34" s="1">
        <f>MAX($C34,$E34,$G34,$I34,$K34,$M34,$O34,$Q34)</f>
        <v>0</v>
      </c>
    </row>
    <row r="35" spans="1:23">
      <c r="A35" s="1" t="s">
        <v>32</v>
      </c>
      <c r="B35" s="4">
        <v>169.45</v>
      </c>
      <c r="C35" s="2">
        <v>0</v>
      </c>
      <c r="D35" s="1"/>
      <c r="E35" s="2"/>
      <c r="F35" s="1"/>
      <c r="G35" s="2"/>
      <c r="H35" s="3">
        <v>6.9</v>
      </c>
      <c r="I35" s="2">
        <v>0</v>
      </c>
      <c r="J35" s="1"/>
      <c r="K35" s="2"/>
      <c r="L35" s="1"/>
      <c r="M35" s="2"/>
      <c r="N35" s="1"/>
      <c r="O35" s="2"/>
      <c r="P35" s="1"/>
      <c r="Q35" s="2"/>
      <c r="R35" s="1">
        <f>MIN($B35,$D35,$F35,$H35,$J35,$L35,$N35,$P35)</f>
        <v>0</v>
      </c>
      <c r="S35" s="1">
        <f>MIN($C35,$E35,$G35,$I35,$K35,$M35,$O35,$Q35)</f>
        <v>0</v>
      </c>
      <c r="T35" s="1">
        <f>MEDIAN($B35,$D35,$F35,$H35,$J35,$L35,$N35,$P35)</f>
        <v>0</v>
      </c>
      <c r="U35" s="1">
        <f>MEDIAN($C35,$E35,$G35,$I35,$K35,$M35,$O35,$Q35)</f>
        <v>0</v>
      </c>
      <c r="V35" s="1">
        <f>MAX($B35,$D35,$F35,$H35,$J35,$L35,$N35,$P35)</f>
        <v>0</v>
      </c>
      <c r="W35" s="1">
        <f>MAX($C35,$E35,$G35,$I35,$K35,$M35,$O35,$Q35)</f>
        <v>0</v>
      </c>
    </row>
    <row r="36" spans="1:23">
      <c r="A36" s="1" t="s">
        <v>33</v>
      </c>
      <c r="B36" s="4">
        <v>222.93</v>
      </c>
      <c r="C36" s="2">
        <v>0</v>
      </c>
      <c r="D36" s="1"/>
      <c r="E36" s="2"/>
      <c r="F36" s="1"/>
      <c r="G36" s="2"/>
      <c r="H36" s="3">
        <v>7.04</v>
      </c>
      <c r="I36" s="2">
        <v>0</v>
      </c>
      <c r="J36" s="1"/>
      <c r="K36" s="2"/>
      <c r="L36" s="1"/>
      <c r="M36" s="2"/>
      <c r="N36" s="1"/>
      <c r="O36" s="2"/>
      <c r="P36" s="1"/>
      <c r="Q36" s="2"/>
      <c r="R36" s="1">
        <f>MIN($B36,$D36,$F36,$H36,$J36,$L36,$N36,$P36)</f>
        <v>0</v>
      </c>
      <c r="S36" s="1">
        <f>MIN($C36,$E36,$G36,$I36,$K36,$M36,$O36,$Q36)</f>
        <v>0</v>
      </c>
      <c r="T36" s="1">
        <f>MEDIAN($B36,$D36,$F36,$H36,$J36,$L36,$N36,$P36)</f>
        <v>0</v>
      </c>
      <c r="U36" s="1">
        <f>MEDIAN($C36,$E36,$G36,$I36,$K36,$M36,$O36,$Q36)</f>
        <v>0</v>
      </c>
      <c r="V36" s="1">
        <f>MAX($B36,$D36,$F36,$H36,$J36,$L36,$N36,$P36)</f>
        <v>0</v>
      </c>
      <c r="W36" s="1">
        <f>MAX($C36,$E36,$G36,$I36,$K36,$M36,$O36,$Q36)</f>
        <v>0</v>
      </c>
    </row>
    <row r="37" spans="1:23">
      <c r="A37" s="1" t="s">
        <v>34</v>
      </c>
      <c r="B37" s="4">
        <v>186.04</v>
      </c>
      <c r="C37" s="2">
        <v>0</v>
      </c>
      <c r="D37" s="1"/>
      <c r="E37" s="2"/>
      <c r="F37" s="1"/>
      <c r="G37" s="2"/>
      <c r="H37" s="3">
        <v>7.81</v>
      </c>
      <c r="I37" s="2">
        <v>0</v>
      </c>
      <c r="J37" s="1"/>
      <c r="K37" s="2"/>
      <c r="L37" s="1"/>
      <c r="M37" s="2"/>
      <c r="N37" s="1"/>
      <c r="O37" s="2"/>
      <c r="P37" s="1"/>
      <c r="Q37" s="2"/>
      <c r="R37" s="1">
        <f>MIN($B37,$D37,$F37,$H37,$J37,$L37,$N37,$P37)</f>
        <v>0</v>
      </c>
      <c r="S37" s="1">
        <f>MIN($C37,$E37,$G37,$I37,$K37,$M37,$O37,$Q37)</f>
        <v>0</v>
      </c>
      <c r="T37" s="1">
        <f>MEDIAN($B37,$D37,$F37,$H37,$J37,$L37,$N37,$P37)</f>
        <v>0</v>
      </c>
      <c r="U37" s="1">
        <f>MEDIAN($C37,$E37,$G37,$I37,$K37,$M37,$O37,$Q37)</f>
        <v>0</v>
      </c>
      <c r="V37" s="1">
        <f>MAX($B37,$D37,$F37,$H37,$J37,$L37,$N37,$P37)</f>
        <v>0</v>
      </c>
      <c r="W37" s="1">
        <f>MAX($C37,$E37,$G37,$I37,$K37,$M37,$O37,$Q37)</f>
        <v>0</v>
      </c>
    </row>
    <row r="38" spans="1:23">
      <c r="A38" s="1" t="s">
        <v>35</v>
      </c>
      <c r="B38" s="4">
        <v>170.86</v>
      </c>
      <c r="C38" s="2">
        <v>0</v>
      </c>
      <c r="D38" s="1"/>
      <c r="E38" s="2"/>
      <c r="F38" s="1"/>
      <c r="G38" s="2"/>
      <c r="H38" s="3">
        <v>7.34</v>
      </c>
      <c r="I38" s="2">
        <v>0</v>
      </c>
      <c r="J38" s="1"/>
      <c r="K38" s="2"/>
      <c r="L38" s="1"/>
      <c r="M38" s="2"/>
      <c r="N38" s="1"/>
      <c r="O38" s="2"/>
      <c r="P38" s="1"/>
      <c r="Q38" s="2"/>
      <c r="R38" s="1">
        <f>MIN($B38,$D38,$F38,$H38,$J38,$L38,$N38,$P38)</f>
        <v>0</v>
      </c>
      <c r="S38" s="1">
        <f>MIN($C38,$E38,$G38,$I38,$K38,$M38,$O38,$Q38)</f>
        <v>0</v>
      </c>
      <c r="T38" s="1">
        <f>MEDIAN($B38,$D38,$F38,$H38,$J38,$L38,$N38,$P38)</f>
        <v>0</v>
      </c>
      <c r="U38" s="1">
        <f>MEDIAN($C38,$E38,$G38,$I38,$K38,$M38,$O38,$Q38)</f>
        <v>0</v>
      </c>
      <c r="V38" s="1">
        <f>MAX($B38,$D38,$F38,$H38,$J38,$L38,$N38,$P38)</f>
        <v>0</v>
      </c>
      <c r="W38" s="1">
        <f>MAX($C38,$E38,$G38,$I38,$K38,$M38,$O38,$Q38)</f>
        <v>0</v>
      </c>
    </row>
    <row r="39" spans="1:23">
      <c r="A39" s="1" t="s">
        <v>36</v>
      </c>
      <c r="B39" s="4">
        <v>202.75</v>
      </c>
      <c r="C39" s="2">
        <v>0</v>
      </c>
      <c r="D39" s="1"/>
      <c r="E39" s="2"/>
      <c r="F39" s="1"/>
      <c r="G39" s="2"/>
      <c r="H39" s="3">
        <v>6.78</v>
      </c>
      <c r="I39" s="2">
        <v>0</v>
      </c>
      <c r="J39" s="1"/>
      <c r="K39" s="2"/>
      <c r="L39" s="1"/>
      <c r="M39" s="2"/>
      <c r="N39" s="1"/>
      <c r="O39" s="2"/>
      <c r="P39" s="1"/>
      <c r="Q39" s="2"/>
      <c r="R39" s="1">
        <f>MIN($B39,$D39,$F39,$H39,$J39,$L39,$N39,$P39)</f>
        <v>0</v>
      </c>
      <c r="S39" s="1">
        <f>MIN($C39,$E39,$G39,$I39,$K39,$M39,$O39,$Q39)</f>
        <v>0</v>
      </c>
      <c r="T39" s="1">
        <f>MEDIAN($B39,$D39,$F39,$H39,$J39,$L39,$N39,$P39)</f>
        <v>0</v>
      </c>
      <c r="U39" s="1">
        <f>MEDIAN($C39,$E39,$G39,$I39,$K39,$M39,$O39,$Q39)</f>
        <v>0</v>
      </c>
      <c r="V39" s="1">
        <f>MAX($B39,$D39,$F39,$H39,$J39,$L39,$N39,$P39)</f>
        <v>0</v>
      </c>
      <c r="W39" s="1">
        <f>MAX($C39,$E39,$G39,$I39,$K39,$M39,$O39,$Q39)</f>
        <v>0</v>
      </c>
    </row>
    <row r="40" spans="1:23">
      <c r="A40" s="1" t="s">
        <v>37</v>
      </c>
      <c r="B40" s="4">
        <v>194.6</v>
      </c>
      <c r="C40" s="2">
        <v>0</v>
      </c>
      <c r="D40" s="1"/>
      <c r="E40" s="2"/>
      <c r="F40" s="1"/>
      <c r="G40" s="2"/>
      <c r="H40" s="3">
        <v>6.93</v>
      </c>
      <c r="I40" s="2">
        <v>0</v>
      </c>
      <c r="J40" s="1"/>
      <c r="K40" s="2"/>
      <c r="L40" s="1"/>
      <c r="M40" s="2"/>
      <c r="N40" s="1"/>
      <c r="O40" s="2"/>
      <c r="P40" s="1"/>
      <c r="Q40" s="2"/>
      <c r="R40" s="1">
        <f>MIN($B40,$D40,$F40,$H40,$J40,$L40,$N40,$P40)</f>
        <v>0</v>
      </c>
      <c r="S40" s="1">
        <f>MIN($C40,$E40,$G40,$I40,$K40,$M40,$O40,$Q40)</f>
        <v>0</v>
      </c>
      <c r="T40" s="1">
        <f>MEDIAN($B40,$D40,$F40,$H40,$J40,$L40,$N40,$P40)</f>
        <v>0</v>
      </c>
      <c r="U40" s="1">
        <f>MEDIAN($C40,$E40,$G40,$I40,$K40,$M40,$O40,$Q40)</f>
        <v>0</v>
      </c>
      <c r="V40" s="1">
        <f>MAX($B40,$D40,$F40,$H40,$J40,$L40,$N40,$P40)</f>
        <v>0</v>
      </c>
      <c r="W40" s="1">
        <f>MAX($C40,$E40,$G40,$I40,$K40,$M40,$O40,$Q40)</f>
        <v>0</v>
      </c>
    </row>
    <row r="41" spans="1:23">
      <c r="A41" s="1" t="s">
        <v>38</v>
      </c>
      <c r="B41" s="4">
        <v>171.05</v>
      </c>
      <c r="C41" s="2">
        <v>0</v>
      </c>
      <c r="D41" s="1"/>
      <c r="E41" s="2"/>
      <c r="F41" s="1"/>
      <c r="G41" s="2"/>
      <c r="H41" s="3">
        <v>6.48</v>
      </c>
      <c r="I41" s="2">
        <v>0</v>
      </c>
      <c r="J41" s="1"/>
      <c r="K41" s="2"/>
      <c r="L41" s="1"/>
      <c r="M41" s="2"/>
      <c r="N41" s="1"/>
      <c r="O41" s="2"/>
      <c r="P41" s="1"/>
      <c r="Q41" s="2"/>
      <c r="R41" s="1">
        <f>MIN($B41,$D41,$F41,$H41,$J41,$L41,$N41,$P41)</f>
        <v>0</v>
      </c>
      <c r="S41" s="1">
        <f>MIN($C41,$E41,$G41,$I41,$K41,$M41,$O41,$Q41)</f>
        <v>0</v>
      </c>
      <c r="T41" s="1">
        <f>MEDIAN($B41,$D41,$F41,$H41,$J41,$L41,$N41,$P41)</f>
        <v>0</v>
      </c>
      <c r="U41" s="1">
        <f>MEDIAN($C41,$E41,$G41,$I41,$K41,$M41,$O41,$Q41)</f>
        <v>0</v>
      </c>
      <c r="V41" s="1">
        <f>MAX($B41,$D41,$F41,$H41,$J41,$L41,$N41,$P41)</f>
        <v>0</v>
      </c>
      <c r="W41" s="1">
        <f>MAX($C41,$E41,$G41,$I41,$K41,$M41,$O41,$Q41)</f>
        <v>0</v>
      </c>
    </row>
    <row r="42" spans="1:23">
      <c r="A42" s="1" t="s">
        <v>39</v>
      </c>
      <c r="B42" s="4">
        <v>178.67</v>
      </c>
      <c r="C42" s="2">
        <v>0</v>
      </c>
      <c r="D42" s="1"/>
      <c r="E42" s="2"/>
      <c r="F42" s="1"/>
      <c r="G42" s="2"/>
      <c r="H42" s="3">
        <v>6.84</v>
      </c>
      <c r="I42" s="2">
        <v>0</v>
      </c>
      <c r="J42" s="1"/>
      <c r="K42" s="2"/>
      <c r="L42" s="1"/>
      <c r="M42" s="2"/>
      <c r="N42" s="1"/>
      <c r="O42" s="2"/>
      <c r="P42" s="1"/>
      <c r="Q42" s="2"/>
      <c r="R42" s="1">
        <f>MIN($B42,$D42,$F42,$H42,$J42,$L42,$N42,$P42)</f>
        <v>0</v>
      </c>
      <c r="S42" s="1">
        <f>MIN($C42,$E42,$G42,$I42,$K42,$M42,$O42,$Q42)</f>
        <v>0</v>
      </c>
      <c r="T42" s="1">
        <f>MEDIAN($B42,$D42,$F42,$H42,$J42,$L42,$N42,$P42)</f>
        <v>0</v>
      </c>
      <c r="U42" s="1">
        <f>MEDIAN($C42,$E42,$G42,$I42,$K42,$M42,$O42,$Q42)</f>
        <v>0</v>
      </c>
      <c r="V42" s="1">
        <f>MAX($B42,$D42,$F42,$H42,$J42,$L42,$N42,$P42)</f>
        <v>0</v>
      </c>
      <c r="W42" s="1">
        <f>MAX($C42,$E42,$G42,$I42,$K42,$M42,$O42,$Q42)</f>
        <v>0</v>
      </c>
    </row>
    <row r="43" spans="1:23">
      <c r="A43" s="1" t="s">
        <v>40</v>
      </c>
      <c r="B43" s="4">
        <v>208.48</v>
      </c>
      <c r="C43" s="2">
        <v>0</v>
      </c>
      <c r="D43" s="1"/>
      <c r="E43" s="2"/>
      <c r="F43" s="1"/>
      <c r="G43" s="2"/>
      <c r="H43" s="3">
        <v>6.9</v>
      </c>
      <c r="I43" s="2">
        <v>0</v>
      </c>
      <c r="J43" s="1"/>
      <c r="K43" s="2"/>
      <c r="L43" s="1"/>
      <c r="M43" s="2"/>
      <c r="N43" s="1"/>
      <c r="O43" s="2"/>
      <c r="P43" s="1"/>
      <c r="Q43" s="2"/>
      <c r="R43" s="1">
        <f>MIN($B43,$D43,$F43,$H43,$J43,$L43,$N43,$P43)</f>
        <v>0</v>
      </c>
      <c r="S43" s="1">
        <f>MIN($C43,$E43,$G43,$I43,$K43,$M43,$O43,$Q43)</f>
        <v>0</v>
      </c>
      <c r="T43" s="1">
        <f>MEDIAN($B43,$D43,$F43,$H43,$J43,$L43,$N43,$P43)</f>
        <v>0</v>
      </c>
      <c r="U43" s="1">
        <f>MEDIAN($C43,$E43,$G43,$I43,$K43,$M43,$O43,$Q43)</f>
        <v>0</v>
      </c>
      <c r="V43" s="1">
        <f>MAX($B43,$D43,$F43,$H43,$J43,$L43,$N43,$P43)</f>
        <v>0</v>
      </c>
      <c r="W43" s="1">
        <f>MAX($C43,$E43,$G43,$I43,$K43,$M43,$O43,$Q43)</f>
        <v>0</v>
      </c>
    </row>
    <row r="44" spans="1:23">
      <c r="A44" s="1" t="s">
        <v>41</v>
      </c>
      <c r="B44" s="4">
        <v>618.04</v>
      </c>
      <c r="C44" s="2">
        <v>0</v>
      </c>
      <c r="D44" s="1"/>
      <c r="E44" s="2"/>
      <c r="F44" s="1"/>
      <c r="G44" s="2"/>
      <c r="H44" s="3">
        <v>8.84</v>
      </c>
      <c r="I44" s="2">
        <v>0</v>
      </c>
      <c r="J44" s="1"/>
      <c r="K44" s="2"/>
      <c r="L44" s="1"/>
      <c r="M44" s="2"/>
      <c r="N44" s="1"/>
      <c r="O44" s="2"/>
      <c r="P44" s="1"/>
      <c r="Q44" s="2"/>
      <c r="R44" s="1">
        <f>MIN($B44,$D44,$F44,$H44,$J44,$L44,$N44,$P44)</f>
        <v>0</v>
      </c>
      <c r="S44" s="1">
        <f>MIN($C44,$E44,$G44,$I44,$K44,$M44,$O44,$Q44)</f>
        <v>0</v>
      </c>
      <c r="T44" s="1">
        <f>MEDIAN($B44,$D44,$F44,$H44,$J44,$L44,$N44,$P44)</f>
        <v>0</v>
      </c>
      <c r="U44" s="1">
        <f>MEDIAN($C44,$E44,$G44,$I44,$K44,$M44,$O44,$Q44)</f>
        <v>0</v>
      </c>
      <c r="V44" s="1">
        <f>MAX($B44,$D44,$F44,$H44,$J44,$L44,$N44,$P44)</f>
        <v>0</v>
      </c>
      <c r="W44" s="1">
        <f>MAX($C44,$E44,$G44,$I44,$K44,$M44,$O44,$Q44)</f>
        <v>0</v>
      </c>
    </row>
    <row r="45" spans="1:23">
      <c r="A45" s="1" t="s">
        <v>42</v>
      </c>
      <c r="B45" s="4">
        <v>621.78</v>
      </c>
      <c r="C45" s="2">
        <v>0</v>
      </c>
      <c r="D45" s="1"/>
      <c r="E45" s="2"/>
      <c r="F45" s="1"/>
      <c r="G45" s="2"/>
      <c r="H45" s="3">
        <v>8.82</v>
      </c>
      <c r="I45" s="2">
        <v>0</v>
      </c>
      <c r="J45" s="1"/>
      <c r="K45" s="2"/>
      <c r="L45" s="1"/>
      <c r="M45" s="2"/>
      <c r="N45" s="1"/>
      <c r="O45" s="2"/>
      <c r="P45" s="1"/>
      <c r="Q45" s="2"/>
      <c r="R45" s="1">
        <f>MIN($B45,$D45,$F45,$H45,$J45,$L45,$N45,$P45)</f>
        <v>0</v>
      </c>
      <c r="S45" s="1">
        <f>MIN($C45,$E45,$G45,$I45,$K45,$M45,$O45,$Q45)</f>
        <v>0</v>
      </c>
      <c r="T45" s="1">
        <f>MEDIAN($B45,$D45,$F45,$H45,$J45,$L45,$N45,$P45)</f>
        <v>0</v>
      </c>
      <c r="U45" s="1">
        <f>MEDIAN($C45,$E45,$G45,$I45,$K45,$M45,$O45,$Q45)</f>
        <v>0</v>
      </c>
      <c r="V45" s="1">
        <f>MAX($B45,$D45,$F45,$H45,$J45,$L45,$N45,$P45)</f>
        <v>0</v>
      </c>
      <c r="W45" s="1">
        <f>MAX($C45,$E45,$G45,$I45,$K45,$M45,$O45,$Q45)</f>
        <v>0</v>
      </c>
    </row>
    <row r="46" spans="1:23">
      <c r="A46" s="1" t="s">
        <v>43</v>
      </c>
      <c r="B46" s="4">
        <v>697.59</v>
      </c>
      <c r="C46" s="2">
        <v>0</v>
      </c>
      <c r="D46" s="1"/>
      <c r="E46" s="2"/>
      <c r="F46" s="1"/>
      <c r="G46" s="2"/>
      <c r="H46" s="3">
        <v>9.050000000000001</v>
      </c>
      <c r="I46" s="2">
        <v>0</v>
      </c>
      <c r="J46" s="1"/>
      <c r="K46" s="2"/>
      <c r="L46" s="1"/>
      <c r="M46" s="2"/>
      <c r="N46" s="1"/>
      <c r="O46" s="2"/>
      <c r="P46" s="1"/>
      <c r="Q46" s="2"/>
      <c r="R46" s="1">
        <f>MIN($B46,$D46,$F46,$H46,$J46,$L46,$N46,$P46)</f>
        <v>0</v>
      </c>
      <c r="S46" s="1">
        <f>MIN($C46,$E46,$G46,$I46,$K46,$M46,$O46,$Q46)</f>
        <v>0</v>
      </c>
      <c r="T46" s="1">
        <f>MEDIAN($B46,$D46,$F46,$H46,$J46,$L46,$N46,$P46)</f>
        <v>0</v>
      </c>
      <c r="U46" s="1">
        <f>MEDIAN($C46,$E46,$G46,$I46,$K46,$M46,$O46,$Q46)</f>
        <v>0</v>
      </c>
      <c r="V46" s="1">
        <f>MAX($B46,$D46,$F46,$H46,$J46,$L46,$N46,$P46)</f>
        <v>0</v>
      </c>
      <c r="W46" s="1">
        <f>MAX($C46,$E46,$G46,$I46,$K46,$M46,$O46,$Q46)</f>
        <v>0</v>
      </c>
    </row>
    <row r="47" spans="1:23">
      <c r="A47" s="1" t="s">
        <v>44</v>
      </c>
      <c r="B47" s="4">
        <v>672.34</v>
      </c>
      <c r="C47" s="2">
        <v>0</v>
      </c>
      <c r="D47" s="1"/>
      <c r="E47" s="2"/>
      <c r="F47" s="1"/>
      <c r="G47" s="2"/>
      <c r="H47" s="3">
        <v>8.94</v>
      </c>
      <c r="I47" s="2">
        <v>0</v>
      </c>
      <c r="J47" s="1"/>
      <c r="K47" s="2"/>
      <c r="L47" s="1"/>
      <c r="M47" s="2"/>
      <c r="N47" s="1"/>
      <c r="O47" s="2"/>
      <c r="P47" s="1"/>
      <c r="Q47" s="2"/>
      <c r="R47" s="1">
        <f>MIN($B47,$D47,$F47,$H47,$J47,$L47,$N47,$P47)</f>
        <v>0</v>
      </c>
      <c r="S47" s="1">
        <f>MIN($C47,$E47,$G47,$I47,$K47,$M47,$O47,$Q47)</f>
        <v>0</v>
      </c>
      <c r="T47" s="1">
        <f>MEDIAN($B47,$D47,$F47,$H47,$J47,$L47,$N47,$P47)</f>
        <v>0</v>
      </c>
      <c r="U47" s="1">
        <f>MEDIAN($C47,$E47,$G47,$I47,$K47,$M47,$O47,$Q47)</f>
        <v>0</v>
      </c>
      <c r="V47" s="1">
        <f>MAX($B47,$D47,$F47,$H47,$J47,$L47,$N47,$P47)</f>
        <v>0</v>
      </c>
      <c r="W47" s="1">
        <f>MAX($C47,$E47,$G47,$I47,$K47,$M47,$O47,$Q47)</f>
        <v>0</v>
      </c>
    </row>
    <row r="48" spans="1:23">
      <c r="A48" s="1" t="s">
        <v>45</v>
      </c>
      <c r="B48" s="4">
        <v>700.27</v>
      </c>
      <c r="C48" s="2">
        <v>0</v>
      </c>
      <c r="D48" s="1"/>
      <c r="E48" s="2"/>
      <c r="F48" s="1"/>
      <c r="G48" s="2"/>
      <c r="H48" s="3">
        <v>9.08</v>
      </c>
      <c r="I48" s="2">
        <v>0</v>
      </c>
      <c r="J48" s="1"/>
      <c r="K48" s="2"/>
      <c r="L48" s="1"/>
      <c r="M48" s="2"/>
      <c r="N48" s="1"/>
      <c r="O48" s="2"/>
      <c r="P48" s="1"/>
      <c r="Q48" s="2"/>
      <c r="R48" s="1">
        <f>MIN($B48,$D48,$F48,$H48,$J48,$L48,$N48,$P48)</f>
        <v>0</v>
      </c>
      <c r="S48" s="1">
        <f>MIN($C48,$E48,$G48,$I48,$K48,$M48,$O48,$Q48)</f>
        <v>0</v>
      </c>
      <c r="T48" s="1">
        <f>MEDIAN($B48,$D48,$F48,$H48,$J48,$L48,$N48,$P48)</f>
        <v>0</v>
      </c>
      <c r="U48" s="1">
        <f>MEDIAN($C48,$E48,$G48,$I48,$K48,$M48,$O48,$Q48)</f>
        <v>0</v>
      </c>
      <c r="V48" s="1">
        <f>MAX($B48,$D48,$F48,$H48,$J48,$L48,$N48,$P48)</f>
        <v>0</v>
      </c>
      <c r="W48" s="1">
        <f>MAX($C48,$E48,$G48,$I48,$K48,$M48,$O48,$Q48)</f>
        <v>0</v>
      </c>
    </row>
    <row r="49" spans="1:23">
      <c r="A49" s="1" t="s">
        <v>46</v>
      </c>
      <c r="B49" s="4">
        <v>700.83</v>
      </c>
      <c r="C49" s="2">
        <v>0</v>
      </c>
      <c r="D49" s="1"/>
      <c r="E49" s="2"/>
      <c r="F49" s="1"/>
      <c r="G49" s="2"/>
      <c r="H49" s="3">
        <v>9.210000000000001</v>
      </c>
      <c r="I49" s="2">
        <v>0</v>
      </c>
      <c r="J49" s="1"/>
      <c r="K49" s="2"/>
      <c r="L49" s="1"/>
      <c r="M49" s="2"/>
      <c r="N49" s="1"/>
      <c r="O49" s="2"/>
      <c r="P49" s="1"/>
      <c r="Q49" s="2"/>
      <c r="R49" s="1">
        <f>MIN($B49,$D49,$F49,$H49,$J49,$L49,$N49,$P49)</f>
        <v>0</v>
      </c>
      <c r="S49" s="1">
        <f>MIN($C49,$E49,$G49,$I49,$K49,$M49,$O49,$Q49)</f>
        <v>0</v>
      </c>
      <c r="T49" s="1">
        <f>MEDIAN($B49,$D49,$F49,$H49,$J49,$L49,$N49,$P49)</f>
        <v>0</v>
      </c>
      <c r="U49" s="1">
        <f>MEDIAN($C49,$E49,$G49,$I49,$K49,$M49,$O49,$Q49)</f>
        <v>0</v>
      </c>
      <c r="V49" s="1">
        <f>MAX($B49,$D49,$F49,$H49,$J49,$L49,$N49,$P49)</f>
        <v>0</v>
      </c>
      <c r="W49" s="1">
        <f>MAX($C49,$E49,$G49,$I49,$K49,$M49,$O49,$Q49)</f>
        <v>0</v>
      </c>
    </row>
    <row r="50" spans="1:23">
      <c r="A50" s="1" t="s">
        <v>47</v>
      </c>
      <c r="B50" s="4">
        <v>734.85</v>
      </c>
      <c r="C50" s="2">
        <v>0</v>
      </c>
      <c r="D50" s="1"/>
      <c r="E50" s="2"/>
      <c r="F50" s="1"/>
      <c r="G50" s="2"/>
      <c r="H50" s="3">
        <v>9.119999999999999</v>
      </c>
      <c r="I50" s="2">
        <v>0</v>
      </c>
      <c r="J50" s="1"/>
      <c r="K50" s="2"/>
      <c r="L50" s="1"/>
      <c r="M50" s="2"/>
      <c r="N50" s="1"/>
      <c r="O50" s="2"/>
      <c r="P50" s="1"/>
      <c r="Q50" s="2"/>
      <c r="R50" s="1">
        <f>MIN($B50,$D50,$F50,$H50,$J50,$L50,$N50,$P50)</f>
        <v>0</v>
      </c>
      <c r="S50" s="1">
        <f>MIN($C50,$E50,$G50,$I50,$K50,$M50,$O50,$Q50)</f>
        <v>0</v>
      </c>
      <c r="T50" s="1">
        <f>MEDIAN($B50,$D50,$F50,$H50,$J50,$L50,$N50,$P50)</f>
        <v>0</v>
      </c>
      <c r="U50" s="1">
        <f>MEDIAN($C50,$E50,$G50,$I50,$K50,$M50,$O50,$Q50)</f>
        <v>0</v>
      </c>
      <c r="V50" s="1">
        <f>MAX($B50,$D50,$F50,$H50,$J50,$L50,$N50,$P50)</f>
        <v>0</v>
      </c>
      <c r="W50" s="1">
        <f>MAX($C50,$E50,$G50,$I50,$K50,$M50,$O50,$Q50)</f>
        <v>0</v>
      </c>
    </row>
    <row r="51" spans="1:23">
      <c r="A51" s="1" t="s">
        <v>48</v>
      </c>
      <c r="B51" s="4">
        <v>665.02</v>
      </c>
      <c r="C51" s="2">
        <v>0</v>
      </c>
      <c r="D51" s="1"/>
      <c r="E51" s="2"/>
      <c r="F51" s="1"/>
      <c r="G51" s="2"/>
      <c r="H51" s="3">
        <v>8.82</v>
      </c>
      <c r="I51" s="2">
        <v>0</v>
      </c>
      <c r="J51" s="1"/>
      <c r="K51" s="2"/>
      <c r="L51" s="1"/>
      <c r="M51" s="2"/>
      <c r="N51" s="1"/>
      <c r="O51" s="2"/>
      <c r="P51" s="1"/>
      <c r="Q51" s="2"/>
      <c r="R51" s="1">
        <f>MIN($B51,$D51,$F51,$H51,$J51,$L51,$N51,$P51)</f>
        <v>0</v>
      </c>
      <c r="S51" s="1">
        <f>MIN($C51,$E51,$G51,$I51,$K51,$M51,$O51,$Q51)</f>
        <v>0</v>
      </c>
      <c r="T51" s="1">
        <f>MEDIAN($B51,$D51,$F51,$H51,$J51,$L51,$N51,$P51)</f>
        <v>0</v>
      </c>
      <c r="U51" s="1">
        <f>MEDIAN($C51,$E51,$G51,$I51,$K51,$M51,$O51,$Q51)</f>
        <v>0</v>
      </c>
      <c r="V51" s="1">
        <f>MAX($B51,$D51,$F51,$H51,$J51,$L51,$N51,$P51)</f>
        <v>0</v>
      </c>
      <c r="W51" s="1">
        <f>MAX($C51,$E51,$G51,$I51,$K51,$M51,$O51,$Q51)</f>
        <v>0</v>
      </c>
    </row>
    <row r="52" spans="1:23">
      <c r="A52" s="1" t="s">
        <v>49</v>
      </c>
      <c r="B52" s="4">
        <v>669.21</v>
      </c>
      <c r="C52" s="2">
        <v>0</v>
      </c>
      <c r="D52" s="1"/>
      <c r="E52" s="2"/>
      <c r="F52" s="1"/>
      <c r="G52" s="2"/>
      <c r="H52" s="3">
        <v>9.18</v>
      </c>
      <c r="I52" s="2">
        <v>0</v>
      </c>
      <c r="J52" s="1"/>
      <c r="K52" s="2"/>
      <c r="L52" s="1"/>
      <c r="M52" s="2"/>
      <c r="N52" s="1"/>
      <c r="O52" s="2"/>
      <c r="P52" s="1"/>
      <c r="Q52" s="2"/>
      <c r="R52" s="1">
        <f>MIN($B52,$D52,$F52,$H52,$J52,$L52,$N52,$P52)</f>
        <v>0</v>
      </c>
      <c r="S52" s="1">
        <f>MIN($C52,$E52,$G52,$I52,$K52,$M52,$O52,$Q52)</f>
        <v>0</v>
      </c>
      <c r="T52" s="1">
        <f>MEDIAN($B52,$D52,$F52,$H52,$J52,$L52,$N52,$P52)</f>
        <v>0</v>
      </c>
      <c r="U52" s="1">
        <f>MEDIAN($C52,$E52,$G52,$I52,$K52,$M52,$O52,$Q52)</f>
        <v>0</v>
      </c>
      <c r="V52" s="1">
        <f>MAX($B52,$D52,$F52,$H52,$J52,$L52,$N52,$P52)</f>
        <v>0</v>
      </c>
      <c r="W52" s="1">
        <f>MAX($C52,$E52,$G52,$I52,$K52,$M52,$O52,$Q52)</f>
        <v>0</v>
      </c>
    </row>
    <row r="53" spans="1:23">
      <c r="A53" s="1" t="s">
        <v>50</v>
      </c>
      <c r="B53" s="4">
        <v>669.76</v>
      </c>
      <c r="C53" s="2">
        <v>0</v>
      </c>
      <c r="D53" s="1"/>
      <c r="E53" s="2"/>
      <c r="F53" s="1"/>
      <c r="G53" s="2"/>
      <c r="H53" s="3">
        <v>8.9</v>
      </c>
      <c r="I53" s="2">
        <v>0</v>
      </c>
      <c r="J53" s="1"/>
      <c r="K53" s="2"/>
      <c r="L53" s="1"/>
      <c r="M53" s="2"/>
      <c r="N53" s="1"/>
      <c r="O53" s="2"/>
      <c r="P53" s="1"/>
      <c r="Q53" s="2"/>
      <c r="R53" s="1">
        <f>MIN($B53,$D53,$F53,$H53,$J53,$L53,$N53,$P53)</f>
        <v>0</v>
      </c>
      <c r="S53" s="1">
        <f>MIN($C53,$E53,$G53,$I53,$K53,$M53,$O53,$Q53)</f>
        <v>0</v>
      </c>
      <c r="T53" s="1">
        <f>MEDIAN($B53,$D53,$F53,$H53,$J53,$L53,$N53,$P53)</f>
        <v>0</v>
      </c>
      <c r="U53" s="1">
        <f>MEDIAN($C53,$E53,$G53,$I53,$K53,$M53,$O53,$Q53)</f>
        <v>0</v>
      </c>
      <c r="V53" s="1">
        <f>MAX($B53,$D53,$F53,$H53,$J53,$L53,$N53,$P53)</f>
        <v>0</v>
      </c>
      <c r="W53" s="1">
        <f>MAX($C53,$E53,$G53,$I53,$K53,$M53,$O53,$Q53)</f>
        <v>0</v>
      </c>
    </row>
    <row r="54" spans="1:23">
      <c r="A54" s="1" t="s">
        <v>51</v>
      </c>
      <c r="B54" s="4">
        <v>1200</v>
      </c>
      <c r="C54" s="6">
        <v>1</v>
      </c>
      <c r="D54" s="1"/>
      <c r="E54" s="2"/>
      <c r="F54" s="1"/>
      <c r="G54" s="2"/>
      <c r="H54" s="3">
        <v>10.89</v>
      </c>
      <c r="I54" s="5">
        <v>0</v>
      </c>
      <c r="J54" s="1"/>
      <c r="K54" s="2"/>
      <c r="L54" s="1"/>
      <c r="M54" s="2"/>
      <c r="N54" s="1"/>
      <c r="O54" s="2"/>
      <c r="P54" s="1"/>
      <c r="Q54" s="2"/>
      <c r="R54" s="1">
        <f>MIN($B54,$D54,$F54,$H54,$J54,$L54,$N54,$P54)</f>
        <v>0</v>
      </c>
      <c r="S54" s="1">
        <f>MIN($C54,$E54,$G54,$I54,$K54,$M54,$O54,$Q54)</f>
        <v>0</v>
      </c>
      <c r="T54" s="1">
        <f>MEDIAN($B54,$D54,$F54,$H54,$J54,$L54,$N54,$P54)</f>
        <v>0</v>
      </c>
      <c r="U54" s="1">
        <f>MEDIAN($C54,$E54,$G54,$I54,$K54,$M54,$O54,$Q54)</f>
        <v>0</v>
      </c>
      <c r="V54" s="1">
        <f>MAX($B54,$D54,$F54,$H54,$J54,$L54,$N54,$P54)</f>
        <v>0</v>
      </c>
      <c r="W54" s="1">
        <f>MAX($C54,$E54,$G54,$I54,$K54,$M54,$O54,$Q54)</f>
        <v>0</v>
      </c>
    </row>
    <row r="55" spans="1:23">
      <c r="A55" s="1" t="s">
        <v>52</v>
      </c>
      <c r="B55" s="4">
        <v>1200</v>
      </c>
      <c r="C55" s="6">
        <v>1</v>
      </c>
      <c r="D55" s="1"/>
      <c r="E55" s="2"/>
      <c r="F55" s="1"/>
      <c r="G55" s="2"/>
      <c r="H55" s="3">
        <v>11.11</v>
      </c>
      <c r="I55" s="5">
        <v>0</v>
      </c>
      <c r="J55" s="1"/>
      <c r="K55" s="2"/>
      <c r="L55" s="1"/>
      <c r="M55" s="2"/>
      <c r="N55" s="1"/>
      <c r="O55" s="2"/>
      <c r="P55" s="1"/>
      <c r="Q55" s="2"/>
      <c r="R55" s="1">
        <f>MIN($B55,$D55,$F55,$H55,$J55,$L55,$N55,$P55)</f>
        <v>0</v>
      </c>
      <c r="S55" s="1">
        <f>MIN($C55,$E55,$G55,$I55,$K55,$M55,$O55,$Q55)</f>
        <v>0</v>
      </c>
      <c r="T55" s="1">
        <f>MEDIAN($B55,$D55,$F55,$H55,$J55,$L55,$N55,$P55)</f>
        <v>0</v>
      </c>
      <c r="U55" s="1">
        <f>MEDIAN($C55,$E55,$G55,$I55,$K55,$M55,$O55,$Q55)</f>
        <v>0</v>
      </c>
      <c r="V55" s="1">
        <f>MAX($B55,$D55,$F55,$H55,$J55,$L55,$N55,$P55)</f>
        <v>0</v>
      </c>
      <c r="W55" s="1">
        <f>MAX($C55,$E55,$G55,$I55,$K55,$M55,$O55,$Q55)</f>
        <v>0</v>
      </c>
    </row>
    <row r="56" spans="1:23">
      <c r="A56" s="1" t="s">
        <v>53</v>
      </c>
      <c r="B56" s="4">
        <v>1200</v>
      </c>
      <c r="C56" s="6">
        <v>1</v>
      </c>
      <c r="D56" s="1"/>
      <c r="E56" s="2"/>
      <c r="F56" s="1"/>
      <c r="G56" s="2"/>
      <c r="H56" s="3">
        <v>11.76</v>
      </c>
      <c r="I56" s="5">
        <v>0</v>
      </c>
      <c r="J56" s="1"/>
      <c r="K56" s="2"/>
      <c r="L56" s="1"/>
      <c r="M56" s="2"/>
      <c r="N56" s="1"/>
      <c r="O56" s="2"/>
      <c r="P56" s="1"/>
      <c r="Q56" s="2"/>
      <c r="R56" s="1">
        <f>MIN($B56,$D56,$F56,$H56,$J56,$L56,$N56,$P56)</f>
        <v>0</v>
      </c>
      <c r="S56" s="1">
        <f>MIN($C56,$E56,$G56,$I56,$K56,$M56,$O56,$Q56)</f>
        <v>0</v>
      </c>
      <c r="T56" s="1">
        <f>MEDIAN($B56,$D56,$F56,$H56,$J56,$L56,$N56,$P56)</f>
        <v>0</v>
      </c>
      <c r="U56" s="1">
        <f>MEDIAN($C56,$E56,$G56,$I56,$K56,$M56,$O56,$Q56)</f>
        <v>0</v>
      </c>
      <c r="V56" s="1">
        <f>MAX($B56,$D56,$F56,$H56,$J56,$L56,$N56,$P56)</f>
        <v>0</v>
      </c>
      <c r="W56" s="1">
        <f>MAX($C56,$E56,$G56,$I56,$K56,$M56,$O56,$Q56)</f>
        <v>0</v>
      </c>
    </row>
    <row r="57" spans="1:23">
      <c r="A57" s="1" t="s">
        <v>54</v>
      </c>
      <c r="B57" s="4">
        <v>1200</v>
      </c>
      <c r="C57" s="6">
        <v>1</v>
      </c>
      <c r="D57" s="1"/>
      <c r="E57" s="2"/>
      <c r="F57" s="1"/>
      <c r="G57" s="2"/>
      <c r="H57" s="3">
        <v>13.24</v>
      </c>
      <c r="I57" s="5">
        <v>0</v>
      </c>
      <c r="J57" s="1"/>
      <c r="K57" s="2"/>
      <c r="L57" s="1"/>
      <c r="M57" s="2"/>
      <c r="N57" s="1"/>
      <c r="O57" s="2"/>
      <c r="P57" s="1"/>
      <c r="Q57" s="2"/>
      <c r="R57" s="1">
        <f>MIN($B57,$D57,$F57,$H57,$J57,$L57,$N57,$P57)</f>
        <v>0</v>
      </c>
      <c r="S57" s="1">
        <f>MIN($C57,$E57,$G57,$I57,$K57,$M57,$O57,$Q57)</f>
        <v>0</v>
      </c>
      <c r="T57" s="1">
        <f>MEDIAN($B57,$D57,$F57,$H57,$J57,$L57,$N57,$P57)</f>
        <v>0</v>
      </c>
      <c r="U57" s="1">
        <f>MEDIAN($C57,$E57,$G57,$I57,$K57,$M57,$O57,$Q57)</f>
        <v>0</v>
      </c>
      <c r="V57" s="1">
        <f>MAX($B57,$D57,$F57,$H57,$J57,$L57,$N57,$P57)</f>
        <v>0</v>
      </c>
      <c r="W57" s="1">
        <f>MAX($C57,$E57,$G57,$I57,$K57,$M57,$O57,$Q57)</f>
        <v>0</v>
      </c>
    </row>
    <row r="58" spans="1:23">
      <c r="A58" s="1" t="s">
        <v>55</v>
      </c>
      <c r="B58" s="4">
        <v>1200</v>
      </c>
      <c r="C58" s="6">
        <v>1</v>
      </c>
      <c r="D58" s="1"/>
      <c r="E58" s="2"/>
      <c r="F58" s="1"/>
      <c r="G58" s="2"/>
      <c r="H58" s="3">
        <v>10.9</v>
      </c>
      <c r="I58" s="5">
        <v>0</v>
      </c>
      <c r="J58" s="1"/>
      <c r="K58" s="2"/>
      <c r="L58" s="1"/>
      <c r="M58" s="2"/>
      <c r="N58" s="1"/>
      <c r="O58" s="2"/>
      <c r="P58" s="1"/>
      <c r="Q58" s="2"/>
      <c r="R58" s="1">
        <f>MIN($B58,$D58,$F58,$H58,$J58,$L58,$N58,$P58)</f>
        <v>0</v>
      </c>
      <c r="S58" s="1">
        <f>MIN($C58,$E58,$G58,$I58,$K58,$M58,$O58,$Q58)</f>
        <v>0</v>
      </c>
      <c r="T58" s="1">
        <f>MEDIAN($B58,$D58,$F58,$H58,$J58,$L58,$N58,$P58)</f>
        <v>0</v>
      </c>
      <c r="U58" s="1">
        <f>MEDIAN($C58,$E58,$G58,$I58,$K58,$M58,$O58,$Q58)</f>
        <v>0</v>
      </c>
      <c r="V58" s="1">
        <f>MAX($B58,$D58,$F58,$H58,$J58,$L58,$N58,$P58)</f>
        <v>0</v>
      </c>
      <c r="W58" s="1">
        <f>MAX($C58,$E58,$G58,$I58,$K58,$M58,$O58,$Q58)</f>
        <v>0</v>
      </c>
    </row>
    <row r="59" spans="1:23">
      <c r="A59" s="1" t="s">
        <v>56</v>
      </c>
      <c r="B59" s="4">
        <v>1200</v>
      </c>
      <c r="C59" s="6">
        <v>1</v>
      </c>
      <c r="D59" s="1"/>
      <c r="E59" s="2"/>
      <c r="F59" s="1"/>
      <c r="G59" s="2"/>
      <c r="H59" s="3">
        <v>10.88</v>
      </c>
      <c r="I59" s="5">
        <v>0</v>
      </c>
      <c r="J59" s="1"/>
      <c r="K59" s="2"/>
      <c r="L59" s="1"/>
      <c r="M59" s="2"/>
      <c r="N59" s="1"/>
      <c r="O59" s="2"/>
      <c r="P59" s="1"/>
      <c r="Q59" s="2"/>
      <c r="R59" s="1">
        <f>MIN($B59,$D59,$F59,$H59,$J59,$L59,$N59,$P59)</f>
        <v>0</v>
      </c>
      <c r="S59" s="1">
        <f>MIN($C59,$E59,$G59,$I59,$K59,$M59,$O59,$Q59)</f>
        <v>0</v>
      </c>
      <c r="T59" s="1">
        <f>MEDIAN($B59,$D59,$F59,$H59,$J59,$L59,$N59,$P59)</f>
        <v>0</v>
      </c>
      <c r="U59" s="1">
        <f>MEDIAN($C59,$E59,$G59,$I59,$K59,$M59,$O59,$Q59)</f>
        <v>0</v>
      </c>
      <c r="V59" s="1">
        <f>MAX($B59,$D59,$F59,$H59,$J59,$L59,$N59,$P59)</f>
        <v>0</v>
      </c>
      <c r="W59" s="1">
        <f>MAX($C59,$E59,$G59,$I59,$K59,$M59,$O59,$Q59)</f>
        <v>0</v>
      </c>
    </row>
    <row r="60" spans="1:23">
      <c r="A60" s="1" t="s">
        <v>57</v>
      </c>
      <c r="B60" s="4">
        <v>1200</v>
      </c>
      <c r="C60" s="6">
        <v>1</v>
      </c>
      <c r="D60" s="1"/>
      <c r="E60" s="2"/>
      <c r="F60" s="1"/>
      <c r="G60" s="2"/>
      <c r="H60" s="3">
        <v>11</v>
      </c>
      <c r="I60" s="5">
        <v>0</v>
      </c>
      <c r="J60" s="1"/>
      <c r="K60" s="2"/>
      <c r="L60" s="1"/>
      <c r="M60" s="2"/>
      <c r="N60" s="1"/>
      <c r="O60" s="2"/>
      <c r="P60" s="1"/>
      <c r="Q60" s="2"/>
      <c r="R60" s="1">
        <f>MIN($B60,$D60,$F60,$H60,$J60,$L60,$N60,$P60)</f>
        <v>0</v>
      </c>
      <c r="S60" s="1">
        <f>MIN($C60,$E60,$G60,$I60,$K60,$M60,$O60,$Q60)</f>
        <v>0</v>
      </c>
      <c r="T60" s="1">
        <f>MEDIAN($B60,$D60,$F60,$H60,$J60,$L60,$N60,$P60)</f>
        <v>0</v>
      </c>
      <c r="U60" s="1">
        <f>MEDIAN($C60,$E60,$G60,$I60,$K60,$M60,$O60,$Q60)</f>
        <v>0</v>
      </c>
      <c r="V60" s="1">
        <f>MAX($B60,$D60,$F60,$H60,$J60,$L60,$N60,$P60)</f>
        <v>0</v>
      </c>
      <c r="W60" s="1">
        <f>MAX($C60,$E60,$G60,$I60,$K60,$M60,$O60,$Q60)</f>
        <v>0</v>
      </c>
    </row>
    <row r="61" spans="1:23">
      <c r="A61" s="1" t="s">
        <v>58</v>
      </c>
      <c r="B61" s="4">
        <v>1200</v>
      </c>
      <c r="C61" s="6">
        <v>1</v>
      </c>
      <c r="D61" s="1"/>
      <c r="E61" s="2"/>
      <c r="F61" s="1"/>
      <c r="G61" s="2"/>
      <c r="H61" s="3">
        <v>11.24</v>
      </c>
      <c r="I61" s="5">
        <v>0</v>
      </c>
      <c r="J61" s="1"/>
      <c r="K61" s="2"/>
      <c r="L61" s="1"/>
      <c r="M61" s="2"/>
      <c r="N61" s="1"/>
      <c r="O61" s="2"/>
      <c r="P61" s="1"/>
      <c r="Q61" s="2"/>
      <c r="R61" s="1">
        <f>MIN($B61,$D61,$F61,$H61,$J61,$L61,$N61,$P61)</f>
        <v>0</v>
      </c>
      <c r="S61" s="1">
        <f>MIN($C61,$E61,$G61,$I61,$K61,$M61,$O61,$Q61)</f>
        <v>0</v>
      </c>
      <c r="T61" s="1">
        <f>MEDIAN($B61,$D61,$F61,$H61,$J61,$L61,$N61,$P61)</f>
        <v>0</v>
      </c>
      <c r="U61" s="1">
        <f>MEDIAN($C61,$E61,$G61,$I61,$K61,$M61,$O61,$Q61)</f>
        <v>0</v>
      </c>
      <c r="V61" s="1">
        <f>MAX($B61,$D61,$F61,$H61,$J61,$L61,$N61,$P61)</f>
        <v>0</v>
      </c>
      <c r="W61" s="1">
        <f>MAX($C61,$E61,$G61,$I61,$K61,$M61,$O61,$Q61)</f>
        <v>0</v>
      </c>
    </row>
    <row r="62" spans="1:23">
      <c r="A62" s="1" t="s">
        <v>59</v>
      </c>
      <c r="B62" s="4">
        <v>1200</v>
      </c>
      <c r="C62" s="6">
        <v>1</v>
      </c>
      <c r="D62" s="1"/>
      <c r="E62" s="2"/>
      <c r="F62" s="1"/>
      <c r="G62" s="2"/>
      <c r="H62" s="3">
        <v>13.39</v>
      </c>
      <c r="I62" s="5">
        <v>0</v>
      </c>
      <c r="J62" s="1"/>
      <c r="K62" s="2"/>
      <c r="L62" s="1"/>
      <c r="M62" s="2"/>
      <c r="N62" s="1"/>
      <c r="O62" s="2"/>
      <c r="P62" s="1"/>
      <c r="Q62" s="2"/>
      <c r="R62" s="1">
        <f>MIN($B62,$D62,$F62,$H62,$J62,$L62,$N62,$P62)</f>
        <v>0</v>
      </c>
      <c r="S62" s="1">
        <f>MIN($C62,$E62,$G62,$I62,$K62,$M62,$O62,$Q62)</f>
        <v>0</v>
      </c>
      <c r="T62" s="1">
        <f>MEDIAN($B62,$D62,$F62,$H62,$J62,$L62,$N62,$P62)</f>
        <v>0</v>
      </c>
      <c r="U62" s="1">
        <f>MEDIAN($C62,$E62,$G62,$I62,$K62,$M62,$O62,$Q62)</f>
        <v>0</v>
      </c>
      <c r="V62" s="1">
        <f>MAX($B62,$D62,$F62,$H62,$J62,$L62,$N62,$P62)</f>
        <v>0</v>
      </c>
      <c r="W62" s="1">
        <f>MAX($C62,$E62,$G62,$I62,$K62,$M62,$O62,$Q62)</f>
        <v>0</v>
      </c>
    </row>
    <row r="63" spans="1:23">
      <c r="A63" s="1" t="s">
        <v>60</v>
      </c>
      <c r="B63" s="4">
        <v>1200</v>
      </c>
      <c r="C63" s="6">
        <v>1</v>
      </c>
      <c r="D63" s="1"/>
      <c r="E63" s="2"/>
      <c r="F63" s="1"/>
      <c r="G63" s="2"/>
      <c r="H63" s="3">
        <v>11.18</v>
      </c>
      <c r="I63" s="5">
        <v>0</v>
      </c>
      <c r="J63" s="1"/>
      <c r="K63" s="2"/>
      <c r="L63" s="1"/>
      <c r="M63" s="2"/>
      <c r="N63" s="1"/>
      <c r="O63" s="2"/>
      <c r="P63" s="1"/>
      <c r="Q63" s="2"/>
      <c r="R63" s="1">
        <f>MIN($B63,$D63,$F63,$H63,$J63,$L63,$N63,$P63)</f>
        <v>0</v>
      </c>
      <c r="S63" s="1">
        <f>MIN($C63,$E63,$G63,$I63,$K63,$M63,$O63,$Q63)</f>
        <v>0</v>
      </c>
      <c r="T63" s="1">
        <f>MEDIAN($B63,$D63,$F63,$H63,$J63,$L63,$N63,$P63)</f>
        <v>0</v>
      </c>
      <c r="U63" s="1">
        <f>MEDIAN($C63,$E63,$G63,$I63,$K63,$M63,$O63,$Q63)</f>
        <v>0</v>
      </c>
      <c r="V63" s="1">
        <f>MAX($B63,$D63,$F63,$H63,$J63,$L63,$N63,$P63)</f>
        <v>0</v>
      </c>
      <c r="W63" s="1">
        <f>MAX($C63,$E63,$G63,$I63,$K63,$M63,$O63,$Q63)</f>
        <v>0</v>
      </c>
    </row>
    <row r="64" spans="1:23">
      <c r="A64" s="1" t="s">
        <v>61</v>
      </c>
      <c r="B64" s="4">
        <v>34.02</v>
      </c>
      <c r="C64" s="2">
        <v>0</v>
      </c>
      <c r="D64" s="1"/>
      <c r="E64" s="2"/>
      <c r="F64" s="1"/>
      <c r="G64" s="2"/>
      <c r="H64" s="3">
        <v>5.1</v>
      </c>
      <c r="I64" s="2">
        <v>0</v>
      </c>
      <c r="J64" s="1"/>
      <c r="K64" s="2"/>
      <c r="L64" s="1"/>
      <c r="M64" s="2"/>
      <c r="N64" s="1"/>
      <c r="O64" s="2"/>
      <c r="P64" s="1"/>
      <c r="Q64" s="2"/>
      <c r="R64" s="1">
        <f>MIN($B64,$D64,$F64,$H64,$J64,$L64,$N64,$P64)</f>
        <v>0</v>
      </c>
      <c r="S64" s="1">
        <f>MIN($C64,$E64,$G64,$I64,$K64,$M64,$O64,$Q64)</f>
        <v>0</v>
      </c>
      <c r="T64" s="1">
        <f>MEDIAN($B64,$D64,$F64,$H64,$J64,$L64,$N64,$P64)</f>
        <v>0</v>
      </c>
      <c r="U64" s="1">
        <f>MEDIAN($C64,$E64,$G64,$I64,$K64,$M64,$O64,$Q64)</f>
        <v>0</v>
      </c>
      <c r="V64" s="1">
        <f>MAX($B64,$D64,$F64,$H64,$J64,$L64,$N64,$P64)</f>
        <v>0</v>
      </c>
      <c r="W64" s="1">
        <f>MAX($C64,$E64,$G64,$I64,$K64,$M64,$O64,$Q64)</f>
        <v>0</v>
      </c>
    </row>
    <row r="65" spans="1:23">
      <c r="A65" s="1" t="s">
        <v>62</v>
      </c>
      <c r="B65" s="4">
        <v>34.19</v>
      </c>
      <c r="C65" s="2">
        <v>0</v>
      </c>
      <c r="D65" s="1"/>
      <c r="E65" s="2"/>
      <c r="F65" s="1"/>
      <c r="G65" s="2"/>
      <c r="H65" s="3">
        <v>5.01</v>
      </c>
      <c r="I65" s="2">
        <v>0</v>
      </c>
      <c r="J65" s="1"/>
      <c r="K65" s="2"/>
      <c r="L65" s="1"/>
      <c r="M65" s="2"/>
      <c r="N65" s="1"/>
      <c r="O65" s="2"/>
      <c r="P65" s="1"/>
      <c r="Q65" s="2"/>
      <c r="R65" s="1">
        <f>MIN($B65,$D65,$F65,$H65,$J65,$L65,$N65,$P65)</f>
        <v>0</v>
      </c>
      <c r="S65" s="1">
        <f>MIN($C65,$E65,$G65,$I65,$K65,$M65,$O65,$Q65)</f>
        <v>0</v>
      </c>
      <c r="T65" s="1">
        <f>MEDIAN($B65,$D65,$F65,$H65,$J65,$L65,$N65,$P65)</f>
        <v>0</v>
      </c>
      <c r="U65" s="1">
        <f>MEDIAN($C65,$E65,$G65,$I65,$K65,$M65,$O65,$Q65)</f>
        <v>0</v>
      </c>
      <c r="V65" s="1">
        <f>MAX($B65,$D65,$F65,$H65,$J65,$L65,$N65,$P65)</f>
        <v>0</v>
      </c>
      <c r="W65" s="1">
        <f>MAX($C65,$E65,$G65,$I65,$K65,$M65,$O65,$Q65)</f>
        <v>0</v>
      </c>
    </row>
    <row r="66" spans="1:23">
      <c r="A66" s="1" t="s">
        <v>63</v>
      </c>
      <c r="B66" s="4">
        <v>27.03</v>
      </c>
      <c r="C66" s="2">
        <v>0</v>
      </c>
      <c r="D66" s="1"/>
      <c r="E66" s="2"/>
      <c r="F66" s="1"/>
      <c r="G66" s="2"/>
      <c r="H66" s="3">
        <v>4.88</v>
      </c>
      <c r="I66" s="2">
        <v>0</v>
      </c>
      <c r="J66" s="1"/>
      <c r="K66" s="2"/>
      <c r="L66" s="1"/>
      <c r="M66" s="2"/>
      <c r="N66" s="1"/>
      <c r="O66" s="2"/>
      <c r="P66" s="1"/>
      <c r="Q66" s="2"/>
      <c r="R66" s="1">
        <f>MIN($B66,$D66,$F66,$H66,$J66,$L66,$N66,$P66)</f>
        <v>0</v>
      </c>
      <c r="S66" s="1">
        <f>MIN($C66,$E66,$G66,$I66,$K66,$M66,$O66,$Q66)</f>
        <v>0</v>
      </c>
      <c r="T66" s="1">
        <f>MEDIAN($B66,$D66,$F66,$H66,$J66,$L66,$N66,$P66)</f>
        <v>0</v>
      </c>
      <c r="U66" s="1">
        <f>MEDIAN($C66,$E66,$G66,$I66,$K66,$M66,$O66,$Q66)</f>
        <v>0</v>
      </c>
      <c r="V66" s="1">
        <f>MAX($B66,$D66,$F66,$H66,$J66,$L66,$N66,$P66)</f>
        <v>0</v>
      </c>
      <c r="W66" s="1">
        <f>MAX($C66,$E66,$G66,$I66,$K66,$M66,$O66,$Q66)</f>
        <v>0</v>
      </c>
    </row>
    <row r="67" spans="1:23">
      <c r="A67" s="1" t="s">
        <v>64</v>
      </c>
      <c r="B67" s="4">
        <v>27.3</v>
      </c>
      <c r="C67" s="2">
        <v>0</v>
      </c>
      <c r="D67" s="1"/>
      <c r="E67" s="2"/>
      <c r="F67" s="1"/>
      <c r="G67" s="2"/>
      <c r="H67" s="3">
        <v>6.36</v>
      </c>
      <c r="I67" s="2">
        <v>0</v>
      </c>
      <c r="J67" s="1"/>
      <c r="K67" s="2"/>
      <c r="L67" s="1"/>
      <c r="M67" s="2"/>
      <c r="N67" s="1"/>
      <c r="O67" s="2"/>
      <c r="P67" s="1"/>
      <c r="Q67" s="2"/>
      <c r="R67" s="1">
        <f>MIN($B67,$D67,$F67,$H67,$J67,$L67,$N67,$P67)</f>
        <v>0</v>
      </c>
      <c r="S67" s="1">
        <f>MIN($C67,$E67,$G67,$I67,$K67,$M67,$O67,$Q67)</f>
        <v>0</v>
      </c>
      <c r="T67" s="1">
        <f>MEDIAN($B67,$D67,$F67,$H67,$J67,$L67,$N67,$P67)</f>
        <v>0</v>
      </c>
      <c r="U67" s="1">
        <f>MEDIAN($C67,$E67,$G67,$I67,$K67,$M67,$O67,$Q67)</f>
        <v>0</v>
      </c>
      <c r="V67" s="1">
        <f>MAX($B67,$D67,$F67,$H67,$J67,$L67,$N67,$P67)</f>
        <v>0</v>
      </c>
      <c r="W67" s="1">
        <f>MAX($C67,$E67,$G67,$I67,$K67,$M67,$O67,$Q67)</f>
        <v>0</v>
      </c>
    </row>
    <row r="68" spans="1:23">
      <c r="A68" s="1" t="s">
        <v>65</v>
      </c>
      <c r="B68" s="4">
        <v>27.26</v>
      </c>
      <c r="C68" s="2">
        <v>0</v>
      </c>
      <c r="D68" s="1"/>
      <c r="E68" s="2"/>
      <c r="F68" s="1"/>
      <c r="G68" s="2"/>
      <c r="H68" s="3">
        <v>4.58</v>
      </c>
      <c r="I68" s="2">
        <v>0</v>
      </c>
      <c r="J68" s="1"/>
      <c r="K68" s="2"/>
      <c r="L68" s="1"/>
      <c r="M68" s="2"/>
      <c r="N68" s="1"/>
      <c r="O68" s="2"/>
      <c r="P68" s="1"/>
      <c r="Q68" s="2"/>
      <c r="R68" s="1">
        <f>MIN($B68,$D68,$F68,$H68,$J68,$L68,$N68,$P68)</f>
        <v>0</v>
      </c>
      <c r="S68" s="1">
        <f>MIN($C68,$E68,$G68,$I68,$K68,$M68,$O68,$Q68)</f>
        <v>0</v>
      </c>
      <c r="T68" s="1">
        <f>MEDIAN($B68,$D68,$F68,$H68,$J68,$L68,$N68,$P68)</f>
        <v>0</v>
      </c>
      <c r="U68" s="1">
        <f>MEDIAN($C68,$E68,$G68,$I68,$K68,$M68,$O68,$Q68)</f>
        <v>0</v>
      </c>
      <c r="V68" s="1">
        <f>MAX($B68,$D68,$F68,$H68,$J68,$L68,$N68,$P68)</f>
        <v>0</v>
      </c>
      <c r="W68" s="1">
        <f>MAX($C68,$E68,$G68,$I68,$K68,$M68,$O68,$Q68)</f>
        <v>0</v>
      </c>
    </row>
    <row r="69" spans="1:23">
      <c r="A69" s="1" t="s">
        <v>66</v>
      </c>
      <c r="B69" s="4">
        <v>27.74</v>
      </c>
      <c r="C69" s="2">
        <v>0</v>
      </c>
      <c r="D69" s="1"/>
      <c r="E69" s="2"/>
      <c r="F69" s="1"/>
      <c r="G69" s="2"/>
      <c r="H69" s="3">
        <v>4.38</v>
      </c>
      <c r="I69" s="2">
        <v>0</v>
      </c>
      <c r="J69" s="1"/>
      <c r="K69" s="2"/>
      <c r="L69" s="1"/>
      <c r="M69" s="2"/>
      <c r="N69" s="1"/>
      <c r="O69" s="2"/>
      <c r="P69" s="1"/>
      <c r="Q69" s="2"/>
      <c r="R69" s="1">
        <f>MIN($B69,$D69,$F69,$H69,$J69,$L69,$N69,$P69)</f>
        <v>0</v>
      </c>
      <c r="S69" s="1">
        <f>MIN($C69,$E69,$G69,$I69,$K69,$M69,$O69,$Q69)</f>
        <v>0</v>
      </c>
      <c r="T69" s="1">
        <f>MEDIAN($B69,$D69,$F69,$H69,$J69,$L69,$N69,$P69)</f>
        <v>0</v>
      </c>
      <c r="U69" s="1">
        <f>MEDIAN($C69,$E69,$G69,$I69,$K69,$M69,$O69,$Q69)</f>
        <v>0</v>
      </c>
      <c r="V69" s="1">
        <f>MAX($B69,$D69,$F69,$H69,$J69,$L69,$N69,$P69)</f>
        <v>0</v>
      </c>
      <c r="W69" s="1">
        <f>MAX($C69,$E69,$G69,$I69,$K69,$M69,$O69,$Q69)</f>
        <v>0</v>
      </c>
    </row>
    <row r="70" spans="1:23">
      <c r="A70" s="1" t="s">
        <v>67</v>
      </c>
      <c r="B70" s="4">
        <v>26.95</v>
      </c>
      <c r="C70" s="2">
        <v>0</v>
      </c>
      <c r="D70" s="1"/>
      <c r="E70" s="2"/>
      <c r="F70" s="1"/>
      <c r="G70" s="2"/>
      <c r="H70" s="3">
        <v>5.03</v>
      </c>
      <c r="I70" s="2">
        <v>0</v>
      </c>
      <c r="J70" s="1"/>
      <c r="K70" s="2"/>
      <c r="L70" s="1"/>
      <c r="M70" s="2"/>
      <c r="N70" s="1"/>
      <c r="O70" s="2"/>
      <c r="P70" s="1"/>
      <c r="Q70" s="2"/>
      <c r="R70" s="1">
        <f>MIN($B70,$D70,$F70,$H70,$J70,$L70,$N70,$P70)</f>
        <v>0</v>
      </c>
      <c r="S70" s="1">
        <f>MIN($C70,$E70,$G70,$I70,$K70,$M70,$O70,$Q70)</f>
        <v>0</v>
      </c>
      <c r="T70" s="1">
        <f>MEDIAN($B70,$D70,$F70,$H70,$J70,$L70,$N70,$P70)</f>
        <v>0</v>
      </c>
      <c r="U70" s="1">
        <f>MEDIAN($C70,$E70,$G70,$I70,$K70,$M70,$O70,$Q70)</f>
        <v>0</v>
      </c>
      <c r="V70" s="1">
        <f>MAX($B70,$D70,$F70,$H70,$J70,$L70,$N70,$P70)</f>
        <v>0</v>
      </c>
      <c r="W70" s="1">
        <f>MAX($C70,$E70,$G70,$I70,$K70,$M70,$O70,$Q70)</f>
        <v>0</v>
      </c>
    </row>
    <row r="71" spans="1:23">
      <c r="A71" s="1" t="s">
        <v>68</v>
      </c>
      <c r="B71" s="4">
        <v>34.29</v>
      </c>
      <c r="C71" s="2">
        <v>0</v>
      </c>
      <c r="D71" s="1"/>
      <c r="E71" s="2"/>
      <c r="F71" s="1"/>
      <c r="G71" s="2"/>
      <c r="H71" s="3">
        <v>4.96</v>
      </c>
      <c r="I71" s="2">
        <v>0</v>
      </c>
      <c r="J71" s="1"/>
      <c r="K71" s="2"/>
      <c r="L71" s="1"/>
      <c r="M71" s="2"/>
      <c r="N71" s="1"/>
      <c r="O71" s="2"/>
      <c r="P71" s="1"/>
      <c r="Q71" s="2"/>
      <c r="R71" s="1">
        <f>MIN($B71,$D71,$F71,$H71,$J71,$L71,$N71,$P71)</f>
        <v>0</v>
      </c>
      <c r="S71" s="1">
        <f>MIN($C71,$E71,$G71,$I71,$K71,$M71,$O71,$Q71)</f>
        <v>0</v>
      </c>
      <c r="T71" s="1">
        <f>MEDIAN($B71,$D71,$F71,$H71,$J71,$L71,$N71,$P71)</f>
        <v>0</v>
      </c>
      <c r="U71" s="1">
        <f>MEDIAN($C71,$E71,$G71,$I71,$K71,$M71,$O71,$Q71)</f>
        <v>0</v>
      </c>
      <c r="V71" s="1">
        <f>MAX($B71,$D71,$F71,$H71,$J71,$L71,$N71,$P71)</f>
        <v>0</v>
      </c>
      <c r="W71" s="1">
        <f>MAX($C71,$E71,$G71,$I71,$K71,$M71,$O71,$Q71)</f>
        <v>0</v>
      </c>
    </row>
    <row r="72" spans="1:23">
      <c r="A72" s="1" t="s">
        <v>69</v>
      </c>
      <c r="B72" s="4">
        <v>27.03</v>
      </c>
      <c r="C72" s="2">
        <v>0</v>
      </c>
      <c r="D72" s="1"/>
      <c r="E72" s="2"/>
      <c r="F72" s="1"/>
      <c r="G72" s="2"/>
      <c r="H72" s="3">
        <v>4.74</v>
      </c>
      <c r="I72" s="2">
        <v>0</v>
      </c>
      <c r="J72" s="1"/>
      <c r="K72" s="2"/>
      <c r="L72" s="1"/>
      <c r="M72" s="2"/>
      <c r="N72" s="1"/>
      <c r="O72" s="2"/>
      <c r="P72" s="1"/>
      <c r="Q72" s="2"/>
      <c r="R72" s="1">
        <f>MIN($B72,$D72,$F72,$H72,$J72,$L72,$N72,$P72)</f>
        <v>0</v>
      </c>
      <c r="S72" s="1">
        <f>MIN($C72,$E72,$G72,$I72,$K72,$M72,$O72,$Q72)</f>
        <v>0</v>
      </c>
      <c r="T72" s="1">
        <f>MEDIAN($B72,$D72,$F72,$H72,$J72,$L72,$N72,$P72)</f>
        <v>0</v>
      </c>
      <c r="U72" s="1">
        <f>MEDIAN($C72,$E72,$G72,$I72,$K72,$M72,$O72,$Q72)</f>
        <v>0</v>
      </c>
      <c r="V72" s="1">
        <f>MAX($B72,$D72,$F72,$H72,$J72,$L72,$N72,$P72)</f>
        <v>0</v>
      </c>
      <c r="W72" s="1">
        <f>MAX($C72,$E72,$G72,$I72,$K72,$M72,$O72,$Q72)</f>
        <v>0</v>
      </c>
    </row>
    <row r="73" spans="1:23">
      <c r="A73" s="1" t="s">
        <v>70</v>
      </c>
      <c r="B73" s="4">
        <v>32.99</v>
      </c>
      <c r="C73" s="2">
        <v>0</v>
      </c>
      <c r="D73" s="1"/>
      <c r="E73" s="2"/>
      <c r="F73" s="1"/>
      <c r="G73" s="2"/>
      <c r="H73" s="3">
        <v>4.74</v>
      </c>
      <c r="I73" s="2">
        <v>0</v>
      </c>
      <c r="J73" s="1"/>
      <c r="K73" s="2"/>
      <c r="L73" s="1"/>
      <c r="M73" s="2"/>
      <c r="N73" s="1"/>
      <c r="O73" s="2"/>
      <c r="P73" s="1"/>
      <c r="Q73" s="2"/>
      <c r="R73" s="1">
        <f>MIN($B73,$D73,$F73,$H73,$J73,$L73,$N73,$P73)</f>
        <v>0</v>
      </c>
      <c r="S73" s="1">
        <f>MIN($C73,$E73,$G73,$I73,$K73,$M73,$O73,$Q73)</f>
        <v>0</v>
      </c>
      <c r="T73" s="1">
        <f>MEDIAN($B73,$D73,$F73,$H73,$J73,$L73,$N73,$P73)</f>
        <v>0</v>
      </c>
      <c r="U73" s="1">
        <f>MEDIAN($C73,$E73,$G73,$I73,$K73,$M73,$O73,$Q73)</f>
        <v>0</v>
      </c>
      <c r="V73" s="1">
        <f>MAX($B73,$D73,$F73,$H73,$J73,$L73,$N73,$P73)</f>
        <v>0</v>
      </c>
      <c r="W73" s="1">
        <f>MAX($C73,$E73,$G73,$I73,$K73,$M73,$O73,$Q73)</f>
        <v>0</v>
      </c>
    </row>
    <row r="74" spans="1:23">
      <c r="A74" s="1" t="s">
        <v>71</v>
      </c>
      <c r="B74" s="1"/>
      <c r="C74" s="2"/>
      <c r="D74" s="1">
        <v>3.78</v>
      </c>
      <c r="E74" s="2">
        <v>0</v>
      </c>
      <c r="F74" s="1">
        <v>3.99</v>
      </c>
      <c r="G74" s="2">
        <v>0</v>
      </c>
      <c r="H74" s="1"/>
      <c r="I74" s="2"/>
      <c r="J74" s="1">
        <v>5.46</v>
      </c>
      <c r="K74" s="2">
        <v>0</v>
      </c>
      <c r="L74" s="1">
        <v>5.75</v>
      </c>
      <c r="M74" s="2">
        <v>0</v>
      </c>
      <c r="N74" s="3">
        <v>3.51</v>
      </c>
      <c r="O74" s="2">
        <v>0</v>
      </c>
      <c r="P74" s="1">
        <v>3.69</v>
      </c>
      <c r="Q74" s="2">
        <v>0</v>
      </c>
      <c r="R74" s="1">
        <f>MIN($B74,$D74,$F74,$H74,$J74,$L74,$N74,$P74)</f>
        <v>0</v>
      </c>
      <c r="S74" s="1">
        <f>MIN($C74,$E74,$G74,$I74,$K74,$M74,$O74,$Q74)</f>
        <v>0</v>
      </c>
      <c r="T74" s="1">
        <f>MEDIAN($B74,$D74,$F74,$H74,$J74,$L74,$N74,$P74)</f>
        <v>0</v>
      </c>
      <c r="U74" s="1">
        <f>MEDIAN($C74,$E74,$G74,$I74,$K74,$M74,$O74,$Q74)</f>
        <v>0</v>
      </c>
      <c r="V74" s="1">
        <f>MAX($B74,$D74,$F74,$H74,$J74,$L74,$N74,$P74)</f>
        <v>0</v>
      </c>
      <c r="W74" s="1">
        <f>MAX($C74,$E74,$G74,$I74,$K74,$M74,$O74,$Q74)</f>
        <v>0</v>
      </c>
    </row>
    <row r="75" spans="1:23">
      <c r="A75" s="1" t="s">
        <v>72</v>
      </c>
      <c r="B75" s="1"/>
      <c r="C75" s="2"/>
      <c r="D75" s="1">
        <v>3.76</v>
      </c>
      <c r="E75" s="2">
        <v>0</v>
      </c>
      <c r="F75" s="1">
        <v>3.86</v>
      </c>
      <c r="G75" s="2">
        <v>0</v>
      </c>
      <c r="H75" s="1"/>
      <c r="I75" s="2"/>
      <c r="J75" s="1">
        <v>5.08</v>
      </c>
      <c r="K75" s="2">
        <v>0</v>
      </c>
      <c r="L75" s="4">
        <v>5.86</v>
      </c>
      <c r="M75" s="2">
        <v>0</v>
      </c>
      <c r="N75" s="3">
        <v>0.54</v>
      </c>
      <c r="O75" s="2">
        <v>0</v>
      </c>
      <c r="P75" s="1">
        <v>3.6</v>
      </c>
      <c r="Q75" s="2">
        <v>0</v>
      </c>
      <c r="R75" s="1">
        <f>MIN($B75,$D75,$F75,$H75,$J75,$L75,$N75,$P75)</f>
        <v>0</v>
      </c>
      <c r="S75" s="1">
        <f>MIN($C75,$E75,$G75,$I75,$K75,$M75,$O75,$Q75)</f>
        <v>0</v>
      </c>
      <c r="T75" s="1">
        <f>MEDIAN($B75,$D75,$F75,$H75,$J75,$L75,$N75,$P75)</f>
        <v>0</v>
      </c>
      <c r="U75" s="1">
        <f>MEDIAN($C75,$E75,$G75,$I75,$K75,$M75,$O75,$Q75)</f>
        <v>0</v>
      </c>
      <c r="V75" s="1">
        <f>MAX($B75,$D75,$F75,$H75,$J75,$L75,$N75,$P75)</f>
        <v>0</v>
      </c>
      <c r="W75" s="1">
        <f>MAX($C75,$E75,$G75,$I75,$K75,$M75,$O75,$Q75)</f>
        <v>0</v>
      </c>
    </row>
    <row r="76" spans="1:23">
      <c r="A76" s="1" t="s">
        <v>73</v>
      </c>
      <c r="B76" s="1"/>
      <c r="C76" s="2"/>
      <c r="D76" s="1">
        <v>4.39</v>
      </c>
      <c r="E76" s="2">
        <v>0</v>
      </c>
      <c r="F76" s="1">
        <v>4.42</v>
      </c>
      <c r="G76" s="2">
        <v>0</v>
      </c>
      <c r="H76" s="1"/>
      <c r="I76" s="2"/>
      <c r="J76" s="4">
        <v>9.34</v>
      </c>
      <c r="K76" s="2">
        <v>0</v>
      </c>
      <c r="L76" s="1">
        <v>8.470000000000001</v>
      </c>
      <c r="M76" s="2">
        <v>0</v>
      </c>
      <c r="N76" s="3">
        <v>1.27</v>
      </c>
      <c r="O76" s="2">
        <v>0</v>
      </c>
      <c r="P76" s="1">
        <v>3.77</v>
      </c>
      <c r="Q76" s="2">
        <v>0</v>
      </c>
      <c r="R76" s="1">
        <f>MIN($B76,$D76,$F76,$H76,$J76,$L76,$N76,$P76)</f>
        <v>0</v>
      </c>
      <c r="S76" s="1">
        <f>MIN($C76,$E76,$G76,$I76,$K76,$M76,$O76,$Q76)</f>
        <v>0</v>
      </c>
      <c r="T76" s="1">
        <f>MEDIAN($B76,$D76,$F76,$H76,$J76,$L76,$N76,$P76)</f>
        <v>0</v>
      </c>
      <c r="U76" s="1">
        <f>MEDIAN($C76,$E76,$G76,$I76,$K76,$M76,$O76,$Q76)</f>
        <v>0</v>
      </c>
      <c r="V76" s="1">
        <f>MAX($B76,$D76,$F76,$H76,$J76,$L76,$N76,$P76)</f>
        <v>0</v>
      </c>
      <c r="W76" s="1">
        <f>MAX($C76,$E76,$G76,$I76,$K76,$M76,$O76,$Q76)</f>
        <v>0</v>
      </c>
    </row>
    <row r="77" spans="1:23">
      <c r="A77" s="1" t="s">
        <v>74</v>
      </c>
      <c r="B77" s="1"/>
      <c r="C77" s="2"/>
      <c r="D77" s="1">
        <v>5.87</v>
      </c>
      <c r="E77" s="2">
        <v>0</v>
      </c>
      <c r="F77" s="1">
        <v>4.23</v>
      </c>
      <c r="G77" s="2">
        <v>0</v>
      </c>
      <c r="H77" s="1"/>
      <c r="I77" s="2"/>
      <c r="J77" s="4">
        <v>9.93</v>
      </c>
      <c r="K77" s="2">
        <v>0</v>
      </c>
      <c r="L77" s="1">
        <v>6.62</v>
      </c>
      <c r="M77" s="2">
        <v>0</v>
      </c>
      <c r="N77" s="3">
        <v>0.9399999999999999</v>
      </c>
      <c r="O77" s="2">
        <v>0</v>
      </c>
      <c r="P77" s="1">
        <v>3.65</v>
      </c>
      <c r="Q77" s="2">
        <v>0</v>
      </c>
      <c r="R77" s="1">
        <f>MIN($B77,$D77,$F77,$H77,$J77,$L77,$N77,$P77)</f>
        <v>0</v>
      </c>
      <c r="S77" s="1">
        <f>MIN($C77,$E77,$G77,$I77,$K77,$M77,$O77,$Q77)</f>
        <v>0</v>
      </c>
      <c r="T77" s="1">
        <f>MEDIAN($B77,$D77,$F77,$H77,$J77,$L77,$N77,$P77)</f>
        <v>0</v>
      </c>
      <c r="U77" s="1">
        <f>MEDIAN($C77,$E77,$G77,$I77,$K77,$M77,$O77,$Q77)</f>
        <v>0</v>
      </c>
      <c r="V77" s="1">
        <f>MAX($B77,$D77,$F77,$H77,$J77,$L77,$N77,$P77)</f>
        <v>0</v>
      </c>
      <c r="W77" s="1">
        <f>MAX($C77,$E77,$G77,$I77,$K77,$M77,$O77,$Q77)</f>
        <v>0</v>
      </c>
    </row>
    <row r="78" spans="1:23">
      <c r="A78" s="1" t="s">
        <v>75</v>
      </c>
      <c r="B78" s="1"/>
      <c r="C78" s="2"/>
      <c r="D78" s="1">
        <v>4.63</v>
      </c>
      <c r="E78" s="2">
        <v>0</v>
      </c>
      <c r="F78" s="1">
        <v>6.73</v>
      </c>
      <c r="G78" s="2">
        <v>0</v>
      </c>
      <c r="H78" s="1"/>
      <c r="I78" s="2"/>
      <c r="J78" s="4">
        <v>9.449999999999999</v>
      </c>
      <c r="K78" s="2">
        <v>0</v>
      </c>
      <c r="L78" s="1">
        <v>8.25</v>
      </c>
      <c r="M78" s="2">
        <v>0</v>
      </c>
      <c r="N78" s="3">
        <v>0.84</v>
      </c>
      <c r="O78" s="2">
        <v>0</v>
      </c>
      <c r="P78" s="1">
        <v>3.51</v>
      </c>
      <c r="Q78" s="2">
        <v>0</v>
      </c>
      <c r="R78" s="1">
        <f>MIN($B78,$D78,$F78,$H78,$J78,$L78,$N78,$P78)</f>
        <v>0</v>
      </c>
      <c r="S78" s="1">
        <f>MIN($C78,$E78,$G78,$I78,$K78,$M78,$O78,$Q78)</f>
        <v>0</v>
      </c>
      <c r="T78" s="1">
        <f>MEDIAN($B78,$D78,$F78,$H78,$J78,$L78,$N78,$P78)</f>
        <v>0</v>
      </c>
      <c r="U78" s="1">
        <f>MEDIAN($C78,$E78,$G78,$I78,$K78,$M78,$O78,$Q78)</f>
        <v>0</v>
      </c>
      <c r="V78" s="1">
        <f>MAX($B78,$D78,$F78,$H78,$J78,$L78,$N78,$P78)</f>
        <v>0</v>
      </c>
      <c r="W78" s="1">
        <f>MAX($C78,$E78,$G78,$I78,$K78,$M78,$O78,$Q78)</f>
        <v>0</v>
      </c>
    </row>
    <row r="79" spans="1:23">
      <c r="A79" s="1" t="s">
        <v>76</v>
      </c>
      <c r="B79" s="1"/>
      <c r="C79" s="2"/>
      <c r="D79" s="1">
        <v>4.39</v>
      </c>
      <c r="E79" s="2">
        <v>0</v>
      </c>
      <c r="F79" s="1">
        <v>4.96</v>
      </c>
      <c r="G79" s="2">
        <v>0</v>
      </c>
      <c r="H79" s="1"/>
      <c r="I79" s="2"/>
      <c r="J79" s="4">
        <v>12.63</v>
      </c>
      <c r="K79" s="2">
        <v>0</v>
      </c>
      <c r="L79" s="1">
        <v>8.01</v>
      </c>
      <c r="M79" s="2">
        <v>0</v>
      </c>
      <c r="N79" s="1">
        <v>4</v>
      </c>
      <c r="O79" s="2">
        <v>0</v>
      </c>
      <c r="P79" s="3">
        <v>3.97</v>
      </c>
      <c r="Q79" s="2">
        <v>0</v>
      </c>
      <c r="R79" s="1">
        <f>MIN($B79,$D79,$F79,$H79,$J79,$L79,$N79,$P79)</f>
        <v>0</v>
      </c>
      <c r="S79" s="1">
        <f>MIN($C79,$E79,$G79,$I79,$K79,$M79,$O79,$Q79)</f>
        <v>0</v>
      </c>
      <c r="T79" s="1">
        <f>MEDIAN($B79,$D79,$F79,$H79,$J79,$L79,$N79,$P79)</f>
        <v>0</v>
      </c>
      <c r="U79" s="1">
        <f>MEDIAN($C79,$E79,$G79,$I79,$K79,$M79,$O79,$Q79)</f>
        <v>0</v>
      </c>
      <c r="V79" s="1">
        <f>MAX($B79,$D79,$F79,$H79,$J79,$L79,$N79,$P79)</f>
        <v>0</v>
      </c>
      <c r="W79" s="1">
        <f>MAX($C79,$E79,$G79,$I79,$K79,$M79,$O79,$Q79)</f>
        <v>0</v>
      </c>
    </row>
    <row r="80" spans="1:23">
      <c r="A80" s="1" t="s">
        <v>77</v>
      </c>
      <c r="B80" s="1"/>
      <c r="C80" s="2"/>
      <c r="D80" s="1">
        <v>5.04</v>
      </c>
      <c r="E80" s="2">
        <v>0</v>
      </c>
      <c r="F80" s="3">
        <v>0.82</v>
      </c>
      <c r="G80" s="2">
        <v>0</v>
      </c>
      <c r="H80" s="1"/>
      <c r="I80" s="2"/>
      <c r="J80" s="4">
        <v>10.63</v>
      </c>
      <c r="K80" s="2">
        <v>0</v>
      </c>
      <c r="L80" s="1">
        <v>8.01</v>
      </c>
      <c r="M80" s="2">
        <v>0</v>
      </c>
      <c r="N80" s="1">
        <v>4.46</v>
      </c>
      <c r="O80" s="2">
        <v>0</v>
      </c>
      <c r="P80" s="1">
        <v>3.6</v>
      </c>
      <c r="Q80" s="2">
        <v>0</v>
      </c>
      <c r="R80" s="1">
        <f>MIN($B80,$D80,$F80,$H80,$J80,$L80,$N80,$P80)</f>
        <v>0</v>
      </c>
      <c r="S80" s="1">
        <f>MIN($C80,$E80,$G80,$I80,$K80,$M80,$O80,$Q80)</f>
        <v>0</v>
      </c>
      <c r="T80" s="1">
        <f>MEDIAN($B80,$D80,$F80,$H80,$J80,$L80,$N80,$P80)</f>
        <v>0</v>
      </c>
      <c r="U80" s="1">
        <f>MEDIAN($C80,$E80,$G80,$I80,$K80,$M80,$O80,$Q80)</f>
        <v>0</v>
      </c>
      <c r="V80" s="1">
        <f>MAX($B80,$D80,$F80,$H80,$J80,$L80,$N80,$P80)</f>
        <v>0</v>
      </c>
      <c r="W80" s="1">
        <f>MAX($C80,$E80,$G80,$I80,$K80,$M80,$O80,$Q80)</f>
        <v>0</v>
      </c>
    </row>
    <row r="81" spans="1:23">
      <c r="A81" s="1" t="s">
        <v>78</v>
      </c>
      <c r="B81" s="1"/>
      <c r="C81" s="2"/>
      <c r="D81" s="1">
        <v>5.91</v>
      </c>
      <c r="E81" s="2">
        <v>0</v>
      </c>
      <c r="F81" s="1">
        <v>4.84</v>
      </c>
      <c r="G81" s="2">
        <v>0</v>
      </c>
      <c r="H81" s="1"/>
      <c r="I81" s="2"/>
      <c r="J81" s="4">
        <v>9.640000000000001</v>
      </c>
      <c r="K81" s="2">
        <v>0</v>
      </c>
      <c r="L81" s="1">
        <v>8.48</v>
      </c>
      <c r="M81" s="2">
        <v>0</v>
      </c>
      <c r="N81" s="1">
        <v>4.02</v>
      </c>
      <c r="O81" s="2">
        <v>0</v>
      </c>
      <c r="P81" s="3">
        <v>3.76</v>
      </c>
      <c r="Q81" s="2">
        <v>0</v>
      </c>
      <c r="R81" s="1">
        <f>MIN($B81,$D81,$F81,$H81,$J81,$L81,$N81,$P81)</f>
        <v>0</v>
      </c>
      <c r="S81" s="1">
        <f>MIN($C81,$E81,$G81,$I81,$K81,$M81,$O81,$Q81)</f>
        <v>0</v>
      </c>
      <c r="T81" s="1">
        <f>MEDIAN($B81,$D81,$F81,$H81,$J81,$L81,$N81,$P81)</f>
        <v>0</v>
      </c>
      <c r="U81" s="1">
        <f>MEDIAN($C81,$E81,$G81,$I81,$K81,$M81,$O81,$Q81)</f>
        <v>0</v>
      </c>
      <c r="V81" s="1">
        <f>MAX($B81,$D81,$F81,$H81,$J81,$L81,$N81,$P81)</f>
        <v>0</v>
      </c>
      <c r="W81" s="1">
        <f>MAX($C81,$E81,$G81,$I81,$K81,$M81,$O81,$Q81)</f>
        <v>0</v>
      </c>
    </row>
    <row r="82" spans="1:23">
      <c r="A82" s="1" t="s">
        <v>79</v>
      </c>
      <c r="B82" s="1"/>
      <c r="C82" s="2"/>
      <c r="D82" s="1">
        <v>4.26</v>
      </c>
      <c r="E82" s="2">
        <v>0</v>
      </c>
      <c r="F82" s="1">
        <v>6.89</v>
      </c>
      <c r="G82" s="2">
        <v>0</v>
      </c>
      <c r="H82" s="1"/>
      <c r="I82" s="2"/>
      <c r="J82" s="4">
        <v>9.83</v>
      </c>
      <c r="K82" s="2">
        <v>0</v>
      </c>
      <c r="L82" s="1">
        <v>9.779999999999999</v>
      </c>
      <c r="M82" s="2">
        <v>0</v>
      </c>
      <c r="N82" s="1">
        <v>3.99</v>
      </c>
      <c r="O82" s="2">
        <v>0</v>
      </c>
      <c r="P82" s="3">
        <v>0.74</v>
      </c>
      <c r="Q82" s="2">
        <v>0</v>
      </c>
      <c r="R82" s="1">
        <f>MIN($B82,$D82,$F82,$H82,$J82,$L82,$N82,$P82)</f>
        <v>0</v>
      </c>
      <c r="S82" s="1">
        <f>MIN($C82,$E82,$G82,$I82,$K82,$M82,$O82,$Q82)</f>
        <v>0</v>
      </c>
      <c r="T82" s="1">
        <f>MEDIAN($B82,$D82,$F82,$H82,$J82,$L82,$N82,$P82)</f>
        <v>0</v>
      </c>
      <c r="U82" s="1">
        <f>MEDIAN($C82,$E82,$G82,$I82,$K82,$M82,$O82,$Q82)</f>
        <v>0</v>
      </c>
      <c r="V82" s="1">
        <f>MAX($B82,$D82,$F82,$H82,$J82,$L82,$N82,$P82)</f>
        <v>0</v>
      </c>
      <c r="W82" s="1">
        <f>MAX($C82,$E82,$G82,$I82,$K82,$M82,$O82,$Q82)</f>
        <v>0</v>
      </c>
    </row>
    <row r="83" spans="1:23">
      <c r="A83" s="1" t="s">
        <v>80</v>
      </c>
      <c r="B83" s="1"/>
      <c r="C83" s="2"/>
      <c r="D83" s="1">
        <v>4.32</v>
      </c>
      <c r="E83" s="2">
        <v>0</v>
      </c>
      <c r="F83" s="1">
        <v>4.85</v>
      </c>
      <c r="G83" s="2">
        <v>0</v>
      </c>
      <c r="H83" s="1"/>
      <c r="I83" s="2"/>
      <c r="J83" s="4">
        <v>9.69</v>
      </c>
      <c r="K83" s="2">
        <v>0</v>
      </c>
      <c r="L83" s="1">
        <v>8.06</v>
      </c>
      <c r="M83" s="2">
        <v>0</v>
      </c>
      <c r="N83" s="1">
        <v>4.46</v>
      </c>
      <c r="O83" s="2">
        <v>0</v>
      </c>
      <c r="P83" s="3">
        <v>3.9</v>
      </c>
      <c r="Q83" s="2">
        <v>0</v>
      </c>
      <c r="R83" s="1">
        <f>MIN($B83,$D83,$F83,$H83,$J83,$L83,$N83,$P83)</f>
        <v>0</v>
      </c>
      <c r="S83" s="1">
        <f>MIN($C83,$E83,$G83,$I83,$K83,$M83,$O83,$Q83)</f>
        <v>0</v>
      </c>
      <c r="T83" s="1">
        <f>MEDIAN($B83,$D83,$F83,$H83,$J83,$L83,$N83,$P83)</f>
        <v>0</v>
      </c>
      <c r="U83" s="1">
        <f>MEDIAN($C83,$E83,$G83,$I83,$K83,$M83,$O83,$Q83)</f>
        <v>0</v>
      </c>
      <c r="V83" s="1">
        <f>MAX($B83,$D83,$F83,$H83,$J83,$L83,$N83,$P83)</f>
        <v>0</v>
      </c>
      <c r="W83" s="1">
        <f>MAX($C83,$E83,$G83,$I83,$K83,$M83,$O83,$Q83)</f>
        <v>0</v>
      </c>
    </row>
    <row r="84" spans="1:23">
      <c r="A84" s="1" t="s">
        <v>81</v>
      </c>
      <c r="B84" s="1"/>
      <c r="C84" s="2"/>
      <c r="D84" s="1">
        <v>4.44</v>
      </c>
      <c r="E84" s="2">
        <v>0</v>
      </c>
      <c r="F84" s="1">
        <v>4.65</v>
      </c>
      <c r="G84" s="2">
        <v>0</v>
      </c>
      <c r="H84" s="1"/>
      <c r="I84" s="2"/>
      <c r="J84" s="4">
        <v>12.19</v>
      </c>
      <c r="K84" s="2">
        <v>0</v>
      </c>
      <c r="L84" s="1">
        <v>8.1</v>
      </c>
      <c r="M84" s="2">
        <v>0</v>
      </c>
      <c r="N84" s="3">
        <v>4</v>
      </c>
      <c r="O84" s="2">
        <v>0</v>
      </c>
      <c r="P84" s="1">
        <v>5.69</v>
      </c>
      <c r="Q84" s="2">
        <v>0</v>
      </c>
      <c r="R84" s="1">
        <f>MIN($B84,$D84,$F84,$H84,$J84,$L84,$N84,$P84)</f>
        <v>0</v>
      </c>
      <c r="S84" s="1">
        <f>MIN($C84,$E84,$G84,$I84,$K84,$M84,$O84,$Q84)</f>
        <v>0</v>
      </c>
      <c r="T84" s="1">
        <f>MEDIAN($B84,$D84,$F84,$H84,$J84,$L84,$N84,$P84)</f>
        <v>0</v>
      </c>
      <c r="U84" s="1">
        <f>MEDIAN($C84,$E84,$G84,$I84,$K84,$M84,$O84,$Q84)</f>
        <v>0</v>
      </c>
      <c r="V84" s="1">
        <f>MAX($B84,$D84,$F84,$H84,$J84,$L84,$N84,$P84)</f>
        <v>0</v>
      </c>
      <c r="W84" s="1">
        <f>MAX($C84,$E84,$G84,$I84,$K84,$M84,$O84,$Q84)</f>
        <v>0</v>
      </c>
    </row>
    <row r="85" spans="1:23">
      <c r="A85" s="1" t="s">
        <v>82</v>
      </c>
      <c r="B85" s="1"/>
      <c r="C85" s="2"/>
      <c r="D85" s="1">
        <v>4.81</v>
      </c>
      <c r="E85" s="2">
        <v>0</v>
      </c>
      <c r="F85" s="1">
        <v>5.04</v>
      </c>
      <c r="G85" s="2">
        <v>0</v>
      </c>
      <c r="H85" s="1"/>
      <c r="I85" s="2"/>
      <c r="J85" s="4">
        <v>11.88</v>
      </c>
      <c r="K85" s="2">
        <v>0</v>
      </c>
      <c r="L85" s="1">
        <v>8.35</v>
      </c>
      <c r="M85" s="2">
        <v>0</v>
      </c>
      <c r="N85" s="1">
        <v>4</v>
      </c>
      <c r="O85" s="2">
        <v>0</v>
      </c>
      <c r="P85" s="3">
        <v>3.76</v>
      </c>
      <c r="Q85" s="2">
        <v>0</v>
      </c>
      <c r="R85" s="1">
        <f>MIN($B85,$D85,$F85,$H85,$J85,$L85,$N85,$P85)</f>
        <v>0</v>
      </c>
      <c r="S85" s="1">
        <f>MIN($C85,$E85,$G85,$I85,$K85,$M85,$O85,$Q85)</f>
        <v>0</v>
      </c>
      <c r="T85" s="1">
        <f>MEDIAN($B85,$D85,$F85,$H85,$J85,$L85,$N85,$P85)</f>
        <v>0</v>
      </c>
      <c r="U85" s="1">
        <f>MEDIAN($C85,$E85,$G85,$I85,$K85,$M85,$O85,$Q85)</f>
        <v>0</v>
      </c>
      <c r="V85" s="1">
        <f>MAX($B85,$D85,$F85,$H85,$J85,$L85,$N85,$P85)</f>
        <v>0</v>
      </c>
      <c r="W85" s="1">
        <f>MAX($C85,$E85,$G85,$I85,$K85,$M85,$O85,$Q85)</f>
        <v>0</v>
      </c>
    </row>
    <row r="86" spans="1:23">
      <c r="A86" s="1" t="s">
        <v>83</v>
      </c>
      <c r="B86" s="1"/>
      <c r="C86" s="2"/>
      <c r="D86" s="1">
        <v>3.82</v>
      </c>
      <c r="E86" s="2">
        <v>0</v>
      </c>
      <c r="F86" s="1">
        <v>3.6</v>
      </c>
      <c r="G86" s="2">
        <v>0</v>
      </c>
      <c r="H86" s="1"/>
      <c r="I86" s="2"/>
      <c r="J86" s="1">
        <v>5.78</v>
      </c>
      <c r="K86" s="2">
        <v>0</v>
      </c>
      <c r="L86" s="1">
        <v>5.49</v>
      </c>
      <c r="M86" s="2">
        <v>0</v>
      </c>
      <c r="N86" s="1">
        <v>3.83</v>
      </c>
      <c r="O86" s="2">
        <v>0</v>
      </c>
      <c r="P86" s="3">
        <v>3.35</v>
      </c>
      <c r="Q86" s="2">
        <v>0</v>
      </c>
      <c r="R86" s="1">
        <f>MIN($B86,$D86,$F86,$H86,$J86,$L86,$N86,$P86)</f>
        <v>0</v>
      </c>
      <c r="S86" s="1">
        <f>MIN($C86,$E86,$G86,$I86,$K86,$M86,$O86,$Q86)</f>
        <v>0</v>
      </c>
      <c r="T86" s="1">
        <f>MEDIAN($B86,$D86,$F86,$H86,$J86,$L86,$N86,$P86)</f>
        <v>0</v>
      </c>
      <c r="U86" s="1">
        <f>MEDIAN($C86,$E86,$G86,$I86,$K86,$M86,$O86,$Q86)</f>
        <v>0</v>
      </c>
      <c r="V86" s="1">
        <f>MAX($B86,$D86,$F86,$H86,$J86,$L86,$N86,$P86)</f>
        <v>0</v>
      </c>
      <c r="W86" s="1">
        <f>MAX($C86,$E86,$G86,$I86,$K86,$M86,$O86,$Q86)</f>
        <v>0</v>
      </c>
    </row>
    <row r="87" spans="1:23">
      <c r="A87" s="1" t="s">
        <v>84</v>
      </c>
      <c r="B87" s="1"/>
      <c r="C87" s="2"/>
      <c r="D87" s="1">
        <v>5.04</v>
      </c>
      <c r="E87" s="2">
        <v>0</v>
      </c>
      <c r="F87" s="1">
        <v>3.74</v>
      </c>
      <c r="G87" s="2">
        <v>0</v>
      </c>
      <c r="H87" s="1"/>
      <c r="I87" s="2"/>
      <c r="J87" s="4">
        <v>7.47</v>
      </c>
      <c r="K87" s="2">
        <v>0</v>
      </c>
      <c r="L87" s="1">
        <v>5.96</v>
      </c>
      <c r="M87" s="2">
        <v>0</v>
      </c>
      <c r="N87" s="3">
        <v>0.44</v>
      </c>
      <c r="O87" s="2">
        <v>0</v>
      </c>
      <c r="P87" s="1">
        <v>3.61</v>
      </c>
      <c r="Q87" s="2">
        <v>0</v>
      </c>
      <c r="R87" s="1">
        <f>MIN($B87,$D87,$F87,$H87,$J87,$L87,$N87,$P87)</f>
        <v>0</v>
      </c>
      <c r="S87" s="1">
        <f>MIN($C87,$E87,$G87,$I87,$K87,$M87,$O87,$Q87)</f>
        <v>0</v>
      </c>
      <c r="T87" s="1">
        <f>MEDIAN($B87,$D87,$F87,$H87,$J87,$L87,$N87,$P87)</f>
        <v>0</v>
      </c>
      <c r="U87" s="1">
        <f>MEDIAN($C87,$E87,$G87,$I87,$K87,$M87,$O87,$Q87)</f>
        <v>0</v>
      </c>
      <c r="V87" s="1">
        <f>MAX($B87,$D87,$F87,$H87,$J87,$L87,$N87,$P87)</f>
        <v>0</v>
      </c>
      <c r="W87" s="1">
        <f>MAX($C87,$E87,$G87,$I87,$K87,$M87,$O87,$Q87)</f>
        <v>0</v>
      </c>
    </row>
    <row r="88" spans="1:23">
      <c r="A88" s="1" t="s">
        <v>85</v>
      </c>
      <c r="B88" s="1"/>
      <c r="C88" s="2"/>
      <c r="D88" s="1">
        <v>4.42</v>
      </c>
      <c r="E88" s="2">
        <v>0</v>
      </c>
      <c r="F88" s="1">
        <v>4.42</v>
      </c>
      <c r="G88" s="2">
        <v>0</v>
      </c>
      <c r="H88" s="1"/>
      <c r="I88" s="2"/>
      <c r="J88" s="1">
        <v>5.83</v>
      </c>
      <c r="K88" s="2">
        <v>0</v>
      </c>
      <c r="L88" s="1">
        <v>5.65</v>
      </c>
      <c r="M88" s="2">
        <v>0</v>
      </c>
      <c r="N88" s="3">
        <v>3.29</v>
      </c>
      <c r="O88" s="2">
        <v>0</v>
      </c>
      <c r="P88" s="1">
        <v>3.42</v>
      </c>
      <c r="Q88" s="2">
        <v>0</v>
      </c>
      <c r="R88" s="1">
        <f>MIN($B88,$D88,$F88,$H88,$J88,$L88,$N88,$P88)</f>
        <v>0</v>
      </c>
      <c r="S88" s="1">
        <f>MIN($C88,$E88,$G88,$I88,$K88,$M88,$O88,$Q88)</f>
        <v>0</v>
      </c>
      <c r="T88" s="1">
        <f>MEDIAN($B88,$D88,$F88,$H88,$J88,$L88,$N88,$P88)</f>
        <v>0</v>
      </c>
      <c r="U88" s="1">
        <f>MEDIAN($C88,$E88,$G88,$I88,$K88,$M88,$O88,$Q88)</f>
        <v>0</v>
      </c>
      <c r="V88" s="1">
        <f>MAX($B88,$D88,$F88,$H88,$J88,$L88,$N88,$P88)</f>
        <v>0</v>
      </c>
      <c r="W88" s="1">
        <f>MAX($C88,$E88,$G88,$I88,$K88,$M88,$O88,$Q88)</f>
        <v>0</v>
      </c>
    </row>
    <row r="89" spans="1:23">
      <c r="A89" s="1" t="s">
        <v>86</v>
      </c>
      <c r="B89" s="1"/>
      <c r="C89" s="2"/>
      <c r="D89" s="1">
        <v>3.72</v>
      </c>
      <c r="E89" s="2">
        <v>0</v>
      </c>
      <c r="F89" s="1">
        <v>6.61</v>
      </c>
      <c r="G89" s="2">
        <v>0</v>
      </c>
      <c r="H89" s="1"/>
      <c r="I89" s="2"/>
      <c r="J89" s="1">
        <v>5.2</v>
      </c>
      <c r="K89" s="2">
        <v>0</v>
      </c>
      <c r="L89" s="4">
        <v>6.73</v>
      </c>
      <c r="M89" s="2">
        <v>0</v>
      </c>
      <c r="N89" s="3">
        <v>0.55</v>
      </c>
      <c r="O89" s="2">
        <v>0</v>
      </c>
      <c r="P89" s="1">
        <v>2.94</v>
      </c>
      <c r="Q89" s="2">
        <v>0</v>
      </c>
      <c r="R89" s="1">
        <f>MIN($B89,$D89,$F89,$H89,$J89,$L89,$N89,$P89)</f>
        <v>0</v>
      </c>
      <c r="S89" s="1">
        <f>MIN($C89,$E89,$G89,$I89,$K89,$M89,$O89,$Q89)</f>
        <v>0</v>
      </c>
      <c r="T89" s="1">
        <f>MEDIAN($B89,$D89,$F89,$H89,$J89,$L89,$N89,$P89)</f>
        <v>0</v>
      </c>
      <c r="U89" s="1">
        <f>MEDIAN($C89,$E89,$G89,$I89,$K89,$M89,$O89,$Q89)</f>
        <v>0</v>
      </c>
      <c r="V89" s="1">
        <f>MAX($B89,$D89,$F89,$H89,$J89,$L89,$N89,$P89)</f>
        <v>0</v>
      </c>
      <c r="W89" s="1">
        <f>MAX($C89,$E89,$G89,$I89,$K89,$M89,$O89,$Q89)</f>
        <v>0</v>
      </c>
    </row>
    <row r="90" spans="1:23">
      <c r="A90" s="1" t="s">
        <v>87</v>
      </c>
      <c r="B90" s="1"/>
      <c r="C90" s="2"/>
      <c r="D90" s="1">
        <v>5.07</v>
      </c>
      <c r="E90" s="2">
        <v>0</v>
      </c>
      <c r="F90" s="1">
        <v>4.24</v>
      </c>
      <c r="G90" s="2">
        <v>0</v>
      </c>
      <c r="H90" s="1"/>
      <c r="I90" s="2"/>
      <c r="J90" s="4">
        <v>9.609999999999999</v>
      </c>
      <c r="K90" s="2">
        <v>0</v>
      </c>
      <c r="L90" s="1">
        <v>6.54</v>
      </c>
      <c r="M90" s="2">
        <v>0</v>
      </c>
      <c r="N90" s="1">
        <v>4.13</v>
      </c>
      <c r="O90" s="2">
        <v>0</v>
      </c>
      <c r="P90" s="3">
        <v>3.67</v>
      </c>
      <c r="Q90" s="2">
        <v>0</v>
      </c>
      <c r="R90" s="1">
        <f>MIN($B90,$D90,$F90,$H90,$J90,$L90,$N90,$P90)</f>
        <v>0</v>
      </c>
      <c r="S90" s="1">
        <f>MIN($C90,$E90,$G90,$I90,$K90,$M90,$O90,$Q90)</f>
        <v>0</v>
      </c>
      <c r="T90" s="1">
        <f>MEDIAN($B90,$D90,$F90,$H90,$J90,$L90,$N90,$P90)</f>
        <v>0</v>
      </c>
      <c r="U90" s="1">
        <f>MEDIAN($C90,$E90,$G90,$I90,$K90,$M90,$O90,$Q90)</f>
        <v>0</v>
      </c>
      <c r="V90" s="1">
        <f>MAX($B90,$D90,$F90,$H90,$J90,$L90,$N90,$P90)</f>
        <v>0</v>
      </c>
      <c r="W90" s="1">
        <f>MAX($C90,$E90,$G90,$I90,$K90,$M90,$O90,$Q90)</f>
        <v>0</v>
      </c>
    </row>
    <row r="91" spans="1:23">
      <c r="A91" s="1" t="s">
        <v>88</v>
      </c>
      <c r="B91" s="1"/>
      <c r="C91" s="2"/>
      <c r="D91" s="1">
        <v>4.62</v>
      </c>
      <c r="E91" s="2">
        <v>0</v>
      </c>
      <c r="F91" s="1">
        <v>4.51</v>
      </c>
      <c r="G91" s="2">
        <v>0</v>
      </c>
      <c r="H91" s="1"/>
      <c r="I91" s="2"/>
      <c r="J91" s="4">
        <v>9.59</v>
      </c>
      <c r="K91" s="2">
        <v>0</v>
      </c>
      <c r="L91" s="1">
        <v>6.65</v>
      </c>
      <c r="M91" s="2">
        <v>0</v>
      </c>
      <c r="N91" s="3">
        <v>0.83</v>
      </c>
      <c r="O91" s="2">
        <v>0</v>
      </c>
      <c r="P91" s="1">
        <v>3.46</v>
      </c>
      <c r="Q91" s="2">
        <v>0</v>
      </c>
      <c r="R91" s="1">
        <f>MIN($B91,$D91,$F91,$H91,$J91,$L91,$N91,$P91)</f>
        <v>0</v>
      </c>
      <c r="S91" s="1">
        <f>MIN($C91,$E91,$G91,$I91,$K91,$M91,$O91,$Q91)</f>
        <v>0</v>
      </c>
      <c r="T91" s="1">
        <f>MEDIAN($B91,$D91,$F91,$H91,$J91,$L91,$N91,$P91)</f>
        <v>0</v>
      </c>
      <c r="U91" s="1">
        <f>MEDIAN($C91,$E91,$G91,$I91,$K91,$M91,$O91,$Q91)</f>
        <v>0</v>
      </c>
      <c r="V91" s="1">
        <f>MAX($B91,$D91,$F91,$H91,$J91,$L91,$N91,$P91)</f>
        <v>0</v>
      </c>
      <c r="W91" s="1">
        <f>MAX($C91,$E91,$G91,$I91,$K91,$M91,$O91,$Q91)</f>
        <v>0</v>
      </c>
    </row>
    <row r="92" spans="1:23">
      <c r="A92" s="1" t="s">
        <v>89</v>
      </c>
      <c r="B92" s="1"/>
      <c r="C92" s="2"/>
      <c r="D92" s="1">
        <v>4.84</v>
      </c>
      <c r="E92" s="2">
        <v>0</v>
      </c>
      <c r="F92" s="1">
        <v>4.28</v>
      </c>
      <c r="G92" s="2">
        <v>0</v>
      </c>
      <c r="H92" s="1"/>
      <c r="I92" s="2"/>
      <c r="J92" s="4">
        <v>9.5</v>
      </c>
      <c r="K92" s="2">
        <v>0</v>
      </c>
      <c r="L92" s="1">
        <v>6.3</v>
      </c>
      <c r="M92" s="2">
        <v>0</v>
      </c>
      <c r="N92" s="1">
        <v>4.61</v>
      </c>
      <c r="O92" s="2">
        <v>0</v>
      </c>
      <c r="P92" s="3">
        <v>3.69</v>
      </c>
      <c r="Q92" s="2">
        <v>0</v>
      </c>
      <c r="R92" s="1">
        <f>MIN($B92,$D92,$F92,$H92,$J92,$L92,$N92,$P92)</f>
        <v>0</v>
      </c>
      <c r="S92" s="1">
        <f>MIN($C92,$E92,$G92,$I92,$K92,$M92,$O92,$Q92)</f>
        <v>0</v>
      </c>
      <c r="T92" s="1">
        <f>MEDIAN($B92,$D92,$F92,$H92,$J92,$L92,$N92,$P92)</f>
        <v>0</v>
      </c>
      <c r="U92" s="1">
        <f>MEDIAN($C92,$E92,$G92,$I92,$K92,$M92,$O92,$Q92)</f>
        <v>0</v>
      </c>
      <c r="V92" s="1">
        <f>MAX($B92,$D92,$F92,$H92,$J92,$L92,$N92,$P92)</f>
        <v>0</v>
      </c>
      <c r="W92" s="1">
        <f>MAX($C92,$E92,$G92,$I92,$K92,$M92,$O92,$Q92)</f>
        <v>0</v>
      </c>
    </row>
    <row r="93" spans="1:23">
      <c r="A93" s="1" t="s">
        <v>90</v>
      </c>
      <c r="B93" s="1"/>
      <c r="C93" s="2"/>
      <c r="D93" s="1">
        <v>5.2</v>
      </c>
      <c r="E93" s="2">
        <v>0</v>
      </c>
      <c r="F93" s="1">
        <v>4.7</v>
      </c>
      <c r="G93" s="2">
        <v>0</v>
      </c>
      <c r="H93" s="1"/>
      <c r="I93" s="2"/>
      <c r="J93" s="4">
        <v>9.56</v>
      </c>
      <c r="K93" s="2">
        <v>0</v>
      </c>
      <c r="L93" s="1">
        <v>6.45</v>
      </c>
      <c r="M93" s="2">
        <v>0</v>
      </c>
      <c r="N93" s="1">
        <v>4.64</v>
      </c>
      <c r="O93" s="2">
        <v>0</v>
      </c>
      <c r="P93" s="3">
        <v>4.02</v>
      </c>
      <c r="Q93" s="2">
        <v>0</v>
      </c>
      <c r="R93" s="1">
        <f>MIN($B93,$D93,$F93,$H93,$J93,$L93,$N93,$P93)</f>
        <v>0</v>
      </c>
      <c r="S93" s="1">
        <f>MIN($C93,$E93,$G93,$I93,$K93,$M93,$O93,$Q93)</f>
        <v>0</v>
      </c>
      <c r="T93" s="1">
        <f>MEDIAN($B93,$D93,$F93,$H93,$J93,$L93,$N93,$P93)</f>
        <v>0</v>
      </c>
      <c r="U93" s="1">
        <f>MEDIAN($C93,$E93,$G93,$I93,$K93,$M93,$O93,$Q93)</f>
        <v>0</v>
      </c>
      <c r="V93" s="1">
        <f>MAX($B93,$D93,$F93,$H93,$J93,$L93,$N93,$P93)</f>
        <v>0</v>
      </c>
      <c r="W93" s="1">
        <f>MAX($C93,$E93,$G93,$I93,$K93,$M93,$O93,$Q93)</f>
        <v>0</v>
      </c>
    </row>
    <row r="94" spans="1:23">
      <c r="A94" s="1" t="s">
        <v>91</v>
      </c>
      <c r="B94" s="1"/>
      <c r="C94" s="2"/>
      <c r="D94" s="1">
        <v>5.32</v>
      </c>
      <c r="E94" s="2">
        <v>0</v>
      </c>
      <c r="F94" s="1">
        <v>7.81</v>
      </c>
      <c r="G94" s="2">
        <v>0</v>
      </c>
      <c r="H94" s="1"/>
      <c r="I94" s="2"/>
      <c r="J94" s="4">
        <v>9.58</v>
      </c>
      <c r="K94" s="2">
        <v>0</v>
      </c>
      <c r="L94" s="1">
        <v>8</v>
      </c>
      <c r="M94" s="2">
        <v>0</v>
      </c>
      <c r="N94" s="1">
        <v>4.71</v>
      </c>
      <c r="O94" s="2">
        <v>0</v>
      </c>
      <c r="P94" s="3">
        <v>3.94</v>
      </c>
      <c r="Q94" s="2">
        <v>0</v>
      </c>
      <c r="R94" s="1">
        <f>MIN($B94,$D94,$F94,$H94,$J94,$L94,$N94,$P94)</f>
        <v>0</v>
      </c>
      <c r="S94" s="1">
        <f>MIN($C94,$E94,$G94,$I94,$K94,$M94,$O94,$Q94)</f>
        <v>0</v>
      </c>
      <c r="T94" s="1">
        <f>MEDIAN($B94,$D94,$F94,$H94,$J94,$L94,$N94,$P94)</f>
        <v>0</v>
      </c>
      <c r="U94" s="1">
        <f>MEDIAN($C94,$E94,$G94,$I94,$K94,$M94,$O94,$Q94)</f>
        <v>0</v>
      </c>
      <c r="V94" s="1">
        <f>MAX($B94,$D94,$F94,$H94,$J94,$L94,$N94,$P94)</f>
        <v>0</v>
      </c>
      <c r="W94" s="1">
        <f>MAX($C94,$E94,$G94,$I94,$K94,$M94,$O94,$Q94)</f>
        <v>0</v>
      </c>
    </row>
    <row r="95" spans="1:23">
      <c r="A95" s="1" t="s">
        <v>92</v>
      </c>
      <c r="B95" s="1"/>
      <c r="C95" s="2"/>
      <c r="D95" s="1">
        <v>5.5</v>
      </c>
      <c r="E95" s="2">
        <v>0</v>
      </c>
      <c r="F95" s="1">
        <v>4.94</v>
      </c>
      <c r="G95" s="2">
        <v>0</v>
      </c>
      <c r="H95" s="1"/>
      <c r="I95" s="2"/>
      <c r="J95" s="4">
        <v>9.41</v>
      </c>
      <c r="K95" s="2">
        <v>0</v>
      </c>
      <c r="L95" s="1">
        <v>8.390000000000001</v>
      </c>
      <c r="M95" s="2">
        <v>0</v>
      </c>
      <c r="N95" s="1">
        <v>4.56</v>
      </c>
      <c r="O95" s="2">
        <v>0</v>
      </c>
      <c r="P95" s="3">
        <v>3.96</v>
      </c>
      <c r="Q95" s="2">
        <v>0</v>
      </c>
      <c r="R95" s="1">
        <f>MIN($B95,$D95,$F95,$H95,$J95,$L95,$N95,$P95)</f>
        <v>0</v>
      </c>
      <c r="S95" s="1">
        <f>MIN($C95,$E95,$G95,$I95,$K95,$M95,$O95,$Q95)</f>
        <v>0</v>
      </c>
      <c r="T95" s="1">
        <f>MEDIAN($B95,$D95,$F95,$H95,$J95,$L95,$N95,$P95)</f>
        <v>0</v>
      </c>
      <c r="U95" s="1">
        <f>MEDIAN($C95,$E95,$G95,$I95,$K95,$M95,$O95,$Q95)</f>
        <v>0</v>
      </c>
      <c r="V95" s="1">
        <f>MAX($B95,$D95,$F95,$H95,$J95,$L95,$N95,$P95)</f>
        <v>0</v>
      </c>
      <c r="W95" s="1">
        <f>MAX($C95,$E95,$G95,$I95,$K95,$M95,$O95,$Q95)</f>
        <v>0</v>
      </c>
    </row>
    <row r="96" spans="1:23">
      <c r="A96" s="1" t="s">
        <v>93</v>
      </c>
      <c r="B96" s="1"/>
      <c r="C96" s="2"/>
      <c r="D96" s="1">
        <v>5.2</v>
      </c>
      <c r="E96" s="2">
        <v>0</v>
      </c>
      <c r="F96" s="1">
        <v>6.16</v>
      </c>
      <c r="G96" s="2">
        <v>0</v>
      </c>
      <c r="H96" s="1"/>
      <c r="I96" s="2"/>
      <c r="J96" s="1">
        <v>10.13</v>
      </c>
      <c r="K96" s="2">
        <v>0</v>
      </c>
      <c r="L96" s="4">
        <v>12.46</v>
      </c>
      <c r="M96" s="2">
        <v>0</v>
      </c>
      <c r="N96" s="1">
        <v>4.52</v>
      </c>
      <c r="O96" s="2">
        <v>0</v>
      </c>
      <c r="P96" s="3">
        <v>4.51</v>
      </c>
      <c r="Q96" s="2">
        <v>0</v>
      </c>
      <c r="R96" s="1">
        <f>MIN($B96,$D96,$F96,$H96,$J96,$L96,$N96,$P96)</f>
        <v>0</v>
      </c>
      <c r="S96" s="1">
        <f>MIN($C96,$E96,$G96,$I96,$K96,$M96,$O96,$Q96)</f>
        <v>0</v>
      </c>
      <c r="T96" s="1">
        <f>MEDIAN($B96,$D96,$F96,$H96,$J96,$L96,$N96,$P96)</f>
        <v>0</v>
      </c>
      <c r="U96" s="1">
        <f>MEDIAN($C96,$E96,$G96,$I96,$K96,$M96,$O96,$Q96)</f>
        <v>0</v>
      </c>
      <c r="V96" s="1">
        <f>MAX($B96,$D96,$F96,$H96,$J96,$L96,$N96,$P96)</f>
        <v>0</v>
      </c>
      <c r="W96" s="1">
        <f>MAX($C96,$E96,$G96,$I96,$K96,$M96,$O96,$Q96)</f>
        <v>0</v>
      </c>
    </row>
    <row r="97" spans="1:23">
      <c r="A97" s="1" t="s">
        <v>94</v>
      </c>
      <c r="B97" s="1"/>
      <c r="C97" s="2"/>
      <c r="D97" s="1">
        <v>5.33</v>
      </c>
      <c r="E97" s="2">
        <v>0</v>
      </c>
      <c r="F97" s="1">
        <v>6.54</v>
      </c>
      <c r="G97" s="2">
        <v>0</v>
      </c>
      <c r="H97" s="1"/>
      <c r="I97" s="2"/>
      <c r="J97" s="1">
        <v>10.07</v>
      </c>
      <c r="K97" s="2">
        <v>0</v>
      </c>
      <c r="L97" s="4">
        <v>12.18</v>
      </c>
      <c r="M97" s="2">
        <v>0</v>
      </c>
      <c r="N97" s="3">
        <v>4.39</v>
      </c>
      <c r="O97" s="2">
        <v>0</v>
      </c>
      <c r="P97" s="1">
        <v>4.44</v>
      </c>
      <c r="Q97" s="2">
        <v>0</v>
      </c>
      <c r="R97" s="1">
        <f>MIN($B97,$D97,$F97,$H97,$J97,$L97,$N97,$P97)</f>
        <v>0</v>
      </c>
      <c r="S97" s="1">
        <f>MIN($C97,$E97,$G97,$I97,$K97,$M97,$O97,$Q97)</f>
        <v>0</v>
      </c>
      <c r="T97" s="1">
        <f>MEDIAN($B97,$D97,$F97,$H97,$J97,$L97,$N97,$P97)</f>
        <v>0</v>
      </c>
      <c r="U97" s="1">
        <f>MEDIAN($C97,$E97,$G97,$I97,$K97,$M97,$O97,$Q97)</f>
        <v>0</v>
      </c>
      <c r="V97" s="1">
        <f>MAX($B97,$D97,$F97,$H97,$J97,$L97,$N97,$P97)</f>
        <v>0</v>
      </c>
      <c r="W97" s="1">
        <f>MAX($C97,$E97,$G97,$I97,$K97,$M97,$O97,$Q97)</f>
        <v>0</v>
      </c>
    </row>
    <row r="98" spans="1:23">
      <c r="A98" s="1" t="s">
        <v>95</v>
      </c>
      <c r="B98" s="1"/>
      <c r="C98" s="2"/>
      <c r="D98" s="1">
        <v>10.01</v>
      </c>
      <c r="E98" s="2">
        <v>0</v>
      </c>
      <c r="F98" s="3">
        <v>2.01</v>
      </c>
      <c r="G98" s="2">
        <v>0</v>
      </c>
      <c r="H98" s="1"/>
      <c r="I98" s="2"/>
      <c r="J98" s="4">
        <v>24.98</v>
      </c>
      <c r="K98" s="2">
        <v>0</v>
      </c>
      <c r="L98" s="1">
        <v>14.56</v>
      </c>
      <c r="M98" s="2">
        <v>0</v>
      </c>
      <c r="N98" s="1">
        <v>8.84</v>
      </c>
      <c r="O98" s="2">
        <v>0</v>
      </c>
      <c r="P98" s="1">
        <v>4.63</v>
      </c>
      <c r="Q98" s="2">
        <v>0</v>
      </c>
      <c r="R98" s="1">
        <f>MIN($B98,$D98,$F98,$H98,$J98,$L98,$N98,$P98)</f>
        <v>0</v>
      </c>
      <c r="S98" s="1">
        <f>MIN($C98,$E98,$G98,$I98,$K98,$M98,$O98,$Q98)</f>
        <v>0</v>
      </c>
      <c r="T98" s="1">
        <f>MEDIAN($B98,$D98,$F98,$H98,$J98,$L98,$N98,$P98)</f>
        <v>0</v>
      </c>
      <c r="U98" s="1">
        <f>MEDIAN($C98,$E98,$G98,$I98,$K98,$M98,$O98,$Q98)</f>
        <v>0</v>
      </c>
      <c r="V98" s="1">
        <f>MAX($B98,$D98,$F98,$H98,$J98,$L98,$N98,$P98)</f>
        <v>0</v>
      </c>
      <c r="W98" s="1">
        <f>MAX($C98,$E98,$G98,$I98,$K98,$M98,$O98,$Q98)</f>
        <v>0</v>
      </c>
    </row>
    <row r="99" spans="1:23">
      <c r="A99" s="1" t="s">
        <v>96</v>
      </c>
      <c r="B99" s="1"/>
      <c r="C99" s="2"/>
      <c r="D99" s="1">
        <v>10.55</v>
      </c>
      <c r="E99" s="2">
        <v>0</v>
      </c>
      <c r="F99" s="1">
        <v>7.32</v>
      </c>
      <c r="G99" s="2">
        <v>0</v>
      </c>
      <c r="H99" s="1"/>
      <c r="I99" s="2"/>
      <c r="J99" s="4">
        <v>23.62</v>
      </c>
      <c r="K99" s="2">
        <v>0</v>
      </c>
      <c r="L99" s="1">
        <v>17.63</v>
      </c>
      <c r="M99" s="2">
        <v>0</v>
      </c>
      <c r="N99" s="1">
        <v>8.51</v>
      </c>
      <c r="O99" s="2">
        <v>0</v>
      </c>
      <c r="P99" s="3">
        <v>4.65</v>
      </c>
      <c r="Q99" s="2">
        <v>0</v>
      </c>
      <c r="R99" s="1">
        <f>MIN($B99,$D99,$F99,$H99,$J99,$L99,$N99,$P99)</f>
        <v>0</v>
      </c>
      <c r="S99" s="1">
        <f>MIN($C99,$E99,$G99,$I99,$K99,$M99,$O99,$Q99)</f>
        <v>0</v>
      </c>
      <c r="T99" s="1">
        <f>MEDIAN($B99,$D99,$F99,$H99,$J99,$L99,$N99,$P99)</f>
        <v>0</v>
      </c>
      <c r="U99" s="1">
        <f>MEDIAN($C99,$E99,$G99,$I99,$K99,$M99,$O99,$Q99)</f>
        <v>0</v>
      </c>
      <c r="V99" s="1">
        <f>MAX($B99,$D99,$F99,$H99,$J99,$L99,$N99,$P99)</f>
        <v>0</v>
      </c>
      <c r="W99" s="1">
        <f>MAX($C99,$E99,$G99,$I99,$K99,$M99,$O99,$Q99)</f>
        <v>0</v>
      </c>
    </row>
    <row r="100" spans="1:23">
      <c r="A100" s="1" t="s">
        <v>97</v>
      </c>
      <c r="B100" s="1"/>
      <c r="C100" s="2"/>
      <c r="D100" s="4">
        <v>26.04</v>
      </c>
      <c r="E100" s="2">
        <v>0</v>
      </c>
      <c r="F100" s="1">
        <v>7.58</v>
      </c>
      <c r="G100" s="2">
        <v>0</v>
      </c>
      <c r="H100" s="1"/>
      <c r="I100" s="2"/>
      <c r="J100" s="1">
        <v>25.15</v>
      </c>
      <c r="K100" s="2">
        <v>0</v>
      </c>
      <c r="L100" s="1">
        <v>14.67</v>
      </c>
      <c r="M100" s="2">
        <v>0</v>
      </c>
      <c r="N100" s="1">
        <v>9</v>
      </c>
      <c r="O100" s="2">
        <v>0</v>
      </c>
      <c r="P100" s="3">
        <v>4.35</v>
      </c>
      <c r="Q100" s="2">
        <v>0</v>
      </c>
      <c r="R100" s="1">
        <f>MIN($B100,$D100,$F100,$H100,$J100,$L100,$N100,$P100)</f>
        <v>0</v>
      </c>
      <c r="S100" s="1">
        <f>MIN($C100,$E100,$G100,$I100,$K100,$M100,$O100,$Q100)</f>
        <v>0</v>
      </c>
      <c r="T100" s="1">
        <f>MEDIAN($B100,$D100,$F100,$H100,$J100,$L100,$N100,$P100)</f>
        <v>0</v>
      </c>
      <c r="U100" s="1">
        <f>MEDIAN($C100,$E100,$G100,$I100,$K100,$M100,$O100,$Q100)</f>
        <v>0</v>
      </c>
      <c r="V100" s="1">
        <f>MAX($B100,$D100,$F100,$H100,$J100,$L100,$N100,$P100)</f>
        <v>0</v>
      </c>
      <c r="W100" s="1">
        <f>MAX($C100,$E100,$G100,$I100,$K100,$M100,$O100,$Q100)</f>
        <v>0</v>
      </c>
    </row>
    <row r="101" spans="1:23">
      <c r="A101" s="1" t="s">
        <v>98</v>
      </c>
      <c r="B101" s="1"/>
      <c r="C101" s="2"/>
      <c r="D101" s="1">
        <v>21.74</v>
      </c>
      <c r="E101" s="2">
        <v>0</v>
      </c>
      <c r="F101" s="1">
        <v>7.1</v>
      </c>
      <c r="G101" s="2">
        <v>0</v>
      </c>
      <c r="H101" s="1"/>
      <c r="I101" s="2"/>
      <c r="J101" s="4">
        <v>28.54</v>
      </c>
      <c r="K101" s="2">
        <v>0</v>
      </c>
      <c r="L101" s="1">
        <v>15.55</v>
      </c>
      <c r="M101" s="2">
        <v>0</v>
      </c>
      <c r="N101" s="1">
        <v>8.050000000000001</v>
      </c>
      <c r="O101" s="2">
        <v>0</v>
      </c>
      <c r="P101" s="3">
        <v>4.47</v>
      </c>
      <c r="Q101" s="2">
        <v>0</v>
      </c>
      <c r="R101" s="1">
        <f>MIN($B101,$D101,$F101,$H101,$J101,$L101,$N101,$P101)</f>
        <v>0</v>
      </c>
      <c r="S101" s="1">
        <f>MIN($C101,$E101,$G101,$I101,$K101,$M101,$O101,$Q101)</f>
        <v>0</v>
      </c>
      <c r="T101" s="1">
        <f>MEDIAN($B101,$D101,$F101,$H101,$J101,$L101,$N101,$P101)</f>
        <v>0</v>
      </c>
      <c r="U101" s="1">
        <f>MEDIAN($C101,$E101,$G101,$I101,$K101,$M101,$O101,$Q101)</f>
        <v>0</v>
      </c>
      <c r="V101" s="1">
        <f>MAX($B101,$D101,$F101,$H101,$J101,$L101,$N101,$P101)</f>
        <v>0</v>
      </c>
      <c r="W101" s="1">
        <f>MAX($C101,$E101,$G101,$I101,$K101,$M101,$O101,$Q101)</f>
        <v>0</v>
      </c>
    </row>
    <row r="102" spans="1:23">
      <c r="A102" s="1" t="s">
        <v>99</v>
      </c>
      <c r="B102" s="1"/>
      <c r="C102" s="2"/>
      <c r="D102" s="1">
        <v>18.39</v>
      </c>
      <c r="E102" s="2">
        <v>0</v>
      </c>
      <c r="F102" s="1">
        <v>11.57</v>
      </c>
      <c r="G102" s="2">
        <v>0</v>
      </c>
      <c r="H102" s="1"/>
      <c r="I102" s="2"/>
      <c r="J102" s="4">
        <v>23.14</v>
      </c>
      <c r="K102" s="2">
        <v>0</v>
      </c>
      <c r="L102" s="1">
        <v>20.54</v>
      </c>
      <c r="M102" s="2">
        <v>0</v>
      </c>
      <c r="N102" s="3">
        <v>3.15</v>
      </c>
      <c r="O102" s="2">
        <v>0</v>
      </c>
      <c r="P102" s="1">
        <v>6.8</v>
      </c>
      <c r="Q102" s="2">
        <v>0</v>
      </c>
      <c r="R102" s="1">
        <f>MIN($B102,$D102,$F102,$H102,$J102,$L102,$N102,$P102)</f>
        <v>0</v>
      </c>
      <c r="S102" s="1">
        <f>MIN($C102,$E102,$G102,$I102,$K102,$M102,$O102,$Q102)</f>
        <v>0</v>
      </c>
      <c r="T102" s="1">
        <f>MEDIAN($B102,$D102,$F102,$H102,$J102,$L102,$N102,$P102)</f>
        <v>0</v>
      </c>
      <c r="U102" s="1">
        <f>MEDIAN($C102,$E102,$G102,$I102,$K102,$M102,$O102,$Q102)</f>
        <v>0</v>
      </c>
      <c r="V102" s="1">
        <f>MAX($B102,$D102,$F102,$H102,$J102,$L102,$N102,$P102)</f>
        <v>0</v>
      </c>
      <c r="W102" s="1">
        <f>MAX($C102,$E102,$G102,$I102,$K102,$M102,$O102,$Q102)</f>
        <v>0</v>
      </c>
    </row>
    <row r="103" spans="1:23">
      <c r="A103" s="1" t="s">
        <v>100</v>
      </c>
      <c r="B103" s="1"/>
      <c r="C103" s="2"/>
      <c r="D103" s="1">
        <v>11.12</v>
      </c>
      <c r="E103" s="2">
        <v>0</v>
      </c>
      <c r="F103" s="1">
        <v>10.94</v>
      </c>
      <c r="G103" s="2">
        <v>0</v>
      </c>
      <c r="H103" s="1"/>
      <c r="I103" s="2"/>
      <c r="J103" s="4">
        <v>23.64</v>
      </c>
      <c r="K103" s="2">
        <v>0</v>
      </c>
      <c r="L103" s="1">
        <v>18.26</v>
      </c>
      <c r="M103" s="2">
        <v>0</v>
      </c>
      <c r="N103" s="1">
        <v>6.91</v>
      </c>
      <c r="O103" s="2">
        <v>0</v>
      </c>
      <c r="P103" s="3">
        <v>4.67</v>
      </c>
      <c r="Q103" s="2">
        <v>0</v>
      </c>
      <c r="R103" s="1">
        <f>MIN($B103,$D103,$F103,$H103,$J103,$L103,$N103,$P103)</f>
        <v>0</v>
      </c>
      <c r="S103" s="1">
        <f>MIN($C103,$E103,$G103,$I103,$K103,$M103,$O103,$Q103)</f>
        <v>0</v>
      </c>
      <c r="T103" s="1">
        <f>MEDIAN($B103,$D103,$F103,$H103,$J103,$L103,$N103,$P103)</f>
        <v>0</v>
      </c>
      <c r="U103" s="1">
        <f>MEDIAN($C103,$E103,$G103,$I103,$K103,$M103,$O103,$Q103)</f>
        <v>0</v>
      </c>
      <c r="V103" s="1">
        <f>MAX($B103,$D103,$F103,$H103,$J103,$L103,$N103,$P103)</f>
        <v>0</v>
      </c>
      <c r="W103" s="1">
        <f>MAX($C103,$E103,$G103,$I103,$K103,$M103,$O103,$Q103)</f>
        <v>0</v>
      </c>
    </row>
    <row r="104" spans="1:23">
      <c r="A104" s="1" t="s">
        <v>101</v>
      </c>
      <c r="B104" s="1"/>
      <c r="C104" s="2"/>
      <c r="D104" s="1">
        <v>21.24</v>
      </c>
      <c r="E104" s="2">
        <v>0</v>
      </c>
      <c r="F104" s="1">
        <v>11.65</v>
      </c>
      <c r="G104" s="2">
        <v>0</v>
      </c>
      <c r="H104" s="1"/>
      <c r="I104" s="2"/>
      <c r="J104" s="4">
        <v>25.26</v>
      </c>
      <c r="K104" s="2">
        <v>0</v>
      </c>
      <c r="L104" s="1">
        <v>18.21</v>
      </c>
      <c r="M104" s="2">
        <v>0</v>
      </c>
      <c r="N104" s="1">
        <v>8.390000000000001</v>
      </c>
      <c r="O104" s="2">
        <v>0</v>
      </c>
      <c r="P104" s="3">
        <v>5.1</v>
      </c>
      <c r="Q104" s="2">
        <v>0</v>
      </c>
      <c r="R104" s="1">
        <f>MIN($B104,$D104,$F104,$H104,$J104,$L104,$N104,$P104)</f>
        <v>0</v>
      </c>
      <c r="S104" s="1">
        <f>MIN($C104,$E104,$G104,$I104,$K104,$M104,$O104,$Q104)</f>
        <v>0</v>
      </c>
      <c r="T104" s="1">
        <f>MEDIAN($B104,$D104,$F104,$H104,$J104,$L104,$N104,$P104)</f>
        <v>0</v>
      </c>
      <c r="U104" s="1">
        <f>MEDIAN($C104,$E104,$G104,$I104,$K104,$M104,$O104,$Q104)</f>
        <v>0</v>
      </c>
      <c r="V104" s="1">
        <f>MAX($B104,$D104,$F104,$H104,$J104,$L104,$N104,$P104)</f>
        <v>0</v>
      </c>
      <c r="W104" s="1">
        <f>MAX($C104,$E104,$G104,$I104,$K104,$M104,$O104,$Q104)</f>
        <v>0</v>
      </c>
    </row>
    <row r="105" spans="1:23">
      <c r="A105" s="1" t="s">
        <v>102</v>
      </c>
      <c r="B105" s="1"/>
      <c r="C105" s="2"/>
      <c r="D105" s="1">
        <v>17.2</v>
      </c>
      <c r="E105" s="2">
        <v>0</v>
      </c>
      <c r="F105" s="1">
        <v>14.46</v>
      </c>
      <c r="G105" s="2">
        <v>0</v>
      </c>
      <c r="H105" s="1"/>
      <c r="I105" s="2"/>
      <c r="J105" s="4">
        <v>23.16</v>
      </c>
      <c r="K105" s="2">
        <v>0</v>
      </c>
      <c r="L105" s="1">
        <v>17.94</v>
      </c>
      <c r="M105" s="2">
        <v>0</v>
      </c>
      <c r="N105" s="1">
        <v>7.4</v>
      </c>
      <c r="O105" s="2">
        <v>0</v>
      </c>
      <c r="P105" s="3">
        <v>1.21</v>
      </c>
      <c r="Q105" s="2">
        <v>0</v>
      </c>
      <c r="R105" s="1">
        <f>MIN($B105,$D105,$F105,$H105,$J105,$L105,$N105,$P105)</f>
        <v>0</v>
      </c>
      <c r="S105" s="1">
        <f>MIN($C105,$E105,$G105,$I105,$K105,$M105,$O105,$Q105)</f>
        <v>0</v>
      </c>
      <c r="T105" s="1">
        <f>MEDIAN($B105,$D105,$F105,$H105,$J105,$L105,$N105,$P105)</f>
        <v>0</v>
      </c>
      <c r="U105" s="1">
        <f>MEDIAN($C105,$E105,$G105,$I105,$K105,$M105,$O105,$Q105)</f>
        <v>0</v>
      </c>
      <c r="V105" s="1">
        <f>MAX($B105,$D105,$F105,$H105,$J105,$L105,$N105,$P105)</f>
        <v>0</v>
      </c>
      <c r="W105" s="1">
        <f>MAX($C105,$E105,$G105,$I105,$K105,$M105,$O105,$Q105)</f>
        <v>0</v>
      </c>
    </row>
    <row r="106" spans="1:23">
      <c r="A106" s="1" t="s">
        <v>103</v>
      </c>
      <c r="B106" s="1"/>
      <c r="C106" s="2"/>
      <c r="D106" s="1">
        <v>5.56</v>
      </c>
      <c r="E106" s="2">
        <v>0</v>
      </c>
      <c r="F106" s="1">
        <v>5.07</v>
      </c>
      <c r="G106" s="2">
        <v>0</v>
      </c>
      <c r="H106" s="1"/>
      <c r="I106" s="2"/>
      <c r="J106" s="4">
        <v>9.970000000000001</v>
      </c>
      <c r="K106" s="2">
        <v>0</v>
      </c>
      <c r="L106" s="1">
        <v>8.699999999999999</v>
      </c>
      <c r="M106" s="2">
        <v>0</v>
      </c>
      <c r="N106" s="1">
        <v>4.15</v>
      </c>
      <c r="O106" s="2">
        <v>0</v>
      </c>
      <c r="P106" s="3">
        <v>4.11</v>
      </c>
      <c r="Q106" s="2">
        <v>0</v>
      </c>
      <c r="R106" s="1">
        <f>MIN($B106,$D106,$F106,$H106,$J106,$L106,$N106,$P106)</f>
        <v>0</v>
      </c>
      <c r="S106" s="1">
        <f>MIN($C106,$E106,$G106,$I106,$K106,$M106,$O106,$Q106)</f>
        <v>0</v>
      </c>
      <c r="T106" s="1">
        <f>MEDIAN($B106,$D106,$F106,$H106,$J106,$L106,$N106,$P106)</f>
        <v>0</v>
      </c>
      <c r="U106" s="1">
        <f>MEDIAN($C106,$E106,$G106,$I106,$K106,$M106,$O106,$Q106)</f>
        <v>0</v>
      </c>
      <c r="V106" s="1">
        <f>MAX($B106,$D106,$F106,$H106,$J106,$L106,$N106,$P106)</f>
        <v>0</v>
      </c>
      <c r="W106" s="1">
        <f>MAX($C106,$E106,$G106,$I106,$K106,$M106,$O106,$Q106)</f>
        <v>0</v>
      </c>
    </row>
    <row r="107" spans="1:23">
      <c r="A107" s="1" t="s">
        <v>104</v>
      </c>
      <c r="B107" s="1"/>
      <c r="C107" s="2"/>
      <c r="D107" s="1">
        <v>4.89</v>
      </c>
      <c r="E107" s="2">
        <v>0</v>
      </c>
      <c r="F107" s="1">
        <v>5.32</v>
      </c>
      <c r="G107" s="2">
        <v>0</v>
      </c>
      <c r="H107" s="1"/>
      <c r="I107" s="2"/>
      <c r="J107" s="4">
        <v>9.529999999999999</v>
      </c>
      <c r="K107" s="2">
        <v>0</v>
      </c>
      <c r="L107" s="1">
        <v>8.17</v>
      </c>
      <c r="M107" s="2">
        <v>0</v>
      </c>
      <c r="N107" s="1">
        <v>4.26</v>
      </c>
      <c r="O107" s="2">
        <v>0</v>
      </c>
      <c r="P107" s="3">
        <v>4.01</v>
      </c>
      <c r="Q107" s="2">
        <v>0</v>
      </c>
      <c r="R107" s="1">
        <f>MIN($B107,$D107,$F107,$H107,$J107,$L107,$N107,$P107)</f>
        <v>0</v>
      </c>
      <c r="S107" s="1">
        <f>MIN($C107,$E107,$G107,$I107,$K107,$M107,$O107,$Q107)</f>
        <v>0</v>
      </c>
      <c r="T107" s="1">
        <f>MEDIAN($B107,$D107,$F107,$H107,$J107,$L107,$N107,$P107)</f>
        <v>0</v>
      </c>
      <c r="U107" s="1">
        <f>MEDIAN($C107,$E107,$G107,$I107,$K107,$M107,$O107,$Q107)</f>
        <v>0</v>
      </c>
      <c r="V107" s="1">
        <f>MAX($B107,$D107,$F107,$H107,$J107,$L107,$N107,$P107)</f>
        <v>0</v>
      </c>
      <c r="W107" s="1">
        <f>MAX($C107,$E107,$G107,$I107,$K107,$M107,$O107,$Q107)</f>
        <v>0</v>
      </c>
    </row>
    <row r="108" spans="1:23">
      <c r="A108" s="1" t="s">
        <v>105</v>
      </c>
      <c r="B108" s="1"/>
      <c r="C108" s="2"/>
      <c r="D108" s="1">
        <v>5.2</v>
      </c>
      <c r="E108" s="2">
        <v>0</v>
      </c>
      <c r="F108" s="1">
        <v>5.83</v>
      </c>
      <c r="G108" s="2">
        <v>0</v>
      </c>
      <c r="H108" s="1"/>
      <c r="I108" s="2"/>
      <c r="J108" s="4">
        <v>10.7</v>
      </c>
      <c r="K108" s="2">
        <v>0</v>
      </c>
      <c r="L108" s="1">
        <v>9.51</v>
      </c>
      <c r="M108" s="2">
        <v>0</v>
      </c>
      <c r="N108" s="1">
        <v>4.21</v>
      </c>
      <c r="O108" s="2">
        <v>0</v>
      </c>
      <c r="P108" s="3">
        <v>4.17</v>
      </c>
      <c r="Q108" s="2">
        <v>0</v>
      </c>
      <c r="R108" s="1">
        <f>MIN($B108,$D108,$F108,$H108,$J108,$L108,$N108,$P108)</f>
        <v>0</v>
      </c>
      <c r="S108" s="1">
        <f>MIN($C108,$E108,$G108,$I108,$K108,$M108,$O108,$Q108)</f>
        <v>0</v>
      </c>
      <c r="T108" s="1">
        <f>MEDIAN($B108,$D108,$F108,$H108,$J108,$L108,$N108,$P108)</f>
        <v>0</v>
      </c>
      <c r="U108" s="1">
        <f>MEDIAN($C108,$E108,$G108,$I108,$K108,$M108,$O108,$Q108)</f>
        <v>0</v>
      </c>
      <c r="V108" s="1">
        <f>MAX($B108,$D108,$F108,$H108,$J108,$L108,$N108,$P108)</f>
        <v>0</v>
      </c>
      <c r="W108" s="1">
        <f>MAX($C108,$E108,$G108,$I108,$K108,$M108,$O108,$Q108)</f>
        <v>0</v>
      </c>
    </row>
    <row r="109" spans="1:23">
      <c r="A109" s="1" t="s">
        <v>106</v>
      </c>
      <c r="B109" s="1"/>
      <c r="C109" s="2"/>
      <c r="D109" s="1">
        <v>4.83</v>
      </c>
      <c r="E109" s="2">
        <v>0</v>
      </c>
      <c r="F109" s="1">
        <v>6.26</v>
      </c>
      <c r="G109" s="2">
        <v>0</v>
      </c>
      <c r="H109" s="1"/>
      <c r="I109" s="2"/>
      <c r="J109" s="4">
        <v>10.55</v>
      </c>
      <c r="K109" s="2">
        <v>0</v>
      </c>
      <c r="L109" s="1">
        <v>9.66</v>
      </c>
      <c r="M109" s="2">
        <v>0</v>
      </c>
      <c r="N109" s="3">
        <v>4.11</v>
      </c>
      <c r="O109" s="2">
        <v>0</v>
      </c>
      <c r="P109" s="1">
        <v>4.47</v>
      </c>
      <c r="Q109" s="2">
        <v>0</v>
      </c>
      <c r="R109" s="1">
        <f>MIN($B109,$D109,$F109,$H109,$J109,$L109,$N109,$P109)</f>
        <v>0</v>
      </c>
      <c r="S109" s="1">
        <f>MIN($C109,$E109,$G109,$I109,$K109,$M109,$O109,$Q109)</f>
        <v>0</v>
      </c>
      <c r="T109" s="1">
        <f>MEDIAN($B109,$D109,$F109,$H109,$J109,$L109,$N109,$P109)</f>
        <v>0</v>
      </c>
      <c r="U109" s="1">
        <f>MEDIAN($C109,$E109,$G109,$I109,$K109,$M109,$O109,$Q109)</f>
        <v>0</v>
      </c>
      <c r="V109" s="1">
        <f>MAX($B109,$D109,$F109,$H109,$J109,$L109,$N109,$P109)</f>
        <v>0</v>
      </c>
      <c r="W109" s="1">
        <f>MAX($C109,$E109,$G109,$I109,$K109,$M109,$O109,$Q109)</f>
        <v>0</v>
      </c>
    </row>
    <row r="110" spans="1:23">
      <c r="A110" s="1" t="s">
        <v>107</v>
      </c>
      <c r="B110" s="1"/>
      <c r="C110" s="2"/>
      <c r="D110" s="1">
        <v>5.18</v>
      </c>
      <c r="E110" s="2">
        <v>0</v>
      </c>
      <c r="F110" s="1">
        <v>5.93</v>
      </c>
      <c r="G110" s="2">
        <v>0</v>
      </c>
      <c r="H110" s="1"/>
      <c r="I110" s="2"/>
      <c r="J110" s="4">
        <v>12.07</v>
      </c>
      <c r="K110" s="2">
        <v>0</v>
      </c>
      <c r="L110" s="1">
        <v>10.48</v>
      </c>
      <c r="M110" s="2">
        <v>0</v>
      </c>
      <c r="N110" s="1">
        <v>5.33</v>
      </c>
      <c r="O110" s="2">
        <v>0</v>
      </c>
      <c r="P110" s="3">
        <v>4.41</v>
      </c>
      <c r="Q110" s="2">
        <v>0</v>
      </c>
      <c r="R110" s="1">
        <f>MIN($B110,$D110,$F110,$H110,$J110,$L110,$N110,$P110)</f>
        <v>0</v>
      </c>
      <c r="S110" s="1">
        <f>MIN($C110,$E110,$G110,$I110,$K110,$M110,$O110,$Q110)</f>
        <v>0</v>
      </c>
      <c r="T110" s="1">
        <f>MEDIAN($B110,$D110,$F110,$H110,$J110,$L110,$N110,$P110)</f>
        <v>0</v>
      </c>
      <c r="U110" s="1">
        <f>MEDIAN($C110,$E110,$G110,$I110,$K110,$M110,$O110,$Q110)</f>
        <v>0</v>
      </c>
      <c r="V110" s="1">
        <f>MAX($B110,$D110,$F110,$H110,$J110,$L110,$N110,$P110)</f>
        <v>0</v>
      </c>
      <c r="W110" s="1">
        <f>MAX($C110,$E110,$G110,$I110,$K110,$M110,$O110,$Q110)</f>
        <v>0</v>
      </c>
    </row>
    <row r="111" spans="1:23">
      <c r="A111" s="1" t="s">
        <v>108</v>
      </c>
      <c r="B111" s="1"/>
      <c r="C111" s="2"/>
      <c r="D111" s="1">
        <v>4.94</v>
      </c>
      <c r="E111" s="2">
        <v>0</v>
      </c>
      <c r="F111" s="1">
        <v>8.52</v>
      </c>
      <c r="G111" s="2">
        <v>0</v>
      </c>
      <c r="H111" s="1"/>
      <c r="I111" s="2"/>
      <c r="J111" s="4">
        <v>10.52</v>
      </c>
      <c r="K111" s="2">
        <v>0</v>
      </c>
      <c r="L111" s="1">
        <v>10.2</v>
      </c>
      <c r="M111" s="2">
        <v>0</v>
      </c>
      <c r="N111" s="1">
        <v>4.06</v>
      </c>
      <c r="O111" s="2">
        <v>0</v>
      </c>
      <c r="P111" s="3">
        <v>1.02</v>
      </c>
      <c r="Q111" s="2">
        <v>0</v>
      </c>
      <c r="R111" s="1">
        <f>MIN($B111,$D111,$F111,$H111,$J111,$L111,$N111,$P111)</f>
        <v>0</v>
      </c>
      <c r="S111" s="1">
        <f>MIN($C111,$E111,$G111,$I111,$K111,$M111,$O111,$Q111)</f>
        <v>0</v>
      </c>
      <c r="T111" s="1">
        <f>MEDIAN($B111,$D111,$F111,$H111,$J111,$L111,$N111,$P111)</f>
        <v>0</v>
      </c>
      <c r="U111" s="1">
        <f>MEDIAN($C111,$E111,$G111,$I111,$K111,$M111,$O111,$Q111)</f>
        <v>0</v>
      </c>
      <c r="V111" s="1">
        <f>MAX($B111,$D111,$F111,$H111,$J111,$L111,$N111,$P111)</f>
        <v>0</v>
      </c>
      <c r="W111" s="1">
        <f>MAX($C111,$E111,$G111,$I111,$K111,$M111,$O111,$Q111)</f>
        <v>0</v>
      </c>
    </row>
    <row r="112" spans="1:23">
      <c r="A112" s="1" t="s">
        <v>109</v>
      </c>
      <c r="B112" s="1"/>
      <c r="C112" s="2"/>
      <c r="D112" s="1">
        <v>4.89</v>
      </c>
      <c r="E112" s="2">
        <v>0</v>
      </c>
      <c r="F112" s="1">
        <v>6.2</v>
      </c>
      <c r="G112" s="2">
        <v>0</v>
      </c>
      <c r="H112" s="1"/>
      <c r="I112" s="2"/>
      <c r="J112" s="1">
        <v>10.35</v>
      </c>
      <c r="K112" s="2">
        <v>0</v>
      </c>
      <c r="L112" s="4">
        <v>12.89</v>
      </c>
      <c r="M112" s="2">
        <v>0</v>
      </c>
      <c r="N112" s="1">
        <v>4.51</v>
      </c>
      <c r="O112" s="2">
        <v>0</v>
      </c>
      <c r="P112" s="3">
        <v>0.87</v>
      </c>
      <c r="Q112" s="2">
        <v>0</v>
      </c>
      <c r="R112" s="1">
        <f>MIN($B112,$D112,$F112,$H112,$J112,$L112,$N112,$P112)</f>
        <v>0</v>
      </c>
      <c r="S112" s="1">
        <f>MIN($C112,$E112,$G112,$I112,$K112,$M112,$O112,$Q112)</f>
        <v>0</v>
      </c>
      <c r="T112" s="1">
        <f>MEDIAN($B112,$D112,$F112,$H112,$J112,$L112,$N112,$P112)</f>
        <v>0</v>
      </c>
      <c r="U112" s="1">
        <f>MEDIAN($C112,$E112,$G112,$I112,$K112,$M112,$O112,$Q112)</f>
        <v>0</v>
      </c>
      <c r="V112" s="1">
        <f>MAX($B112,$D112,$F112,$H112,$J112,$L112,$N112,$P112)</f>
        <v>0</v>
      </c>
      <c r="W112" s="1">
        <f>MAX($C112,$E112,$G112,$I112,$K112,$M112,$O112,$Q112)</f>
        <v>0</v>
      </c>
    </row>
    <row r="113" spans="1:23">
      <c r="A113" s="1" t="s">
        <v>110</v>
      </c>
      <c r="B113" s="1"/>
      <c r="C113" s="2"/>
      <c r="D113" s="1">
        <v>5.73</v>
      </c>
      <c r="E113" s="2">
        <v>0</v>
      </c>
      <c r="F113" s="1">
        <v>6.1</v>
      </c>
      <c r="G113" s="2">
        <v>0</v>
      </c>
      <c r="H113" s="1"/>
      <c r="I113" s="2"/>
      <c r="J113" s="1">
        <v>12.37</v>
      </c>
      <c r="K113" s="2">
        <v>0</v>
      </c>
      <c r="L113" s="4">
        <v>12.6</v>
      </c>
      <c r="M113" s="2">
        <v>0</v>
      </c>
      <c r="N113" s="1">
        <v>4.36</v>
      </c>
      <c r="O113" s="2">
        <v>0</v>
      </c>
      <c r="P113" s="3">
        <v>4.24</v>
      </c>
      <c r="Q113" s="2">
        <v>0</v>
      </c>
      <c r="R113" s="1">
        <f>MIN($B113,$D113,$F113,$H113,$J113,$L113,$N113,$P113)</f>
        <v>0</v>
      </c>
      <c r="S113" s="1">
        <f>MIN($C113,$E113,$G113,$I113,$K113,$M113,$O113,$Q113)</f>
        <v>0</v>
      </c>
      <c r="T113" s="1">
        <f>MEDIAN($B113,$D113,$F113,$H113,$J113,$L113,$N113,$P113)</f>
        <v>0</v>
      </c>
      <c r="U113" s="1">
        <f>MEDIAN($C113,$E113,$G113,$I113,$K113,$M113,$O113,$Q113)</f>
        <v>0</v>
      </c>
      <c r="V113" s="1">
        <f>MAX($B113,$D113,$F113,$H113,$J113,$L113,$N113,$P113)</f>
        <v>0</v>
      </c>
      <c r="W113" s="1">
        <f>MAX($C113,$E113,$G113,$I113,$K113,$M113,$O113,$Q113)</f>
        <v>0</v>
      </c>
    </row>
    <row r="114" spans="1:23">
      <c r="A114" s="1" t="s">
        <v>111</v>
      </c>
      <c r="B114" s="1"/>
      <c r="C114" s="2"/>
      <c r="D114" s="1">
        <v>6.73</v>
      </c>
      <c r="E114" s="2">
        <v>0</v>
      </c>
      <c r="F114" s="1">
        <v>8.949999999999999</v>
      </c>
      <c r="G114" s="2">
        <v>0</v>
      </c>
      <c r="H114" s="1"/>
      <c r="I114" s="2"/>
      <c r="J114" s="1">
        <v>11.15</v>
      </c>
      <c r="K114" s="2">
        <v>0</v>
      </c>
      <c r="L114" s="4">
        <v>12.18</v>
      </c>
      <c r="M114" s="2">
        <v>0</v>
      </c>
      <c r="N114" s="3">
        <v>4.25</v>
      </c>
      <c r="O114" s="2">
        <v>0</v>
      </c>
      <c r="P114" s="1">
        <v>4.53</v>
      </c>
      <c r="Q114" s="2">
        <v>0</v>
      </c>
      <c r="R114" s="1">
        <f>MIN($B114,$D114,$F114,$H114,$J114,$L114,$N114,$P114)</f>
        <v>0</v>
      </c>
      <c r="S114" s="1">
        <f>MIN($C114,$E114,$G114,$I114,$K114,$M114,$O114,$Q114)</f>
        <v>0</v>
      </c>
      <c r="T114" s="1">
        <f>MEDIAN($B114,$D114,$F114,$H114,$J114,$L114,$N114,$P114)</f>
        <v>0</v>
      </c>
      <c r="U114" s="1">
        <f>MEDIAN($C114,$E114,$G114,$I114,$K114,$M114,$O114,$Q114)</f>
        <v>0</v>
      </c>
      <c r="V114" s="1">
        <f>MAX($B114,$D114,$F114,$H114,$J114,$L114,$N114,$P114)</f>
        <v>0</v>
      </c>
      <c r="W114" s="1">
        <f>MAX($C114,$E114,$G114,$I114,$K114,$M114,$O114,$Q114)</f>
        <v>0</v>
      </c>
    </row>
    <row r="115" spans="1:23">
      <c r="A115" s="1" t="s">
        <v>112</v>
      </c>
      <c r="B115" s="1"/>
      <c r="C115" s="2"/>
      <c r="D115" s="1">
        <v>8.869999999999999</v>
      </c>
      <c r="E115" s="2">
        <v>0</v>
      </c>
      <c r="F115" s="1">
        <v>10.68</v>
      </c>
      <c r="G115" s="2">
        <v>0</v>
      </c>
      <c r="H115" s="1"/>
      <c r="I115" s="2"/>
      <c r="J115" s="1">
        <v>10.52</v>
      </c>
      <c r="K115" s="2">
        <v>0</v>
      </c>
      <c r="L115" s="4">
        <v>12</v>
      </c>
      <c r="M115" s="2">
        <v>0</v>
      </c>
      <c r="N115" s="3">
        <v>4.5</v>
      </c>
      <c r="O115" s="2">
        <v>0</v>
      </c>
      <c r="P115" s="1">
        <v>5.13</v>
      </c>
      <c r="Q115" s="2">
        <v>0</v>
      </c>
      <c r="R115" s="1">
        <f>MIN($B115,$D115,$F115,$H115,$J115,$L115,$N115,$P115)</f>
        <v>0</v>
      </c>
      <c r="S115" s="1">
        <f>MIN($C115,$E115,$G115,$I115,$K115,$M115,$O115,$Q115)</f>
        <v>0</v>
      </c>
      <c r="T115" s="1">
        <f>MEDIAN($B115,$D115,$F115,$H115,$J115,$L115,$N115,$P115)</f>
        <v>0</v>
      </c>
      <c r="U115" s="1">
        <f>MEDIAN($C115,$E115,$G115,$I115,$K115,$M115,$O115,$Q115)</f>
        <v>0</v>
      </c>
      <c r="V115" s="1">
        <f>MAX($B115,$D115,$F115,$H115,$J115,$L115,$N115,$P115)</f>
        <v>0</v>
      </c>
      <c r="W115" s="1">
        <f>MAX($C115,$E115,$G115,$I115,$K115,$M115,$O115,$Q115)</f>
        <v>0</v>
      </c>
    </row>
    <row r="116" spans="1:23">
      <c r="A116" s="1" t="s">
        <v>113</v>
      </c>
      <c r="B116" s="1"/>
      <c r="C116" s="2"/>
      <c r="D116" s="1">
        <v>40.92</v>
      </c>
      <c r="E116" s="2">
        <v>0</v>
      </c>
      <c r="F116" s="4">
        <v>45.56</v>
      </c>
      <c r="G116" s="2">
        <v>0</v>
      </c>
      <c r="H116" s="1"/>
      <c r="I116" s="2"/>
      <c r="J116" s="1">
        <v>24.39</v>
      </c>
      <c r="K116" s="2">
        <v>0</v>
      </c>
      <c r="L116" s="1">
        <v>25.97</v>
      </c>
      <c r="M116" s="2">
        <v>0</v>
      </c>
      <c r="N116" s="1">
        <v>7.98</v>
      </c>
      <c r="O116" s="2">
        <v>0</v>
      </c>
      <c r="P116" s="3">
        <v>6.32</v>
      </c>
      <c r="Q116" s="2">
        <v>0</v>
      </c>
      <c r="R116" s="1">
        <f>MIN($B116,$D116,$F116,$H116,$J116,$L116,$N116,$P116)</f>
        <v>0</v>
      </c>
      <c r="S116" s="1">
        <f>MIN($C116,$E116,$G116,$I116,$K116,$M116,$O116,$Q116)</f>
        <v>0</v>
      </c>
      <c r="T116" s="1">
        <f>MEDIAN($B116,$D116,$F116,$H116,$J116,$L116,$N116,$P116)</f>
        <v>0</v>
      </c>
      <c r="U116" s="1">
        <f>MEDIAN($C116,$E116,$G116,$I116,$K116,$M116,$O116,$Q116)</f>
        <v>0</v>
      </c>
      <c r="V116" s="1">
        <f>MAX($B116,$D116,$F116,$H116,$J116,$L116,$N116,$P116)</f>
        <v>0</v>
      </c>
      <c r="W116" s="1">
        <f>MAX($C116,$E116,$G116,$I116,$K116,$M116,$O116,$Q116)</f>
        <v>0</v>
      </c>
    </row>
    <row r="117" spans="1:23">
      <c r="A117" s="1" t="s">
        <v>114</v>
      </c>
      <c r="B117" s="1"/>
      <c r="C117" s="2"/>
      <c r="D117" s="1">
        <v>110.95</v>
      </c>
      <c r="E117" s="2">
        <v>0</v>
      </c>
      <c r="F117" s="4">
        <v>121.16</v>
      </c>
      <c r="G117" s="2">
        <v>0</v>
      </c>
      <c r="H117" s="1"/>
      <c r="I117" s="2"/>
      <c r="J117" s="1">
        <v>25.39</v>
      </c>
      <c r="K117" s="2">
        <v>0</v>
      </c>
      <c r="L117" s="1">
        <v>26.47</v>
      </c>
      <c r="M117" s="2">
        <v>0</v>
      </c>
      <c r="N117" s="1">
        <v>9.33</v>
      </c>
      <c r="O117" s="2">
        <v>0</v>
      </c>
      <c r="P117" s="3">
        <v>5.87</v>
      </c>
      <c r="Q117" s="2">
        <v>0</v>
      </c>
      <c r="R117" s="1">
        <f>MIN($B117,$D117,$F117,$H117,$J117,$L117,$N117,$P117)</f>
        <v>0</v>
      </c>
      <c r="S117" s="1">
        <f>MIN($C117,$E117,$G117,$I117,$K117,$M117,$O117,$Q117)</f>
        <v>0</v>
      </c>
      <c r="T117" s="1">
        <f>MEDIAN($B117,$D117,$F117,$H117,$J117,$L117,$N117,$P117)</f>
        <v>0</v>
      </c>
      <c r="U117" s="1">
        <f>MEDIAN($C117,$E117,$G117,$I117,$K117,$M117,$O117,$Q117)</f>
        <v>0</v>
      </c>
      <c r="V117" s="1">
        <f>MAX($B117,$D117,$F117,$H117,$J117,$L117,$N117,$P117)</f>
        <v>0</v>
      </c>
      <c r="W117" s="1">
        <f>MAX($C117,$E117,$G117,$I117,$K117,$M117,$O117,$Q117)</f>
        <v>0</v>
      </c>
    </row>
    <row r="118" spans="1:23">
      <c r="A118" s="1" t="s">
        <v>115</v>
      </c>
      <c r="B118" s="1"/>
      <c r="C118" s="2"/>
      <c r="D118" s="1">
        <v>107</v>
      </c>
      <c r="E118" s="2">
        <v>0</v>
      </c>
      <c r="F118" s="4">
        <v>158.15</v>
      </c>
      <c r="G118" s="2">
        <v>0</v>
      </c>
      <c r="H118" s="1"/>
      <c r="I118" s="2"/>
      <c r="J118" s="1">
        <v>28.68</v>
      </c>
      <c r="K118" s="2">
        <v>0</v>
      </c>
      <c r="L118" s="1">
        <v>30.64</v>
      </c>
      <c r="M118" s="2">
        <v>0</v>
      </c>
      <c r="N118" s="1">
        <v>9.25</v>
      </c>
      <c r="O118" s="2">
        <v>0</v>
      </c>
      <c r="P118" s="3">
        <v>6.54</v>
      </c>
      <c r="Q118" s="2">
        <v>0</v>
      </c>
      <c r="R118" s="1">
        <f>MIN($B118,$D118,$F118,$H118,$J118,$L118,$N118,$P118)</f>
        <v>0</v>
      </c>
      <c r="S118" s="1">
        <f>MIN($C118,$E118,$G118,$I118,$K118,$M118,$O118,$Q118)</f>
        <v>0</v>
      </c>
      <c r="T118" s="1">
        <f>MEDIAN($B118,$D118,$F118,$H118,$J118,$L118,$N118,$P118)</f>
        <v>0</v>
      </c>
      <c r="U118" s="1">
        <f>MEDIAN($C118,$E118,$G118,$I118,$K118,$M118,$O118,$Q118)</f>
        <v>0</v>
      </c>
      <c r="V118" s="1">
        <f>MAX($B118,$D118,$F118,$H118,$J118,$L118,$N118,$P118)</f>
        <v>0</v>
      </c>
      <c r="W118" s="1">
        <f>MAX($C118,$E118,$G118,$I118,$K118,$M118,$O118,$Q118)</f>
        <v>0</v>
      </c>
    </row>
    <row r="119" spans="1:23">
      <c r="A119" s="1" t="s">
        <v>116</v>
      </c>
      <c r="B119" s="1"/>
      <c r="C119" s="2"/>
      <c r="D119" s="4">
        <v>549.29</v>
      </c>
      <c r="E119" s="2">
        <v>0</v>
      </c>
      <c r="F119" s="1">
        <v>536.85</v>
      </c>
      <c r="G119" s="2">
        <v>0</v>
      </c>
      <c r="H119" s="1"/>
      <c r="I119" s="2"/>
      <c r="J119" s="1">
        <v>32.13</v>
      </c>
      <c r="K119" s="2">
        <v>0</v>
      </c>
      <c r="L119" s="1">
        <v>30.16</v>
      </c>
      <c r="M119" s="2">
        <v>0</v>
      </c>
      <c r="N119" s="1">
        <v>8.19</v>
      </c>
      <c r="O119" s="2">
        <v>0</v>
      </c>
      <c r="P119" s="3">
        <v>5.9</v>
      </c>
      <c r="Q119" s="2">
        <v>0</v>
      </c>
      <c r="R119" s="1">
        <f>MIN($B119,$D119,$F119,$H119,$J119,$L119,$N119,$P119)</f>
        <v>0</v>
      </c>
      <c r="S119" s="1">
        <f>MIN($C119,$E119,$G119,$I119,$K119,$M119,$O119,$Q119)</f>
        <v>0</v>
      </c>
      <c r="T119" s="1">
        <f>MEDIAN($B119,$D119,$F119,$H119,$J119,$L119,$N119,$P119)</f>
        <v>0</v>
      </c>
      <c r="U119" s="1">
        <f>MEDIAN($C119,$E119,$G119,$I119,$K119,$M119,$O119,$Q119)</f>
        <v>0</v>
      </c>
      <c r="V119" s="1">
        <f>MAX($B119,$D119,$F119,$H119,$J119,$L119,$N119,$P119)</f>
        <v>0</v>
      </c>
      <c r="W119" s="1">
        <f>MAX($C119,$E119,$G119,$I119,$K119,$M119,$O119,$Q119)</f>
        <v>0</v>
      </c>
    </row>
    <row r="120" spans="1:23">
      <c r="A120" s="1" t="s">
        <v>117</v>
      </c>
      <c r="B120" s="1"/>
      <c r="C120" s="2"/>
      <c r="D120" s="1">
        <v>359.03</v>
      </c>
      <c r="E120" s="2">
        <v>0</v>
      </c>
      <c r="F120" s="4">
        <v>438.53</v>
      </c>
      <c r="G120" s="2">
        <v>0</v>
      </c>
      <c r="H120" s="1"/>
      <c r="I120" s="2"/>
      <c r="J120" s="1">
        <v>28.59</v>
      </c>
      <c r="K120" s="2">
        <v>0</v>
      </c>
      <c r="L120" s="1">
        <v>30.63</v>
      </c>
      <c r="M120" s="2">
        <v>0</v>
      </c>
      <c r="N120" s="1">
        <v>7.67</v>
      </c>
      <c r="O120" s="2">
        <v>0</v>
      </c>
      <c r="P120" s="3">
        <v>7.15</v>
      </c>
      <c r="Q120" s="2">
        <v>0</v>
      </c>
      <c r="R120" s="1">
        <f>MIN($B120,$D120,$F120,$H120,$J120,$L120,$N120,$P120)</f>
        <v>0</v>
      </c>
      <c r="S120" s="1">
        <f>MIN($C120,$E120,$G120,$I120,$K120,$M120,$O120,$Q120)</f>
        <v>0</v>
      </c>
      <c r="T120" s="1">
        <f>MEDIAN($B120,$D120,$F120,$H120,$J120,$L120,$N120,$P120)</f>
        <v>0</v>
      </c>
      <c r="U120" s="1">
        <f>MEDIAN($C120,$E120,$G120,$I120,$K120,$M120,$O120,$Q120)</f>
        <v>0</v>
      </c>
      <c r="V120" s="1">
        <f>MAX($B120,$D120,$F120,$H120,$J120,$L120,$N120,$P120)</f>
        <v>0</v>
      </c>
      <c r="W120" s="1">
        <f>MAX($C120,$E120,$G120,$I120,$K120,$M120,$O120,$Q120)</f>
        <v>0</v>
      </c>
    </row>
    <row r="121" spans="1:23">
      <c r="A121" s="1" t="s">
        <v>118</v>
      </c>
      <c r="B121" s="1"/>
      <c r="C121" s="2"/>
      <c r="D121" s="4">
        <v>574.24</v>
      </c>
      <c r="E121" s="2">
        <v>0</v>
      </c>
      <c r="F121" s="1">
        <v>553.33</v>
      </c>
      <c r="G121" s="2">
        <v>0</v>
      </c>
      <c r="H121" s="1"/>
      <c r="I121" s="2"/>
      <c r="J121" s="1">
        <v>28.11</v>
      </c>
      <c r="K121" s="2">
        <v>0</v>
      </c>
      <c r="L121" s="1">
        <v>35.81</v>
      </c>
      <c r="M121" s="2">
        <v>0</v>
      </c>
      <c r="N121" s="1">
        <v>7.91</v>
      </c>
      <c r="O121" s="2">
        <v>0</v>
      </c>
      <c r="P121" s="3">
        <v>6.56</v>
      </c>
      <c r="Q121" s="2">
        <v>0</v>
      </c>
      <c r="R121" s="1">
        <f>MIN($B121,$D121,$F121,$H121,$J121,$L121,$N121,$P121)</f>
        <v>0</v>
      </c>
      <c r="S121" s="1">
        <f>MIN($C121,$E121,$G121,$I121,$K121,$M121,$O121,$Q121)</f>
        <v>0</v>
      </c>
      <c r="T121" s="1">
        <f>MEDIAN($B121,$D121,$F121,$H121,$J121,$L121,$N121,$P121)</f>
        <v>0</v>
      </c>
      <c r="U121" s="1">
        <f>MEDIAN($C121,$E121,$G121,$I121,$K121,$M121,$O121,$Q121)</f>
        <v>0</v>
      </c>
      <c r="V121" s="1">
        <f>MAX($B121,$D121,$F121,$H121,$J121,$L121,$N121,$P121)</f>
        <v>0</v>
      </c>
      <c r="W121" s="1">
        <f>MAX($C121,$E121,$G121,$I121,$K121,$M121,$O121,$Q121)</f>
        <v>0</v>
      </c>
    </row>
    <row r="122" spans="1:23">
      <c r="A122" s="1" t="s">
        <v>119</v>
      </c>
      <c r="B122" s="1"/>
      <c r="C122" s="2"/>
      <c r="D122" s="4">
        <v>1200</v>
      </c>
      <c r="E122" s="6">
        <v>1</v>
      </c>
      <c r="F122" s="4">
        <v>1200</v>
      </c>
      <c r="G122" s="6">
        <v>1</v>
      </c>
      <c r="H122" s="1"/>
      <c r="I122" s="2"/>
      <c r="J122" s="1">
        <v>28.18</v>
      </c>
      <c r="K122" s="2">
        <v>0</v>
      </c>
      <c r="L122" s="1">
        <v>34.69</v>
      </c>
      <c r="M122" s="2">
        <v>0</v>
      </c>
      <c r="N122" s="1">
        <v>9.34</v>
      </c>
      <c r="O122" s="2">
        <v>0</v>
      </c>
      <c r="P122" s="3">
        <v>6.48</v>
      </c>
      <c r="Q122" s="2">
        <v>0</v>
      </c>
      <c r="R122" s="1">
        <f>MIN($B122,$D122,$F122,$H122,$J122,$L122,$N122,$P122)</f>
        <v>0</v>
      </c>
      <c r="S122" s="1">
        <f>MIN($C122,$E122,$G122,$I122,$K122,$M122,$O122,$Q122)</f>
        <v>0</v>
      </c>
      <c r="T122" s="1">
        <f>MEDIAN($B122,$D122,$F122,$H122,$J122,$L122,$N122,$P122)</f>
        <v>0</v>
      </c>
      <c r="U122" s="1">
        <f>MEDIAN($C122,$E122,$G122,$I122,$K122,$M122,$O122,$Q122)</f>
        <v>0</v>
      </c>
      <c r="V122" s="1">
        <f>MAX($B122,$D122,$F122,$H122,$J122,$L122,$N122,$P122)</f>
        <v>0</v>
      </c>
      <c r="W122" s="1">
        <f>MAX($C122,$E122,$G122,$I122,$K122,$M122,$O122,$Q122)</f>
        <v>0</v>
      </c>
    </row>
    <row r="123" spans="1:23">
      <c r="A123" s="1" t="s">
        <v>120</v>
      </c>
      <c r="B123" s="1"/>
      <c r="C123" s="2"/>
      <c r="D123" s="1">
        <v>1163.66</v>
      </c>
      <c r="E123" s="2">
        <v>0</v>
      </c>
      <c r="F123" s="4">
        <v>1200</v>
      </c>
      <c r="G123" s="6">
        <v>1</v>
      </c>
      <c r="H123" s="1"/>
      <c r="I123" s="2"/>
      <c r="J123" s="1">
        <v>28.93</v>
      </c>
      <c r="K123" s="2">
        <v>0</v>
      </c>
      <c r="L123" s="1">
        <v>41.67</v>
      </c>
      <c r="M123" s="2">
        <v>0</v>
      </c>
      <c r="N123" s="1">
        <v>10.24</v>
      </c>
      <c r="O123" s="2">
        <v>0</v>
      </c>
      <c r="P123" s="3">
        <v>6.88</v>
      </c>
      <c r="Q123" s="2">
        <v>0</v>
      </c>
      <c r="R123" s="1">
        <f>MIN($B123,$D123,$F123,$H123,$J123,$L123,$N123,$P123)</f>
        <v>0</v>
      </c>
      <c r="S123" s="1">
        <f>MIN($C123,$E123,$G123,$I123,$K123,$M123,$O123,$Q123)</f>
        <v>0</v>
      </c>
      <c r="T123" s="1">
        <f>MEDIAN($B123,$D123,$F123,$H123,$J123,$L123,$N123,$P123)</f>
        <v>0</v>
      </c>
      <c r="U123" s="1">
        <f>MEDIAN($C123,$E123,$G123,$I123,$K123,$M123,$O123,$Q123)</f>
        <v>0</v>
      </c>
      <c r="V123" s="1">
        <f>MAX($B123,$D123,$F123,$H123,$J123,$L123,$N123,$P123)</f>
        <v>0</v>
      </c>
      <c r="W123" s="1">
        <f>MAX($C123,$E123,$G123,$I123,$K123,$M123,$O123,$Q123)</f>
        <v>0</v>
      </c>
    </row>
    <row r="124" spans="1:23">
      <c r="A124" s="1" t="s">
        <v>121</v>
      </c>
      <c r="B124" s="1"/>
      <c r="C124" s="2"/>
      <c r="D124" s="4">
        <v>1200</v>
      </c>
      <c r="E124" s="6">
        <v>1</v>
      </c>
      <c r="F124" s="4">
        <v>1200</v>
      </c>
      <c r="G124" s="6">
        <v>1</v>
      </c>
      <c r="H124" s="1"/>
      <c r="I124" s="2"/>
      <c r="J124" s="1">
        <v>29.24</v>
      </c>
      <c r="K124" s="2">
        <v>0</v>
      </c>
      <c r="L124" s="1">
        <v>43</v>
      </c>
      <c r="M124" s="2">
        <v>0</v>
      </c>
      <c r="N124" s="1">
        <v>7.59</v>
      </c>
      <c r="O124" s="2">
        <v>0</v>
      </c>
      <c r="P124" s="3">
        <v>6.93</v>
      </c>
      <c r="Q124" s="2">
        <v>0</v>
      </c>
      <c r="R124" s="1">
        <f>MIN($B124,$D124,$F124,$H124,$J124,$L124,$N124,$P124)</f>
        <v>0</v>
      </c>
      <c r="S124" s="1">
        <f>MIN($C124,$E124,$G124,$I124,$K124,$M124,$O124,$Q124)</f>
        <v>0</v>
      </c>
      <c r="T124" s="1">
        <f>MEDIAN($B124,$D124,$F124,$H124,$J124,$L124,$N124,$P124)</f>
        <v>0</v>
      </c>
      <c r="U124" s="1">
        <f>MEDIAN($C124,$E124,$G124,$I124,$K124,$M124,$O124,$Q124)</f>
        <v>0</v>
      </c>
      <c r="V124" s="1">
        <f>MAX($B124,$D124,$F124,$H124,$J124,$L124,$N124,$P124)</f>
        <v>0</v>
      </c>
      <c r="W124" s="1">
        <f>MAX($C124,$E124,$G124,$I124,$K124,$M124,$O124,$Q124)</f>
        <v>0</v>
      </c>
    </row>
    <row r="125" spans="1:23">
      <c r="A125" s="1" t="s">
        <v>122</v>
      </c>
      <c r="B125" s="1"/>
      <c r="C125" s="2"/>
      <c r="D125" s="4">
        <v>1200</v>
      </c>
      <c r="E125" s="6">
        <v>1</v>
      </c>
      <c r="F125" s="4">
        <v>1200</v>
      </c>
      <c r="G125" s="6">
        <v>1</v>
      </c>
      <c r="H125" s="1"/>
      <c r="I125" s="2"/>
      <c r="J125" s="1">
        <v>28.7</v>
      </c>
      <c r="K125" s="2">
        <v>0</v>
      </c>
      <c r="L125" s="1">
        <v>44.49</v>
      </c>
      <c r="M125" s="2">
        <v>0</v>
      </c>
      <c r="N125" s="1">
        <v>7.34</v>
      </c>
      <c r="O125" s="2">
        <v>0</v>
      </c>
      <c r="P125" s="3">
        <v>6.94</v>
      </c>
      <c r="Q125" s="2">
        <v>0</v>
      </c>
      <c r="R125" s="1">
        <f>MIN($B125,$D125,$F125,$H125,$J125,$L125,$N125,$P125)</f>
        <v>0</v>
      </c>
      <c r="S125" s="1">
        <f>MIN($C125,$E125,$G125,$I125,$K125,$M125,$O125,$Q125)</f>
        <v>0</v>
      </c>
      <c r="T125" s="1">
        <f>MEDIAN($B125,$D125,$F125,$H125,$J125,$L125,$N125,$P125)</f>
        <v>0</v>
      </c>
      <c r="U125" s="1">
        <f>MEDIAN($C125,$E125,$G125,$I125,$K125,$M125,$O125,$Q125)</f>
        <v>0</v>
      </c>
      <c r="V125" s="1">
        <f>MAX($B125,$D125,$F125,$H125,$J125,$L125,$N125,$P125)</f>
        <v>0</v>
      </c>
      <c r="W125" s="1">
        <f>MAX($C125,$E125,$G125,$I125,$K125,$M125,$O125,$Q125)</f>
        <v>0</v>
      </c>
    </row>
    <row r="126" spans="1:23">
      <c r="A126" s="1" t="s">
        <v>123</v>
      </c>
      <c r="B126" s="1"/>
      <c r="C126" s="2"/>
      <c r="D126" s="1">
        <v>9.9</v>
      </c>
      <c r="E126" s="2">
        <v>0</v>
      </c>
      <c r="F126" s="1">
        <v>10.32</v>
      </c>
      <c r="G126" s="2">
        <v>0</v>
      </c>
      <c r="H126" s="1"/>
      <c r="I126" s="2"/>
      <c r="J126" s="4">
        <v>23.48</v>
      </c>
      <c r="K126" s="2">
        <v>0</v>
      </c>
      <c r="L126" s="1">
        <v>14.9</v>
      </c>
      <c r="M126" s="2">
        <v>0</v>
      </c>
      <c r="N126" s="1">
        <v>9.24</v>
      </c>
      <c r="O126" s="2">
        <v>0</v>
      </c>
      <c r="P126" s="3">
        <v>5.24</v>
      </c>
      <c r="Q126" s="2">
        <v>0</v>
      </c>
      <c r="R126" s="1">
        <f>MIN($B126,$D126,$F126,$H126,$J126,$L126,$N126,$P126)</f>
        <v>0</v>
      </c>
      <c r="S126" s="1">
        <f>MIN($C126,$E126,$G126,$I126,$K126,$M126,$O126,$Q126)</f>
        <v>0</v>
      </c>
      <c r="T126" s="1">
        <f>MEDIAN($B126,$D126,$F126,$H126,$J126,$L126,$N126,$P126)</f>
        <v>0</v>
      </c>
      <c r="U126" s="1">
        <f>MEDIAN($C126,$E126,$G126,$I126,$K126,$M126,$O126,$Q126)</f>
        <v>0</v>
      </c>
      <c r="V126" s="1">
        <f>MAX($B126,$D126,$F126,$H126,$J126,$L126,$N126,$P126)</f>
        <v>0</v>
      </c>
      <c r="W126" s="1">
        <f>MAX($C126,$E126,$G126,$I126,$K126,$M126,$O126,$Q126)</f>
        <v>0</v>
      </c>
    </row>
    <row r="127" spans="1:23">
      <c r="A127" s="1" t="s">
        <v>124</v>
      </c>
      <c r="B127" s="1"/>
      <c r="C127" s="2"/>
      <c r="D127" s="1">
        <v>10.65</v>
      </c>
      <c r="E127" s="2">
        <v>0</v>
      </c>
      <c r="F127" s="1">
        <v>10.11</v>
      </c>
      <c r="G127" s="2">
        <v>0</v>
      </c>
      <c r="H127" s="1"/>
      <c r="I127" s="2"/>
      <c r="J127" s="4">
        <v>24.09</v>
      </c>
      <c r="K127" s="2">
        <v>0</v>
      </c>
      <c r="L127" s="1">
        <v>14.98</v>
      </c>
      <c r="M127" s="2">
        <v>0</v>
      </c>
      <c r="N127" s="1">
        <v>8.35</v>
      </c>
      <c r="O127" s="2">
        <v>0</v>
      </c>
      <c r="P127" s="3">
        <v>4.83</v>
      </c>
      <c r="Q127" s="2">
        <v>0</v>
      </c>
      <c r="R127" s="1">
        <f>MIN($B127,$D127,$F127,$H127,$J127,$L127,$N127,$P127)</f>
        <v>0</v>
      </c>
      <c r="S127" s="1">
        <f>MIN($C127,$E127,$G127,$I127,$K127,$M127,$O127,$Q127)</f>
        <v>0</v>
      </c>
      <c r="T127" s="1">
        <f>MEDIAN($B127,$D127,$F127,$H127,$J127,$L127,$N127,$P127)</f>
        <v>0</v>
      </c>
      <c r="U127" s="1">
        <f>MEDIAN($C127,$E127,$G127,$I127,$K127,$M127,$O127,$Q127)</f>
        <v>0</v>
      </c>
      <c r="V127" s="1">
        <f>MAX($B127,$D127,$F127,$H127,$J127,$L127,$N127,$P127)</f>
        <v>0</v>
      </c>
      <c r="W127" s="1">
        <f>MAX($C127,$E127,$G127,$I127,$K127,$M127,$O127,$Q127)</f>
        <v>0</v>
      </c>
    </row>
    <row r="128" spans="1:23">
      <c r="A128" s="1" t="s">
        <v>125</v>
      </c>
      <c r="B128" s="1"/>
      <c r="C128" s="2"/>
      <c r="D128" s="1">
        <v>10.11</v>
      </c>
      <c r="E128" s="2">
        <v>0</v>
      </c>
      <c r="F128" s="1">
        <v>5.82</v>
      </c>
      <c r="G128" s="2">
        <v>0</v>
      </c>
      <c r="H128" s="1"/>
      <c r="I128" s="2"/>
      <c r="J128" s="4">
        <v>26.47</v>
      </c>
      <c r="K128" s="2">
        <v>0</v>
      </c>
      <c r="L128" s="1">
        <v>17.68</v>
      </c>
      <c r="M128" s="2">
        <v>0</v>
      </c>
      <c r="N128" s="1">
        <v>7.94</v>
      </c>
      <c r="O128" s="2">
        <v>0</v>
      </c>
      <c r="P128" s="3">
        <v>5.26</v>
      </c>
      <c r="Q128" s="2">
        <v>0</v>
      </c>
      <c r="R128" s="1">
        <f>MIN($B128,$D128,$F128,$H128,$J128,$L128,$N128,$P128)</f>
        <v>0</v>
      </c>
      <c r="S128" s="1">
        <f>MIN($C128,$E128,$G128,$I128,$K128,$M128,$O128,$Q128)</f>
        <v>0</v>
      </c>
      <c r="T128" s="1">
        <f>MEDIAN($B128,$D128,$F128,$H128,$J128,$L128,$N128,$P128)</f>
        <v>0</v>
      </c>
      <c r="U128" s="1">
        <f>MEDIAN($C128,$E128,$G128,$I128,$K128,$M128,$O128,$Q128)</f>
        <v>0</v>
      </c>
      <c r="V128" s="1">
        <f>MAX($B128,$D128,$F128,$H128,$J128,$L128,$N128,$P128)</f>
        <v>0</v>
      </c>
      <c r="W128" s="1">
        <f>MAX($C128,$E128,$G128,$I128,$K128,$M128,$O128,$Q128)</f>
        <v>0</v>
      </c>
    </row>
    <row r="129" spans="1:23">
      <c r="A129" s="1" t="s">
        <v>126</v>
      </c>
      <c r="B129" s="1"/>
      <c r="C129" s="2"/>
      <c r="D129" s="1">
        <v>11.34</v>
      </c>
      <c r="E129" s="2">
        <v>0</v>
      </c>
      <c r="F129" s="1">
        <v>12.93</v>
      </c>
      <c r="G129" s="2">
        <v>0</v>
      </c>
      <c r="H129" s="1"/>
      <c r="I129" s="2"/>
      <c r="J129" s="4">
        <v>23.54</v>
      </c>
      <c r="K129" s="2">
        <v>0</v>
      </c>
      <c r="L129" s="1">
        <v>17.52</v>
      </c>
      <c r="M129" s="2">
        <v>0</v>
      </c>
      <c r="N129" s="1">
        <v>8</v>
      </c>
      <c r="O129" s="2">
        <v>0</v>
      </c>
      <c r="P129" s="3">
        <v>5.4</v>
      </c>
      <c r="Q129" s="2">
        <v>0</v>
      </c>
      <c r="R129" s="1">
        <f>MIN($B129,$D129,$F129,$H129,$J129,$L129,$N129,$P129)</f>
        <v>0</v>
      </c>
      <c r="S129" s="1">
        <f>MIN($C129,$E129,$G129,$I129,$K129,$M129,$O129,$Q129)</f>
        <v>0</v>
      </c>
      <c r="T129" s="1">
        <f>MEDIAN($B129,$D129,$F129,$H129,$J129,$L129,$N129,$P129)</f>
        <v>0</v>
      </c>
      <c r="U129" s="1">
        <f>MEDIAN($C129,$E129,$G129,$I129,$K129,$M129,$O129,$Q129)</f>
        <v>0</v>
      </c>
      <c r="V129" s="1">
        <f>MAX($B129,$D129,$F129,$H129,$J129,$L129,$N129,$P129)</f>
        <v>0</v>
      </c>
      <c r="W129" s="1">
        <f>MAX($C129,$E129,$G129,$I129,$K129,$M129,$O129,$Q129)</f>
        <v>0</v>
      </c>
    </row>
    <row r="130" spans="1:23">
      <c r="A130" s="1" t="s">
        <v>127</v>
      </c>
      <c r="B130" s="1"/>
      <c r="C130" s="2"/>
      <c r="D130" s="1">
        <v>13.72</v>
      </c>
      <c r="E130" s="2">
        <v>0</v>
      </c>
      <c r="F130" s="1">
        <v>15.74</v>
      </c>
      <c r="G130" s="2">
        <v>0</v>
      </c>
      <c r="H130" s="1"/>
      <c r="I130" s="2"/>
      <c r="J130" s="4">
        <v>23.58</v>
      </c>
      <c r="K130" s="2">
        <v>0</v>
      </c>
      <c r="L130" s="1">
        <v>18.81</v>
      </c>
      <c r="M130" s="2">
        <v>0</v>
      </c>
      <c r="N130" s="1">
        <v>9.27</v>
      </c>
      <c r="O130" s="2">
        <v>0</v>
      </c>
      <c r="P130" s="3">
        <v>5.21</v>
      </c>
      <c r="Q130" s="2">
        <v>0</v>
      </c>
      <c r="R130" s="1">
        <f>MIN($B130,$D130,$F130,$H130,$J130,$L130,$N130,$P130)</f>
        <v>0</v>
      </c>
      <c r="S130" s="1">
        <f>MIN($C130,$E130,$G130,$I130,$K130,$M130,$O130,$Q130)</f>
        <v>0</v>
      </c>
      <c r="T130" s="1">
        <f>MEDIAN($B130,$D130,$F130,$H130,$J130,$L130,$N130,$P130)</f>
        <v>0</v>
      </c>
      <c r="U130" s="1">
        <f>MEDIAN($C130,$E130,$G130,$I130,$K130,$M130,$O130,$Q130)</f>
        <v>0</v>
      </c>
      <c r="V130" s="1">
        <f>MAX($B130,$D130,$F130,$H130,$J130,$L130,$N130,$P130)</f>
        <v>0</v>
      </c>
      <c r="W130" s="1">
        <f>MAX($C130,$E130,$G130,$I130,$K130,$M130,$O130,$Q130)</f>
        <v>0</v>
      </c>
    </row>
    <row r="131" spans="1:23">
      <c r="A131" s="1" t="s">
        <v>128</v>
      </c>
      <c r="B131" s="1"/>
      <c r="C131" s="2"/>
      <c r="D131" s="1">
        <v>19.02</v>
      </c>
      <c r="E131" s="2">
        <v>0</v>
      </c>
      <c r="F131" s="1">
        <v>21.82</v>
      </c>
      <c r="G131" s="2">
        <v>0</v>
      </c>
      <c r="H131" s="1"/>
      <c r="I131" s="2"/>
      <c r="J131" s="4">
        <v>26.69</v>
      </c>
      <c r="K131" s="2">
        <v>0</v>
      </c>
      <c r="L131" s="1">
        <v>20.98</v>
      </c>
      <c r="M131" s="2">
        <v>0</v>
      </c>
      <c r="N131" s="1">
        <v>7.8</v>
      </c>
      <c r="O131" s="2">
        <v>0</v>
      </c>
      <c r="P131" s="3">
        <v>5.49</v>
      </c>
      <c r="Q131" s="2">
        <v>0</v>
      </c>
      <c r="R131" s="1">
        <f>MIN($B131,$D131,$F131,$H131,$J131,$L131,$N131,$P131)</f>
        <v>0</v>
      </c>
      <c r="S131" s="1">
        <f>MIN($C131,$E131,$G131,$I131,$K131,$M131,$O131,$Q131)</f>
        <v>0</v>
      </c>
      <c r="T131" s="1">
        <f>MEDIAN($B131,$D131,$F131,$H131,$J131,$L131,$N131,$P131)</f>
        <v>0</v>
      </c>
      <c r="U131" s="1">
        <f>MEDIAN($C131,$E131,$G131,$I131,$K131,$M131,$O131,$Q131)</f>
        <v>0</v>
      </c>
      <c r="V131" s="1">
        <f>MAX($B131,$D131,$F131,$H131,$J131,$L131,$N131,$P131)</f>
        <v>0</v>
      </c>
      <c r="W131" s="1">
        <f>MAX($C131,$E131,$G131,$I131,$K131,$M131,$O131,$Q131)</f>
        <v>0</v>
      </c>
    </row>
    <row r="132" spans="1:23">
      <c r="A132" s="1" t="s">
        <v>129</v>
      </c>
      <c r="B132" s="1"/>
      <c r="C132" s="2"/>
      <c r="D132" s="1">
        <v>33.98</v>
      </c>
      <c r="E132" s="2">
        <v>0</v>
      </c>
      <c r="F132" s="4">
        <v>40.05</v>
      </c>
      <c r="G132" s="2">
        <v>0</v>
      </c>
      <c r="H132" s="1"/>
      <c r="I132" s="2"/>
      <c r="J132" s="1">
        <v>24.69</v>
      </c>
      <c r="K132" s="2">
        <v>0</v>
      </c>
      <c r="L132" s="1">
        <v>21.68</v>
      </c>
      <c r="M132" s="2">
        <v>0</v>
      </c>
      <c r="N132" s="1">
        <v>8.039999999999999</v>
      </c>
      <c r="O132" s="2">
        <v>0</v>
      </c>
      <c r="P132" s="3">
        <v>5.21</v>
      </c>
      <c r="Q132" s="2">
        <v>0</v>
      </c>
      <c r="R132" s="1">
        <f>MIN($B132,$D132,$F132,$H132,$J132,$L132,$N132,$P132)</f>
        <v>0</v>
      </c>
      <c r="S132" s="1">
        <f>MIN($C132,$E132,$G132,$I132,$K132,$M132,$O132,$Q132)</f>
        <v>0</v>
      </c>
      <c r="T132" s="1">
        <f>MEDIAN($B132,$D132,$F132,$H132,$J132,$L132,$N132,$P132)</f>
        <v>0</v>
      </c>
      <c r="U132" s="1">
        <f>MEDIAN($C132,$E132,$G132,$I132,$K132,$M132,$O132,$Q132)</f>
        <v>0</v>
      </c>
      <c r="V132" s="1">
        <f>MAX($B132,$D132,$F132,$H132,$J132,$L132,$N132,$P132)</f>
        <v>0</v>
      </c>
      <c r="W132" s="1">
        <f>MAX($C132,$E132,$G132,$I132,$K132,$M132,$O132,$Q132)</f>
        <v>0</v>
      </c>
    </row>
    <row r="133" spans="1:23">
      <c r="A133" s="1" t="s">
        <v>130</v>
      </c>
      <c r="B133" s="1"/>
      <c r="C133" s="2"/>
      <c r="D133" s="1">
        <v>31.93</v>
      </c>
      <c r="E133" s="2">
        <v>0</v>
      </c>
      <c r="F133" s="4">
        <v>35.42</v>
      </c>
      <c r="G133" s="2">
        <v>0</v>
      </c>
      <c r="H133" s="1"/>
      <c r="I133" s="2"/>
      <c r="J133" s="1">
        <v>24.51</v>
      </c>
      <c r="K133" s="2">
        <v>0</v>
      </c>
      <c r="L133" s="1">
        <v>25.99</v>
      </c>
      <c r="M133" s="2">
        <v>0</v>
      </c>
      <c r="N133" s="1">
        <v>7.9</v>
      </c>
      <c r="O133" s="2">
        <v>0</v>
      </c>
      <c r="P133" s="3">
        <v>5.81</v>
      </c>
      <c r="Q133" s="2">
        <v>0</v>
      </c>
      <c r="R133" s="1">
        <f>MIN($B133,$D133,$F133,$H133,$J133,$L133,$N133,$P133)</f>
        <v>0</v>
      </c>
      <c r="S133" s="1">
        <f>MIN($C133,$E133,$G133,$I133,$K133,$M133,$O133,$Q133)</f>
        <v>0</v>
      </c>
      <c r="T133" s="1">
        <f>MEDIAN($B133,$D133,$F133,$H133,$J133,$L133,$N133,$P133)</f>
        <v>0</v>
      </c>
      <c r="U133" s="1">
        <f>MEDIAN($C133,$E133,$G133,$I133,$K133,$M133,$O133,$Q133)</f>
        <v>0</v>
      </c>
      <c r="V133" s="1">
        <f>MAX($B133,$D133,$F133,$H133,$J133,$L133,$N133,$P133)</f>
        <v>0</v>
      </c>
      <c r="W133" s="1">
        <f>MAX($C133,$E133,$G133,$I133,$K133,$M133,$O133,$Q133)</f>
        <v>0</v>
      </c>
    </row>
    <row r="134" spans="1:23">
      <c r="A134" s="1" t="s">
        <v>131</v>
      </c>
      <c r="B134" s="1"/>
      <c r="C134" s="2"/>
      <c r="D134" s="1">
        <v>18.13</v>
      </c>
      <c r="E134" s="2">
        <v>0</v>
      </c>
      <c r="F134" s="1">
        <v>20.1</v>
      </c>
      <c r="G134" s="2">
        <v>0</v>
      </c>
      <c r="H134" s="1"/>
      <c r="I134" s="2"/>
      <c r="J134" s="4">
        <v>23.5</v>
      </c>
      <c r="K134" s="2">
        <v>0</v>
      </c>
      <c r="L134" s="1">
        <v>21.96</v>
      </c>
      <c r="M134" s="2">
        <v>0</v>
      </c>
      <c r="N134" s="1">
        <v>8.220000000000001</v>
      </c>
      <c r="O134" s="2">
        <v>0</v>
      </c>
      <c r="P134" s="3">
        <v>2.56</v>
      </c>
      <c r="Q134" s="2">
        <v>0</v>
      </c>
      <c r="R134" s="1">
        <f>MIN($B134,$D134,$F134,$H134,$J134,$L134,$N134,$P134)</f>
        <v>0</v>
      </c>
      <c r="S134" s="1">
        <f>MIN($C134,$E134,$G134,$I134,$K134,$M134,$O134,$Q134)</f>
        <v>0</v>
      </c>
      <c r="T134" s="1">
        <f>MEDIAN($B134,$D134,$F134,$H134,$J134,$L134,$N134,$P134)</f>
        <v>0</v>
      </c>
      <c r="U134" s="1">
        <f>MEDIAN($C134,$E134,$G134,$I134,$K134,$M134,$O134,$Q134)</f>
        <v>0</v>
      </c>
      <c r="V134" s="1">
        <f>MAX($B134,$D134,$F134,$H134,$J134,$L134,$N134,$P134)</f>
        <v>0</v>
      </c>
      <c r="W134" s="1">
        <f>MAX($C134,$E134,$G134,$I134,$K134,$M134,$O134,$Q134)</f>
        <v>0</v>
      </c>
    </row>
    <row r="135" spans="1:23">
      <c r="A135" s="1" t="s">
        <v>132</v>
      </c>
      <c r="B135" s="1"/>
      <c r="C135" s="2"/>
      <c r="D135" s="1">
        <v>28.98</v>
      </c>
      <c r="E135" s="2">
        <v>0</v>
      </c>
      <c r="F135" s="4">
        <v>36.06</v>
      </c>
      <c r="G135" s="2">
        <v>0</v>
      </c>
      <c r="H135" s="1"/>
      <c r="I135" s="2"/>
      <c r="J135" s="1">
        <v>26.11</v>
      </c>
      <c r="K135" s="2">
        <v>0</v>
      </c>
      <c r="L135" s="1">
        <v>21.28</v>
      </c>
      <c r="M135" s="2">
        <v>0</v>
      </c>
      <c r="N135" s="1">
        <v>7.97</v>
      </c>
      <c r="O135" s="2">
        <v>0</v>
      </c>
      <c r="P135" s="3">
        <v>6.54</v>
      </c>
      <c r="Q135" s="2">
        <v>0</v>
      </c>
      <c r="R135" s="1">
        <f>MIN($B135,$D135,$F135,$H135,$J135,$L135,$N135,$P135)</f>
        <v>0</v>
      </c>
      <c r="S135" s="1">
        <f>MIN($C135,$E135,$G135,$I135,$K135,$M135,$O135,$Q135)</f>
        <v>0</v>
      </c>
      <c r="T135" s="1">
        <f>MEDIAN($B135,$D135,$F135,$H135,$J135,$L135,$N135,$P135)</f>
        <v>0</v>
      </c>
      <c r="U135" s="1">
        <f>MEDIAN($C135,$E135,$G135,$I135,$K135,$M135,$O135,$Q135)</f>
        <v>0</v>
      </c>
      <c r="V135" s="1">
        <f>MAX($B135,$D135,$F135,$H135,$J135,$L135,$N135,$P135)</f>
        <v>0</v>
      </c>
      <c r="W135" s="1">
        <f>MAX($C135,$E135,$G135,$I135,$K135,$M135,$O135,$Q135)</f>
        <v>0</v>
      </c>
    </row>
    <row r="136" spans="1:23">
      <c r="A136" s="1" t="s">
        <v>133</v>
      </c>
      <c r="B136" s="1"/>
      <c r="C136" s="2"/>
      <c r="D136" s="4">
        <v>1200</v>
      </c>
      <c r="E136" s="6">
        <v>1</v>
      </c>
      <c r="F136" s="4">
        <v>1200</v>
      </c>
      <c r="G136" s="6">
        <v>1</v>
      </c>
      <c r="H136" s="1"/>
      <c r="I136" s="2"/>
      <c r="J136" s="1">
        <v>28.88</v>
      </c>
      <c r="K136" s="2">
        <v>0</v>
      </c>
      <c r="L136" s="1">
        <v>47.73</v>
      </c>
      <c r="M136" s="2">
        <v>0</v>
      </c>
      <c r="N136" s="3">
        <v>8.529999999999999</v>
      </c>
      <c r="O136" s="2">
        <v>0</v>
      </c>
      <c r="P136" s="1">
        <v>8.98</v>
      </c>
      <c r="Q136" s="2">
        <v>0</v>
      </c>
      <c r="R136" s="1">
        <f>MIN($B136,$D136,$F136,$H136,$J136,$L136,$N136,$P136)</f>
        <v>0</v>
      </c>
      <c r="S136" s="1">
        <f>MIN($C136,$E136,$G136,$I136,$K136,$M136,$O136,$Q136)</f>
        <v>0</v>
      </c>
      <c r="T136" s="1">
        <f>MEDIAN($B136,$D136,$F136,$H136,$J136,$L136,$N136,$P136)</f>
        <v>0</v>
      </c>
      <c r="U136" s="1">
        <f>MEDIAN($C136,$E136,$G136,$I136,$K136,$M136,$O136,$Q136)</f>
        <v>0</v>
      </c>
      <c r="V136" s="1">
        <f>MAX($B136,$D136,$F136,$H136,$J136,$L136,$N136,$P136)</f>
        <v>0</v>
      </c>
      <c r="W136" s="1">
        <f>MAX($C136,$E136,$G136,$I136,$K136,$M136,$O136,$Q136)</f>
        <v>0</v>
      </c>
    </row>
    <row r="137" spans="1:23">
      <c r="A137" s="1" t="s">
        <v>134</v>
      </c>
      <c r="B137" s="1"/>
      <c r="C137" s="2"/>
      <c r="D137" s="4">
        <v>1200</v>
      </c>
      <c r="E137" s="6">
        <v>1</v>
      </c>
      <c r="F137" s="4">
        <v>1200</v>
      </c>
      <c r="G137" s="6">
        <v>1</v>
      </c>
      <c r="H137" s="1"/>
      <c r="I137" s="2"/>
      <c r="J137" s="1">
        <v>28.85</v>
      </c>
      <c r="K137" s="2">
        <v>0</v>
      </c>
      <c r="L137" s="1">
        <v>51.9</v>
      </c>
      <c r="M137" s="2">
        <v>0</v>
      </c>
      <c r="N137" s="1">
        <v>8.890000000000001</v>
      </c>
      <c r="O137" s="2">
        <v>0</v>
      </c>
      <c r="P137" s="3">
        <v>8.039999999999999</v>
      </c>
      <c r="Q137" s="2">
        <v>0</v>
      </c>
      <c r="R137" s="1">
        <f>MIN($B137,$D137,$F137,$H137,$J137,$L137,$N137,$P137)</f>
        <v>0</v>
      </c>
      <c r="S137" s="1">
        <f>MIN($C137,$E137,$G137,$I137,$K137,$M137,$O137,$Q137)</f>
        <v>0</v>
      </c>
      <c r="T137" s="1">
        <f>MEDIAN($B137,$D137,$F137,$H137,$J137,$L137,$N137,$P137)</f>
        <v>0</v>
      </c>
      <c r="U137" s="1">
        <f>MEDIAN($C137,$E137,$G137,$I137,$K137,$M137,$O137,$Q137)</f>
        <v>0</v>
      </c>
      <c r="V137" s="1">
        <f>MAX($B137,$D137,$F137,$H137,$J137,$L137,$N137,$P137)</f>
        <v>0</v>
      </c>
      <c r="W137" s="1">
        <f>MAX($C137,$E137,$G137,$I137,$K137,$M137,$O137,$Q137)</f>
        <v>0</v>
      </c>
    </row>
    <row r="138" spans="1:23">
      <c r="A138" s="1" t="s">
        <v>135</v>
      </c>
      <c r="B138" s="1"/>
      <c r="C138" s="2"/>
      <c r="D138" s="4">
        <v>1200</v>
      </c>
      <c r="E138" s="6">
        <v>1</v>
      </c>
      <c r="F138" s="4">
        <v>1200</v>
      </c>
      <c r="G138" s="6">
        <v>1</v>
      </c>
      <c r="H138" s="1"/>
      <c r="I138" s="2"/>
      <c r="J138" s="1">
        <v>76.56999999999999</v>
      </c>
      <c r="K138" s="2">
        <v>0</v>
      </c>
      <c r="L138" s="1">
        <v>55.38</v>
      </c>
      <c r="M138" s="2">
        <v>0</v>
      </c>
      <c r="N138" s="1">
        <v>26.33</v>
      </c>
      <c r="O138" s="2">
        <v>0</v>
      </c>
      <c r="P138" s="3">
        <v>8.16</v>
      </c>
      <c r="Q138" s="2">
        <v>0</v>
      </c>
      <c r="R138" s="1">
        <f>MIN($B138,$D138,$F138,$H138,$J138,$L138,$N138,$P138)</f>
        <v>0</v>
      </c>
      <c r="S138" s="1">
        <f>MIN($C138,$E138,$G138,$I138,$K138,$M138,$O138,$Q138)</f>
        <v>0</v>
      </c>
      <c r="T138" s="1">
        <f>MEDIAN($B138,$D138,$F138,$H138,$J138,$L138,$N138,$P138)</f>
        <v>0</v>
      </c>
      <c r="U138" s="1">
        <f>MEDIAN($C138,$E138,$G138,$I138,$K138,$M138,$O138,$Q138)</f>
        <v>0</v>
      </c>
      <c r="V138" s="1">
        <f>MAX($B138,$D138,$F138,$H138,$J138,$L138,$N138,$P138)</f>
        <v>0</v>
      </c>
      <c r="W138" s="1">
        <f>MAX($C138,$E138,$G138,$I138,$K138,$M138,$O138,$Q138)</f>
        <v>0</v>
      </c>
    </row>
    <row r="139" spans="1:23">
      <c r="A139" s="1" t="s">
        <v>136</v>
      </c>
      <c r="B139" s="1"/>
      <c r="C139" s="2"/>
      <c r="D139" s="4">
        <v>1200</v>
      </c>
      <c r="E139" s="6">
        <v>1</v>
      </c>
      <c r="F139" s="4">
        <v>1200</v>
      </c>
      <c r="G139" s="6">
        <v>1</v>
      </c>
      <c r="H139" s="1"/>
      <c r="I139" s="2"/>
      <c r="J139" s="1">
        <v>84.86</v>
      </c>
      <c r="K139" s="2">
        <v>0</v>
      </c>
      <c r="L139" s="1">
        <v>55.08</v>
      </c>
      <c r="M139" s="2">
        <v>0</v>
      </c>
      <c r="N139" s="1">
        <v>27.41</v>
      </c>
      <c r="O139" s="2">
        <v>0</v>
      </c>
      <c r="P139" s="3">
        <v>9</v>
      </c>
      <c r="Q139" s="2">
        <v>0</v>
      </c>
      <c r="R139" s="1">
        <f>MIN($B139,$D139,$F139,$H139,$J139,$L139,$N139,$P139)</f>
        <v>0</v>
      </c>
      <c r="S139" s="1">
        <f>MIN($C139,$E139,$G139,$I139,$K139,$M139,$O139,$Q139)</f>
        <v>0</v>
      </c>
      <c r="T139" s="1">
        <f>MEDIAN($B139,$D139,$F139,$H139,$J139,$L139,$N139,$P139)</f>
        <v>0</v>
      </c>
      <c r="U139" s="1">
        <f>MEDIAN($C139,$E139,$G139,$I139,$K139,$M139,$O139,$Q139)</f>
        <v>0</v>
      </c>
      <c r="V139" s="1">
        <f>MAX($B139,$D139,$F139,$H139,$J139,$L139,$N139,$P139)</f>
        <v>0</v>
      </c>
      <c r="W139" s="1">
        <f>MAX($C139,$E139,$G139,$I139,$K139,$M139,$O139,$Q139)</f>
        <v>0</v>
      </c>
    </row>
    <row r="140" spans="1:23">
      <c r="A140" s="1" t="s">
        <v>137</v>
      </c>
      <c r="B140" s="1"/>
      <c r="C140" s="2"/>
      <c r="D140" s="4">
        <v>1200</v>
      </c>
      <c r="E140" s="6">
        <v>1</v>
      </c>
      <c r="F140" s="4">
        <v>1200</v>
      </c>
      <c r="G140" s="6">
        <v>1</v>
      </c>
      <c r="H140" s="1"/>
      <c r="I140" s="2"/>
      <c r="J140" s="1">
        <v>77.04000000000001</v>
      </c>
      <c r="K140" s="2">
        <v>0</v>
      </c>
      <c r="L140" s="1">
        <v>69.2</v>
      </c>
      <c r="M140" s="2">
        <v>0</v>
      </c>
      <c r="N140" s="1">
        <v>36.77</v>
      </c>
      <c r="O140" s="2">
        <v>0</v>
      </c>
      <c r="P140" s="3">
        <v>8.91</v>
      </c>
      <c r="Q140" s="2">
        <v>0</v>
      </c>
      <c r="R140" s="1">
        <f>MIN($B140,$D140,$F140,$H140,$J140,$L140,$N140,$P140)</f>
        <v>0</v>
      </c>
      <c r="S140" s="1">
        <f>MIN($C140,$E140,$G140,$I140,$K140,$M140,$O140,$Q140)</f>
        <v>0</v>
      </c>
      <c r="T140" s="1">
        <f>MEDIAN($B140,$D140,$F140,$H140,$J140,$L140,$N140,$P140)</f>
        <v>0</v>
      </c>
      <c r="U140" s="1">
        <f>MEDIAN($C140,$E140,$G140,$I140,$K140,$M140,$O140,$Q140)</f>
        <v>0</v>
      </c>
      <c r="V140" s="1">
        <f>MAX($B140,$D140,$F140,$H140,$J140,$L140,$N140,$P140)</f>
        <v>0</v>
      </c>
      <c r="W140" s="1">
        <f>MAX($C140,$E140,$G140,$I140,$K140,$M140,$O140,$Q140)</f>
        <v>0</v>
      </c>
    </row>
    <row r="141" spans="1:23">
      <c r="A141" s="1" t="s">
        <v>138</v>
      </c>
      <c r="B141" s="1"/>
      <c r="C141" s="2"/>
      <c r="D141" s="4">
        <v>1200</v>
      </c>
      <c r="E141" s="6">
        <v>1</v>
      </c>
      <c r="F141" s="4">
        <v>1200</v>
      </c>
      <c r="G141" s="6">
        <v>1</v>
      </c>
      <c r="H141" s="1"/>
      <c r="I141" s="2"/>
      <c r="J141" s="1">
        <v>78.19</v>
      </c>
      <c r="K141" s="2">
        <v>0</v>
      </c>
      <c r="L141" s="1">
        <v>66.2</v>
      </c>
      <c r="M141" s="2">
        <v>0</v>
      </c>
      <c r="N141" s="1">
        <v>25.58</v>
      </c>
      <c r="O141" s="2">
        <v>0</v>
      </c>
      <c r="P141" s="3">
        <v>9.26</v>
      </c>
      <c r="Q141" s="2">
        <v>0</v>
      </c>
      <c r="R141" s="1">
        <f>MIN($B141,$D141,$F141,$H141,$J141,$L141,$N141,$P141)</f>
        <v>0</v>
      </c>
      <c r="S141" s="1">
        <f>MIN($C141,$E141,$G141,$I141,$K141,$M141,$O141,$Q141)</f>
        <v>0</v>
      </c>
      <c r="T141" s="1">
        <f>MEDIAN($B141,$D141,$F141,$H141,$J141,$L141,$N141,$P141)</f>
        <v>0</v>
      </c>
      <c r="U141" s="1">
        <f>MEDIAN($C141,$E141,$G141,$I141,$K141,$M141,$O141,$Q141)</f>
        <v>0</v>
      </c>
      <c r="V141" s="1">
        <f>MAX($B141,$D141,$F141,$H141,$J141,$L141,$N141,$P141)</f>
        <v>0</v>
      </c>
      <c r="W141" s="1">
        <f>MAX($C141,$E141,$G141,$I141,$K141,$M141,$O141,$Q141)</f>
        <v>0</v>
      </c>
    </row>
    <row r="142" spans="1:23">
      <c r="A142" s="1" t="s">
        <v>139</v>
      </c>
      <c r="B142" s="1"/>
      <c r="C142" s="2"/>
      <c r="D142" s="4">
        <v>1200</v>
      </c>
      <c r="E142" s="6">
        <v>1</v>
      </c>
      <c r="F142" s="4">
        <v>1200</v>
      </c>
      <c r="G142" s="6">
        <v>1</v>
      </c>
      <c r="H142" s="1"/>
      <c r="I142" s="2"/>
      <c r="J142" s="1">
        <v>101.27</v>
      </c>
      <c r="K142" s="2">
        <v>0</v>
      </c>
      <c r="L142" s="1">
        <v>72.25</v>
      </c>
      <c r="M142" s="2">
        <v>0</v>
      </c>
      <c r="N142" s="1">
        <v>39.1</v>
      </c>
      <c r="O142" s="2">
        <v>0</v>
      </c>
      <c r="P142" s="3">
        <v>9.82</v>
      </c>
      <c r="Q142" s="2">
        <v>0</v>
      </c>
      <c r="R142" s="1">
        <f>MIN($B142,$D142,$F142,$H142,$J142,$L142,$N142,$P142)</f>
        <v>0</v>
      </c>
      <c r="S142" s="1">
        <f>MIN($C142,$E142,$G142,$I142,$K142,$M142,$O142,$Q142)</f>
        <v>0</v>
      </c>
      <c r="T142" s="1">
        <f>MEDIAN($B142,$D142,$F142,$H142,$J142,$L142,$N142,$P142)</f>
        <v>0</v>
      </c>
      <c r="U142" s="1">
        <f>MEDIAN($C142,$E142,$G142,$I142,$K142,$M142,$O142,$Q142)</f>
        <v>0</v>
      </c>
      <c r="V142" s="1">
        <f>MAX($B142,$D142,$F142,$H142,$J142,$L142,$N142,$P142)</f>
        <v>0</v>
      </c>
      <c r="W142" s="1">
        <f>MAX($C142,$E142,$G142,$I142,$K142,$M142,$O142,$Q142)</f>
        <v>0</v>
      </c>
    </row>
    <row r="143" spans="1:23">
      <c r="A143" s="1" t="s">
        <v>140</v>
      </c>
      <c r="B143" s="1"/>
      <c r="C143" s="2"/>
      <c r="D143" s="4">
        <v>1200</v>
      </c>
      <c r="E143" s="6">
        <v>1</v>
      </c>
      <c r="F143" s="4">
        <v>1200</v>
      </c>
      <c r="G143" s="6">
        <v>1</v>
      </c>
      <c r="H143" s="1"/>
      <c r="I143" s="2"/>
      <c r="J143" s="1">
        <v>79.25</v>
      </c>
      <c r="K143" s="2">
        <v>0</v>
      </c>
      <c r="L143" s="1">
        <v>75.47</v>
      </c>
      <c r="M143" s="2">
        <v>0</v>
      </c>
      <c r="N143" s="1">
        <v>26.43</v>
      </c>
      <c r="O143" s="2">
        <v>0</v>
      </c>
      <c r="P143" s="3">
        <v>9.75</v>
      </c>
      <c r="Q143" s="2">
        <v>0</v>
      </c>
      <c r="R143" s="1">
        <f>MIN($B143,$D143,$F143,$H143,$J143,$L143,$N143,$P143)</f>
        <v>0</v>
      </c>
      <c r="S143" s="1">
        <f>MIN($C143,$E143,$G143,$I143,$K143,$M143,$O143,$Q143)</f>
        <v>0</v>
      </c>
      <c r="T143" s="1">
        <f>MEDIAN($B143,$D143,$F143,$H143,$J143,$L143,$N143,$P143)</f>
        <v>0</v>
      </c>
      <c r="U143" s="1">
        <f>MEDIAN($C143,$E143,$G143,$I143,$K143,$M143,$O143,$Q143)</f>
        <v>0</v>
      </c>
      <c r="V143" s="1">
        <f>MAX($B143,$D143,$F143,$H143,$J143,$L143,$N143,$P143)</f>
        <v>0</v>
      </c>
      <c r="W143" s="1">
        <f>MAX($C143,$E143,$G143,$I143,$K143,$M143,$O143,$Q143)</f>
        <v>0</v>
      </c>
    </row>
    <row r="144" spans="1:23">
      <c r="A144" s="1" t="s">
        <v>141</v>
      </c>
      <c r="B144" s="1"/>
      <c r="C144" s="2"/>
      <c r="D144" s="4">
        <v>1200</v>
      </c>
      <c r="E144" s="6">
        <v>1</v>
      </c>
      <c r="F144" s="4">
        <v>1200</v>
      </c>
      <c r="G144" s="6">
        <v>1</v>
      </c>
      <c r="H144" s="1"/>
      <c r="I144" s="2"/>
      <c r="J144" s="1">
        <v>85.33</v>
      </c>
      <c r="K144" s="2">
        <v>0</v>
      </c>
      <c r="L144" s="1">
        <v>82.5</v>
      </c>
      <c r="M144" s="2">
        <v>0</v>
      </c>
      <c r="N144" s="1">
        <v>25.85</v>
      </c>
      <c r="O144" s="2">
        <v>0</v>
      </c>
      <c r="P144" s="3">
        <v>10.26</v>
      </c>
      <c r="Q144" s="2">
        <v>0</v>
      </c>
      <c r="R144" s="1">
        <f>MIN($B144,$D144,$F144,$H144,$J144,$L144,$N144,$P144)</f>
        <v>0</v>
      </c>
      <c r="S144" s="1">
        <f>MIN($C144,$E144,$G144,$I144,$K144,$M144,$O144,$Q144)</f>
        <v>0</v>
      </c>
      <c r="T144" s="1">
        <f>MEDIAN($B144,$D144,$F144,$H144,$J144,$L144,$N144,$P144)</f>
        <v>0</v>
      </c>
      <c r="U144" s="1">
        <f>MEDIAN($C144,$E144,$G144,$I144,$K144,$M144,$O144,$Q144)</f>
        <v>0</v>
      </c>
      <c r="V144" s="1">
        <f>MAX($B144,$D144,$F144,$H144,$J144,$L144,$N144,$P144)</f>
        <v>0</v>
      </c>
      <c r="W144" s="1">
        <f>MAX($C144,$E144,$G144,$I144,$K144,$M144,$O144,$Q144)</f>
        <v>0</v>
      </c>
    </row>
    <row r="145" spans="1:23">
      <c r="A145" s="1" t="s">
        <v>142</v>
      </c>
      <c r="B145" s="1"/>
      <c r="C145" s="2"/>
      <c r="D145" s="4">
        <v>1200</v>
      </c>
      <c r="E145" s="6">
        <v>1</v>
      </c>
      <c r="F145" s="4">
        <v>1200</v>
      </c>
      <c r="G145" s="6">
        <v>1</v>
      </c>
      <c r="H145" s="1"/>
      <c r="I145" s="2"/>
      <c r="J145" s="1">
        <v>86.67</v>
      </c>
      <c r="K145" s="2">
        <v>0</v>
      </c>
      <c r="L145" s="1">
        <v>84.68000000000001</v>
      </c>
      <c r="M145" s="2">
        <v>0</v>
      </c>
      <c r="N145" s="1">
        <v>20.32</v>
      </c>
      <c r="O145" s="2">
        <v>0</v>
      </c>
      <c r="P145" s="3">
        <v>10.5</v>
      </c>
      <c r="Q145" s="2">
        <v>0</v>
      </c>
      <c r="R145" s="1">
        <f>MIN($B145,$D145,$F145,$H145,$J145,$L145,$N145,$P145)</f>
        <v>0</v>
      </c>
      <c r="S145" s="1">
        <f>MIN($C145,$E145,$G145,$I145,$K145,$M145,$O145,$Q145)</f>
        <v>0</v>
      </c>
      <c r="T145" s="1">
        <f>MEDIAN($B145,$D145,$F145,$H145,$J145,$L145,$N145,$P145)</f>
        <v>0</v>
      </c>
      <c r="U145" s="1">
        <f>MEDIAN($C145,$E145,$G145,$I145,$K145,$M145,$O145,$Q145)</f>
        <v>0</v>
      </c>
      <c r="V145" s="1">
        <f>MAX($B145,$D145,$F145,$H145,$J145,$L145,$N145,$P145)</f>
        <v>0</v>
      </c>
      <c r="W145" s="1">
        <f>MAX($C145,$E145,$G145,$I145,$K145,$M145,$O145,$Q145)</f>
        <v>0</v>
      </c>
    </row>
    <row r="146" spans="1:23">
      <c r="A146" s="1" t="s">
        <v>143</v>
      </c>
      <c r="B146" s="1"/>
      <c r="C146" s="2"/>
      <c r="D146" s="1">
        <v>39.02</v>
      </c>
      <c r="E146" s="2">
        <v>0</v>
      </c>
      <c r="F146" s="4">
        <v>60.45</v>
      </c>
      <c r="G146" s="2">
        <v>0</v>
      </c>
      <c r="H146" s="1"/>
      <c r="I146" s="2"/>
      <c r="J146" s="1">
        <v>25.77</v>
      </c>
      <c r="K146" s="2">
        <v>0</v>
      </c>
      <c r="L146" s="1">
        <v>25.08</v>
      </c>
      <c r="M146" s="2">
        <v>0</v>
      </c>
      <c r="N146" s="1">
        <v>8.289999999999999</v>
      </c>
      <c r="O146" s="2">
        <v>0</v>
      </c>
      <c r="P146" s="3">
        <v>6.56</v>
      </c>
      <c r="Q146" s="2">
        <v>0</v>
      </c>
      <c r="R146" s="1">
        <f>MIN($B146,$D146,$F146,$H146,$J146,$L146,$N146,$P146)</f>
        <v>0</v>
      </c>
      <c r="S146" s="1">
        <f>MIN($C146,$E146,$G146,$I146,$K146,$M146,$O146,$Q146)</f>
        <v>0</v>
      </c>
      <c r="T146" s="1">
        <f>MEDIAN($B146,$D146,$F146,$H146,$J146,$L146,$N146,$P146)</f>
        <v>0</v>
      </c>
      <c r="U146" s="1">
        <f>MEDIAN($C146,$E146,$G146,$I146,$K146,$M146,$O146,$Q146)</f>
        <v>0</v>
      </c>
      <c r="V146" s="1">
        <f>MAX($B146,$D146,$F146,$H146,$J146,$L146,$N146,$P146)</f>
        <v>0</v>
      </c>
      <c r="W146" s="1">
        <f>MAX($C146,$E146,$G146,$I146,$K146,$M146,$O146,$Q146)</f>
        <v>0</v>
      </c>
    </row>
    <row r="147" spans="1:23">
      <c r="A147" s="1" t="s">
        <v>144</v>
      </c>
      <c r="B147" s="1"/>
      <c r="C147" s="2"/>
      <c r="D147" s="1">
        <v>90.11</v>
      </c>
      <c r="E147" s="2">
        <v>0</v>
      </c>
      <c r="F147" s="4">
        <v>92.20999999999999</v>
      </c>
      <c r="G147" s="2">
        <v>0</v>
      </c>
      <c r="H147" s="1"/>
      <c r="I147" s="2"/>
      <c r="J147" s="1">
        <v>27.11</v>
      </c>
      <c r="K147" s="2">
        <v>0</v>
      </c>
      <c r="L147" s="1">
        <v>26.28</v>
      </c>
      <c r="M147" s="2">
        <v>0</v>
      </c>
      <c r="N147" s="3">
        <v>8.09</v>
      </c>
      <c r="O147" s="2">
        <v>0</v>
      </c>
      <c r="P147" s="1">
        <v>8.41</v>
      </c>
      <c r="Q147" s="2">
        <v>0</v>
      </c>
      <c r="R147" s="1">
        <f>MIN($B147,$D147,$F147,$H147,$J147,$L147,$N147,$P147)</f>
        <v>0</v>
      </c>
      <c r="S147" s="1">
        <f>MIN($C147,$E147,$G147,$I147,$K147,$M147,$O147,$Q147)</f>
        <v>0</v>
      </c>
      <c r="T147" s="1">
        <f>MEDIAN($B147,$D147,$F147,$H147,$J147,$L147,$N147,$P147)</f>
        <v>0</v>
      </c>
      <c r="U147" s="1">
        <f>MEDIAN($C147,$E147,$G147,$I147,$K147,$M147,$O147,$Q147)</f>
        <v>0</v>
      </c>
      <c r="V147" s="1">
        <f>MAX($B147,$D147,$F147,$H147,$J147,$L147,$N147,$P147)</f>
        <v>0</v>
      </c>
      <c r="W147" s="1">
        <f>MAX($C147,$E147,$G147,$I147,$K147,$M147,$O147,$Q147)</f>
        <v>0</v>
      </c>
    </row>
    <row r="148" spans="1:23">
      <c r="A148" s="1" t="s">
        <v>145</v>
      </c>
      <c r="B148" s="1"/>
      <c r="C148" s="2"/>
      <c r="D148" s="1">
        <v>86.52</v>
      </c>
      <c r="E148" s="2">
        <v>0</v>
      </c>
      <c r="F148" s="4">
        <v>117.72</v>
      </c>
      <c r="G148" s="2">
        <v>0</v>
      </c>
      <c r="H148" s="1"/>
      <c r="I148" s="2"/>
      <c r="J148" s="1">
        <v>30.23</v>
      </c>
      <c r="K148" s="2">
        <v>0</v>
      </c>
      <c r="L148" s="1">
        <v>30.23</v>
      </c>
      <c r="M148" s="2">
        <v>0</v>
      </c>
      <c r="N148" s="1">
        <v>8.720000000000001</v>
      </c>
      <c r="O148" s="2">
        <v>0</v>
      </c>
      <c r="P148" s="3">
        <v>6.86</v>
      </c>
      <c r="Q148" s="2">
        <v>0</v>
      </c>
      <c r="R148" s="1">
        <f>MIN($B148,$D148,$F148,$H148,$J148,$L148,$N148,$P148)</f>
        <v>0</v>
      </c>
      <c r="S148" s="1">
        <f>MIN($C148,$E148,$G148,$I148,$K148,$M148,$O148,$Q148)</f>
        <v>0</v>
      </c>
      <c r="T148" s="1">
        <f>MEDIAN($B148,$D148,$F148,$H148,$J148,$L148,$N148,$P148)</f>
        <v>0</v>
      </c>
      <c r="U148" s="1">
        <f>MEDIAN($C148,$E148,$G148,$I148,$K148,$M148,$O148,$Q148)</f>
        <v>0</v>
      </c>
      <c r="V148" s="1">
        <f>MAX($B148,$D148,$F148,$H148,$J148,$L148,$N148,$P148)</f>
        <v>0</v>
      </c>
      <c r="W148" s="1">
        <f>MAX($C148,$E148,$G148,$I148,$K148,$M148,$O148,$Q148)</f>
        <v>0</v>
      </c>
    </row>
    <row r="149" spans="1:23">
      <c r="A149" s="1" t="s">
        <v>146</v>
      </c>
      <c r="B149" s="1"/>
      <c r="C149" s="2"/>
      <c r="D149" s="1">
        <v>191.78</v>
      </c>
      <c r="E149" s="2">
        <v>0</v>
      </c>
      <c r="F149" s="4">
        <v>222.15</v>
      </c>
      <c r="G149" s="2">
        <v>0</v>
      </c>
      <c r="H149" s="1"/>
      <c r="I149" s="2"/>
      <c r="J149" s="1">
        <v>27.64</v>
      </c>
      <c r="K149" s="2">
        <v>0</v>
      </c>
      <c r="L149" s="1">
        <v>30.89</v>
      </c>
      <c r="M149" s="2">
        <v>0</v>
      </c>
      <c r="N149" s="1">
        <v>8.380000000000001</v>
      </c>
      <c r="O149" s="2">
        <v>0</v>
      </c>
      <c r="P149" s="3">
        <v>6.88</v>
      </c>
      <c r="Q149" s="2">
        <v>0</v>
      </c>
      <c r="R149" s="1">
        <f>MIN($B149,$D149,$F149,$H149,$J149,$L149,$N149,$P149)</f>
        <v>0</v>
      </c>
      <c r="S149" s="1">
        <f>MIN($C149,$E149,$G149,$I149,$K149,$M149,$O149,$Q149)</f>
        <v>0</v>
      </c>
      <c r="T149" s="1">
        <f>MEDIAN($B149,$D149,$F149,$H149,$J149,$L149,$N149,$P149)</f>
        <v>0</v>
      </c>
      <c r="U149" s="1">
        <f>MEDIAN($C149,$E149,$G149,$I149,$K149,$M149,$O149,$Q149)</f>
        <v>0</v>
      </c>
      <c r="V149" s="1">
        <f>MAX($B149,$D149,$F149,$H149,$J149,$L149,$N149,$P149)</f>
        <v>0</v>
      </c>
      <c r="W149" s="1">
        <f>MAX($C149,$E149,$G149,$I149,$K149,$M149,$O149,$Q149)</f>
        <v>0</v>
      </c>
    </row>
    <row r="150" spans="1:23">
      <c r="A150" s="1" t="s">
        <v>147</v>
      </c>
      <c r="B150" s="1"/>
      <c r="C150" s="2"/>
      <c r="D150" s="1">
        <v>516.6</v>
      </c>
      <c r="E150" s="2">
        <v>0</v>
      </c>
      <c r="F150" s="4">
        <v>537.71</v>
      </c>
      <c r="G150" s="2">
        <v>0</v>
      </c>
      <c r="H150" s="1"/>
      <c r="I150" s="2"/>
      <c r="J150" s="1">
        <v>27.71</v>
      </c>
      <c r="K150" s="2">
        <v>0</v>
      </c>
      <c r="L150" s="1">
        <v>35.93</v>
      </c>
      <c r="M150" s="2">
        <v>0</v>
      </c>
      <c r="N150" s="1">
        <v>8.66</v>
      </c>
      <c r="O150" s="2">
        <v>0</v>
      </c>
      <c r="P150" s="3">
        <v>7.44</v>
      </c>
      <c r="Q150" s="2">
        <v>0</v>
      </c>
      <c r="R150" s="1">
        <f>MIN($B150,$D150,$F150,$H150,$J150,$L150,$N150,$P150)</f>
        <v>0</v>
      </c>
      <c r="S150" s="1">
        <f>MIN($C150,$E150,$G150,$I150,$K150,$M150,$O150,$Q150)</f>
        <v>0</v>
      </c>
      <c r="T150" s="1">
        <f>MEDIAN($B150,$D150,$F150,$H150,$J150,$L150,$N150,$P150)</f>
        <v>0</v>
      </c>
      <c r="U150" s="1">
        <f>MEDIAN($C150,$E150,$G150,$I150,$K150,$M150,$O150,$Q150)</f>
        <v>0</v>
      </c>
      <c r="V150" s="1">
        <f>MAX($B150,$D150,$F150,$H150,$J150,$L150,$N150,$P150)</f>
        <v>0</v>
      </c>
      <c r="W150" s="1">
        <f>MAX($C150,$E150,$G150,$I150,$K150,$M150,$O150,$Q150)</f>
        <v>0</v>
      </c>
    </row>
    <row r="151" spans="1:23">
      <c r="A151" s="1" t="s">
        <v>148</v>
      </c>
      <c r="B151" s="1"/>
      <c r="C151" s="2"/>
      <c r="D151" s="4">
        <v>1200</v>
      </c>
      <c r="E151" s="6">
        <v>1</v>
      </c>
      <c r="F151" s="4">
        <v>1200</v>
      </c>
      <c r="G151" s="6">
        <v>1</v>
      </c>
      <c r="H151" s="1"/>
      <c r="I151" s="2"/>
      <c r="J151" s="1">
        <v>28.1</v>
      </c>
      <c r="K151" s="2">
        <v>0</v>
      </c>
      <c r="L151" s="1">
        <v>36.33</v>
      </c>
      <c r="M151" s="2">
        <v>0</v>
      </c>
      <c r="N151" s="1">
        <v>7.81</v>
      </c>
      <c r="O151" s="2">
        <v>0</v>
      </c>
      <c r="P151" s="3">
        <v>6.9</v>
      </c>
      <c r="Q151" s="2">
        <v>0</v>
      </c>
      <c r="R151" s="1">
        <f>MIN($B151,$D151,$F151,$H151,$J151,$L151,$N151,$P151)</f>
        <v>0</v>
      </c>
      <c r="S151" s="1">
        <f>MIN($C151,$E151,$G151,$I151,$K151,$M151,$O151,$Q151)</f>
        <v>0</v>
      </c>
      <c r="T151" s="1">
        <f>MEDIAN($B151,$D151,$F151,$H151,$J151,$L151,$N151,$P151)</f>
        <v>0</v>
      </c>
      <c r="U151" s="1">
        <f>MEDIAN($C151,$E151,$G151,$I151,$K151,$M151,$O151,$Q151)</f>
        <v>0</v>
      </c>
      <c r="V151" s="1">
        <f>MAX($B151,$D151,$F151,$H151,$J151,$L151,$N151,$P151)</f>
        <v>0</v>
      </c>
      <c r="W151" s="1">
        <f>MAX($C151,$E151,$G151,$I151,$K151,$M151,$O151,$Q151)</f>
        <v>0</v>
      </c>
    </row>
    <row r="152" spans="1:23">
      <c r="A152" s="1" t="s">
        <v>149</v>
      </c>
      <c r="B152" s="1"/>
      <c r="C152" s="2"/>
      <c r="D152" s="4">
        <v>1200</v>
      </c>
      <c r="E152" s="6">
        <v>1</v>
      </c>
      <c r="F152" s="4">
        <v>1200</v>
      </c>
      <c r="G152" s="6">
        <v>1</v>
      </c>
      <c r="H152" s="1"/>
      <c r="I152" s="2"/>
      <c r="J152" s="1">
        <v>36.9</v>
      </c>
      <c r="K152" s="2">
        <v>0</v>
      </c>
      <c r="L152" s="1">
        <v>40.78</v>
      </c>
      <c r="M152" s="2">
        <v>0</v>
      </c>
      <c r="N152" s="1">
        <v>8.65</v>
      </c>
      <c r="O152" s="2">
        <v>0</v>
      </c>
      <c r="P152" s="3">
        <v>7.72</v>
      </c>
      <c r="Q152" s="2">
        <v>0</v>
      </c>
      <c r="R152" s="1">
        <f>MIN($B152,$D152,$F152,$H152,$J152,$L152,$N152,$P152)</f>
        <v>0</v>
      </c>
      <c r="S152" s="1">
        <f>MIN($C152,$E152,$G152,$I152,$K152,$M152,$O152,$Q152)</f>
        <v>0</v>
      </c>
      <c r="T152" s="1">
        <f>MEDIAN($B152,$D152,$F152,$H152,$J152,$L152,$N152,$P152)</f>
        <v>0</v>
      </c>
      <c r="U152" s="1">
        <f>MEDIAN($C152,$E152,$G152,$I152,$K152,$M152,$O152,$Q152)</f>
        <v>0</v>
      </c>
      <c r="V152" s="1">
        <f>MAX($B152,$D152,$F152,$H152,$J152,$L152,$N152,$P152)</f>
        <v>0</v>
      </c>
      <c r="W152" s="1">
        <f>MAX($C152,$E152,$G152,$I152,$K152,$M152,$O152,$Q152)</f>
        <v>0</v>
      </c>
    </row>
    <row r="153" spans="1:23">
      <c r="A153" s="1" t="s">
        <v>150</v>
      </c>
      <c r="B153" s="1"/>
      <c r="C153" s="2"/>
      <c r="D153" s="4">
        <v>1200</v>
      </c>
      <c r="E153" s="6">
        <v>1</v>
      </c>
      <c r="F153" s="4">
        <v>1200</v>
      </c>
      <c r="G153" s="6">
        <v>1</v>
      </c>
      <c r="H153" s="1"/>
      <c r="I153" s="2"/>
      <c r="J153" s="1">
        <v>29.84</v>
      </c>
      <c r="K153" s="2">
        <v>0</v>
      </c>
      <c r="L153" s="1">
        <v>42.07</v>
      </c>
      <c r="M153" s="2">
        <v>0</v>
      </c>
      <c r="N153" s="1">
        <v>9.94</v>
      </c>
      <c r="O153" s="2">
        <v>0</v>
      </c>
      <c r="P153" s="3">
        <v>7.59</v>
      </c>
      <c r="Q153" s="2">
        <v>0</v>
      </c>
      <c r="R153" s="1">
        <f>MIN($B153,$D153,$F153,$H153,$J153,$L153,$N153,$P153)</f>
        <v>0</v>
      </c>
      <c r="S153" s="1">
        <f>MIN($C153,$E153,$G153,$I153,$K153,$M153,$O153,$Q153)</f>
        <v>0</v>
      </c>
      <c r="T153" s="1">
        <f>MEDIAN($B153,$D153,$F153,$H153,$J153,$L153,$N153,$P153)</f>
        <v>0</v>
      </c>
      <c r="U153" s="1">
        <f>MEDIAN($C153,$E153,$G153,$I153,$K153,$M153,$O153,$Q153)</f>
        <v>0</v>
      </c>
      <c r="V153" s="1">
        <f>MAX($B153,$D153,$F153,$H153,$J153,$L153,$N153,$P153)</f>
        <v>0</v>
      </c>
      <c r="W153" s="1">
        <f>MAX($C153,$E153,$G153,$I153,$K153,$M153,$O153,$Q153)</f>
        <v>0</v>
      </c>
    </row>
    <row r="154" spans="1:23">
      <c r="A154" s="1" t="s">
        <v>151</v>
      </c>
      <c r="B154" s="1"/>
      <c r="C154" s="2"/>
      <c r="D154" s="1">
        <v>538.3200000000001</v>
      </c>
      <c r="E154" s="2">
        <v>0</v>
      </c>
      <c r="F154" s="4">
        <v>565.45</v>
      </c>
      <c r="G154" s="2">
        <v>0</v>
      </c>
      <c r="H154" s="1"/>
      <c r="I154" s="2"/>
      <c r="J154" s="1">
        <v>27.74</v>
      </c>
      <c r="K154" s="2">
        <v>0</v>
      </c>
      <c r="L154" s="1">
        <v>34.4</v>
      </c>
      <c r="M154" s="2">
        <v>0</v>
      </c>
      <c r="N154" s="3">
        <v>5.87</v>
      </c>
      <c r="O154" s="2">
        <v>0</v>
      </c>
      <c r="P154" s="1">
        <v>9.779999999999999</v>
      </c>
      <c r="Q154" s="2">
        <v>0</v>
      </c>
      <c r="R154" s="1">
        <f>MIN($B154,$D154,$F154,$H154,$J154,$L154,$N154,$P154)</f>
        <v>0</v>
      </c>
      <c r="S154" s="1">
        <f>MIN($C154,$E154,$G154,$I154,$K154,$M154,$O154,$Q154)</f>
        <v>0</v>
      </c>
      <c r="T154" s="1">
        <f>MEDIAN($B154,$D154,$F154,$H154,$J154,$L154,$N154,$P154)</f>
        <v>0</v>
      </c>
      <c r="U154" s="1">
        <f>MEDIAN($C154,$E154,$G154,$I154,$K154,$M154,$O154,$Q154)</f>
        <v>0</v>
      </c>
      <c r="V154" s="1">
        <f>MAX($B154,$D154,$F154,$H154,$J154,$L154,$N154,$P154)</f>
        <v>0</v>
      </c>
      <c r="W154" s="1">
        <f>MAX($C154,$E154,$G154,$I154,$K154,$M154,$O154,$Q154)</f>
        <v>0</v>
      </c>
    </row>
    <row r="155" spans="1:23">
      <c r="A155" s="1" t="s">
        <v>152</v>
      </c>
      <c r="B155" s="1"/>
      <c r="C155" s="2"/>
      <c r="D155" s="1">
        <v>814.02</v>
      </c>
      <c r="E155" s="2">
        <v>0</v>
      </c>
      <c r="F155" s="4">
        <v>935.97</v>
      </c>
      <c r="G155" s="2">
        <v>0</v>
      </c>
      <c r="H155" s="1"/>
      <c r="I155" s="2"/>
      <c r="J155" s="1">
        <v>28.05</v>
      </c>
      <c r="K155" s="2">
        <v>0</v>
      </c>
      <c r="L155" s="1">
        <v>35.8</v>
      </c>
      <c r="M155" s="2">
        <v>0</v>
      </c>
      <c r="N155" s="1">
        <v>10.24</v>
      </c>
      <c r="O155" s="2">
        <v>0</v>
      </c>
      <c r="P155" s="3">
        <v>8.970000000000001</v>
      </c>
      <c r="Q155" s="2">
        <v>0</v>
      </c>
      <c r="R155" s="1">
        <f>MIN($B155,$D155,$F155,$H155,$J155,$L155,$N155,$P155)</f>
        <v>0</v>
      </c>
      <c r="S155" s="1">
        <f>MIN($C155,$E155,$G155,$I155,$K155,$M155,$O155,$Q155)</f>
        <v>0</v>
      </c>
      <c r="T155" s="1">
        <f>MEDIAN($B155,$D155,$F155,$H155,$J155,$L155,$N155,$P155)</f>
        <v>0</v>
      </c>
      <c r="U155" s="1">
        <f>MEDIAN($C155,$E155,$G155,$I155,$K155,$M155,$O155,$Q155)</f>
        <v>0</v>
      </c>
      <c r="V155" s="1">
        <f>MAX($B155,$D155,$F155,$H155,$J155,$L155,$N155,$P155)</f>
        <v>0</v>
      </c>
      <c r="W155" s="1">
        <f>MAX($C155,$E155,$G155,$I155,$K155,$M155,$O155,$Q155)</f>
        <v>0</v>
      </c>
    </row>
    <row r="156" spans="1:23">
      <c r="A156" s="1" t="s">
        <v>153</v>
      </c>
      <c r="B156" s="1"/>
      <c r="C156" s="2"/>
      <c r="D156" s="4">
        <v>1200</v>
      </c>
      <c r="E156" s="6">
        <v>1</v>
      </c>
      <c r="F156" s="4">
        <v>1200</v>
      </c>
      <c r="G156" s="6">
        <v>1</v>
      </c>
      <c r="H156" s="1"/>
      <c r="I156" s="2"/>
      <c r="J156" s="1">
        <v>76.89</v>
      </c>
      <c r="K156" s="2">
        <v>0</v>
      </c>
      <c r="L156" s="1">
        <v>82.68000000000001</v>
      </c>
      <c r="M156" s="2">
        <v>0</v>
      </c>
      <c r="N156" s="1">
        <v>30.84</v>
      </c>
      <c r="O156" s="2">
        <v>0</v>
      </c>
      <c r="P156" s="3">
        <v>7.41</v>
      </c>
      <c r="Q156" s="2">
        <v>0</v>
      </c>
      <c r="R156" s="1">
        <f>MIN($B156,$D156,$F156,$H156,$J156,$L156,$N156,$P156)</f>
        <v>0</v>
      </c>
      <c r="S156" s="1">
        <f>MIN($C156,$E156,$G156,$I156,$K156,$M156,$O156,$Q156)</f>
        <v>0</v>
      </c>
      <c r="T156" s="1">
        <f>MEDIAN($B156,$D156,$F156,$H156,$J156,$L156,$N156,$P156)</f>
        <v>0</v>
      </c>
      <c r="U156" s="1">
        <f>MEDIAN($C156,$E156,$G156,$I156,$K156,$M156,$O156,$Q156)</f>
        <v>0</v>
      </c>
      <c r="V156" s="1">
        <f>MAX($B156,$D156,$F156,$H156,$J156,$L156,$N156,$P156)</f>
        <v>0</v>
      </c>
      <c r="W156" s="1">
        <f>MAX($C156,$E156,$G156,$I156,$K156,$M156,$O156,$Q156)</f>
        <v>0</v>
      </c>
    </row>
    <row r="157" spans="1:23">
      <c r="A157" s="1" t="s">
        <v>154</v>
      </c>
      <c r="B157" s="1"/>
      <c r="C157" s="2"/>
      <c r="D157" s="4">
        <v>1200</v>
      </c>
      <c r="E157" s="6">
        <v>1</v>
      </c>
      <c r="F157" s="4">
        <v>1200</v>
      </c>
      <c r="G157" s="6">
        <v>1</v>
      </c>
      <c r="H157" s="1"/>
      <c r="I157" s="2"/>
      <c r="J157" s="1">
        <v>80.3</v>
      </c>
      <c r="K157" s="2">
        <v>0</v>
      </c>
      <c r="L157" s="1">
        <v>115.16</v>
      </c>
      <c r="M157" s="2">
        <v>0</v>
      </c>
      <c r="N157" s="1">
        <v>30.65</v>
      </c>
      <c r="O157" s="2">
        <v>0</v>
      </c>
      <c r="P157" s="3">
        <v>14.74</v>
      </c>
      <c r="Q157" s="2">
        <v>0</v>
      </c>
      <c r="R157" s="1">
        <f>MIN($B157,$D157,$F157,$H157,$J157,$L157,$N157,$P157)</f>
        <v>0</v>
      </c>
      <c r="S157" s="1">
        <f>MIN($C157,$E157,$G157,$I157,$K157,$M157,$O157,$Q157)</f>
        <v>0</v>
      </c>
      <c r="T157" s="1">
        <f>MEDIAN($B157,$D157,$F157,$H157,$J157,$L157,$N157,$P157)</f>
        <v>0</v>
      </c>
      <c r="U157" s="1">
        <f>MEDIAN($C157,$E157,$G157,$I157,$K157,$M157,$O157,$Q157)</f>
        <v>0</v>
      </c>
      <c r="V157" s="1">
        <f>MAX($B157,$D157,$F157,$H157,$J157,$L157,$N157,$P157)</f>
        <v>0</v>
      </c>
      <c r="W157" s="1">
        <f>MAX($C157,$E157,$G157,$I157,$K157,$M157,$O157,$Q157)</f>
        <v>0</v>
      </c>
    </row>
    <row r="158" spans="1:23">
      <c r="A158" s="1" t="s">
        <v>155</v>
      </c>
      <c r="B158" s="1"/>
      <c r="C158" s="2"/>
      <c r="D158" s="4">
        <v>1200</v>
      </c>
      <c r="E158" s="6">
        <v>1</v>
      </c>
      <c r="F158" s="4">
        <v>1200</v>
      </c>
      <c r="G158" s="6">
        <v>1</v>
      </c>
      <c r="H158" s="1"/>
      <c r="I158" s="2"/>
      <c r="J158" s="1">
        <v>82.78</v>
      </c>
      <c r="K158" s="2">
        <v>0</v>
      </c>
      <c r="L158" s="1">
        <v>127.22</v>
      </c>
      <c r="M158" s="2">
        <v>0</v>
      </c>
      <c r="N158" s="1">
        <v>27.58</v>
      </c>
      <c r="O158" s="2">
        <v>0</v>
      </c>
      <c r="P158" s="3">
        <v>13.12</v>
      </c>
      <c r="Q158" s="2">
        <v>0</v>
      </c>
      <c r="R158" s="1">
        <f>MIN($B158,$D158,$F158,$H158,$J158,$L158,$N158,$P158)</f>
        <v>0</v>
      </c>
      <c r="S158" s="1">
        <f>MIN($C158,$E158,$G158,$I158,$K158,$M158,$O158,$Q158)</f>
        <v>0</v>
      </c>
      <c r="T158" s="1">
        <f>MEDIAN($B158,$D158,$F158,$H158,$J158,$L158,$N158,$P158)</f>
        <v>0</v>
      </c>
      <c r="U158" s="1">
        <f>MEDIAN($C158,$E158,$G158,$I158,$K158,$M158,$O158,$Q158)</f>
        <v>0</v>
      </c>
      <c r="V158" s="1">
        <f>MAX($B158,$D158,$F158,$H158,$J158,$L158,$N158,$P158)</f>
        <v>0</v>
      </c>
      <c r="W158" s="1">
        <f>MAX($C158,$E158,$G158,$I158,$K158,$M158,$O158,$Q158)</f>
        <v>0</v>
      </c>
    </row>
    <row r="159" spans="1:23">
      <c r="A159" s="1" t="s">
        <v>156</v>
      </c>
      <c r="B159" s="1"/>
      <c r="C159" s="2"/>
      <c r="D159" s="4">
        <v>1200</v>
      </c>
      <c r="E159" s="6">
        <v>1</v>
      </c>
      <c r="F159" s="4">
        <v>1200</v>
      </c>
      <c r="G159" s="6">
        <v>1</v>
      </c>
      <c r="H159" s="1"/>
      <c r="I159" s="2"/>
      <c r="J159" s="1">
        <v>86.44</v>
      </c>
      <c r="K159" s="2">
        <v>0</v>
      </c>
      <c r="L159" s="1">
        <v>109.83</v>
      </c>
      <c r="M159" s="2">
        <v>0</v>
      </c>
      <c r="N159" s="1">
        <v>22.56</v>
      </c>
      <c r="O159" s="2">
        <v>0</v>
      </c>
      <c r="P159" s="3">
        <v>13.56</v>
      </c>
      <c r="Q159" s="2">
        <v>0</v>
      </c>
      <c r="R159" s="1">
        <f>MIN($B159,$D159,$F159,$H159,$J159,$L159,$N159,$P159)</f>
        <v>0</v>
      </c>
      <c r="S159" s="1">
        <f>MIN($C159,$E159,$G159,$I159,$K159,$M159,$O159,$Q159)</f>
        <v>0</v>
      </c>
      <c r="T159" s="1">
        <f>MEDIAN($B159,$D159,$F159,$H159,$J159,$L159,$N159,$P159)</f>
        <v>0</v>
      </c>
      <c r="U159" s="1">
        <f>MEDIAN($C159,$E159,$G159,$I159,$K159,$M159,$O159,$Q159)</f>
        <v>0</v>
      </c>
      <c r="V159" s="1">
        <f>MAX($B159,$D159,$F159,$H159,$J159,$L159,$N159,$P159)</f>
        <v>0</v>
      </c>
      <c r="W159" s="1">
        <f>MAX($C159,$E159,$G159,$I159,$K159,$M159,$O159,$Q159)</f>
        <v>0</v>
      </c>
    </row>
    <row r="160" spans="1:23">
      <c r="A160" s="1" t="s">
        <v>157</v>
      </c>
      <c r="B160" s="1"/>
      <c r="C160" s="2"/>
      <c r="D160" s="4">
        <v>1200</v>
      </c>
      <c r="E160" s="6">
        <v>1</v>
      </c>
      <c r="F160" s="4">
        <v>1200</v>
      </c>
      <c r="G160" s="6">
        <v>1</v>
      </c>
      <c r="H160" s="1"/>
      <c r="I160" s="2"/>
      <c r="J160" s="1">
        <v>85.34999999999999</v>
      </c>
      <c r="K160" s="2">
        <v>0</v>
      </c>
      <c r="L160" s="1">
        <v>113.67</v>
      </c>
      <c r="M160" s="2">
        <v>0</v>
      </c>
      <c r="N160" s="1">
        <v>23.21</v>
      </c>
      <c r="O160" s="2">
        <v>0</v>
      </c>
      <c r="P160" s="3">
        <v>16.17</v>
      </c>
      <c r="Q160" s="2">
        <v>0</v>
      </c>
      <c r="R160" s="1">
        <f>MIN($B160,$D160,$F160,$H160,$J160,$L160,$N160,$P160)</f>
        <v>0</v>
      </c>
      <c r="S160" s="1">
        <f>MIN($C160,$E160,$G160,$I160,$K160,$M160,$O160,$Q160)</f>
        <v>0</v>
      </c>
      <c r="T160" s="1">
        <f>MEDIAN($B160,$D160,$F160,$H160,$J160,$L160,$N160,$P160)</f>
        <v>0</v>
      </c>
      <c r="U160" s="1">
        <f>MEDIAN($C160,$E160,$G160,$I160,$K160,$M160,$O160,$Q160)</f>
        <v>0</v>
      </c>
      <c r="V160" s="1">
        <f>MAX($B160,$D160,$F160,$H160,$J160,$L160,$N160,$P160)</f>
        <v>0</v>
      </c>
      <c r="W160" s="1">
        <f>MAX($C160,$E160,$G160,$I160,$K160,$M160,$O160,$Q160)</f>
        <v>0</v>
      </c>
    </row>
    <row r="161" spans="1:23">
      <c r="A161" s="1" t="s">
        <v>158</v>
      </c>
      <c r="B161" s="1"/>
      <c r="C161" s="2"/>
      <c r="D161" s="4">
        <v>1200</v>
      </c>
      <c r="E161" s="6">
        <v>1</v>
      </c>
      <c r="F161" s="4">
        <v>1200</v>
      </c>
      <c r="G161" s="6">
        <v>1</v>
      </c>
      <c r="H161" s="1"/>
      <c r="I161" s="2"/>
      <c r="J161" s="1">
        <v>85.8</v>
      </c>
      <c r="K161" s="2">
        <v>0</v>
      </c>
      <c r="L161" s="1">
        <v>116.27</v>
      </c>
      <c r="M161" s="2">
        <v>0</v>
      </c>
      <c r="N161" s="1">
        <v>28.89</v>
      </c>
      <c r="O161" s="2">
        <v>0</v>
      </c>
      <c r="P161" s="3">
        <v>14.75</v>
      </c>
      <c r="Q161" s="2">
        <v>0</v>
      </c>
      <c r="R161" s="1">
        <f>MIN($B161,$D161,$F161,$H161,$J161,$L161,$N161,$P161)</f>
        <v>0</v>
      </c>
      <c r="S161" s="1">
        <f>MIN($C161,$E161,$G161,$I161,$K161,$M161,$O161,$Q161)</f>
        <v>0</v>
      </c>
      <c r="T161" s="1">
        <f>MEDIAN($B161,$D161,$F161,$H161,$J161,$L161,$N161,$P161)</f>
        <v>0</v>
      </c>
      <c r="U161" s="1">
        <f>MEDIAN($C161,$E161,$G161,$I161,$K161,$M161,$O161,$Q161)</f>
        <v>0</v>
      </c>
      <c r="V161" s="1">
        <f>MAX($B161,$D161,$F161,$H161,$J161,$L161,$N161,$P161)</f>
        <v>0</v>
      </c>
      <c r="W161" s="1">
        <f>MAX($C161,$E161,$G161,$I161,$K161,$M161,$O161,$Q161)</f>
        <v>0</v>
      </c>
    </row>
    <row r="162" spans="1:23">
      <c r="A162" s="1" t="s">
        <v>159</v>
      </c>
      <c r="B162" s="1"/>
      <c r="C162" s="2"/>
      <c r="D162" s="4">
        <v>1200</v>
      </c>
      <c r="E162" s="6">
        <v>1</v>
      </c>
      <c r="F162" s="4">
        <v>1200</v>
      </c>
      <c r="G162" s="6">
        <v>1</v>
      </c>
      <c r="H162" s="1"/>
      <c r="I162" s="2"/>
      <c r="J162" s="1">
        <v>87.68000000000001</v>
      </c>
      <c r="K162" s="2">
        <v>0</v>
      </c>
      <c r="L162" s="1">
        <v>118.21</v>
      </c>
      <c r="M162" s="2">
        <v>0</v>
      </c>
      <c r="N162" s="1">
        <v>29.04</v>
      </c>
      <c r="O162" s="2">
        <v>0</v>
      </c>
      <c r="P162" s="3">
        <v>14.03</v>
      </c>
      <c r="Q162" s="2">
        <v>0</v>
      </c>
      <c r="R162" s="1">
        <f>MIN($B162,$D162,$F162,$H162,$J162,$L162,$N162,$P162)</f>
        <v>0</v>
      </c>
      <c r="S162" s="1">
        <f>MIN($C162,$E162,$G162,$I162,$K162,$M162,$O162,$Q162)</f>
        <v>0</v>
      </c>
      <c r="T162" s="1">
        <f>MEDIAN($B162,$D162,$F162,$H162,$J162,$L162,$N162,$P162)</f>
        <v>0</v>
      </c>
      <c r="U162" s="1">
        <f>MEDIAN($C162,$E162,$G162,$I162,$K162,$M162,$O162,$Q162)</f>
        <v>0</v>
      </c>
      <c r="V162" s="1">
        <f>MAX($B162,$D162,$F162,$H162,$J162,$L162,$N162,$P162)</f>
        <v>0</v>
      </c>
      <c r="W162" s="1">
        <f>MAX($C162,$E162,$G162,$I162,$K162,$M162,$O162,$Q162)</f>
        <v>0</v>
      </c>
    </row>
    <row r="163" spans="1:23">
      <c r="A163" s="1" t="s">
        <v>160</v>
      </c>
      <c r="B163" s="1"/>
      <c r="C163" s="2"/>
      <c r="D163" s="4">
        <v>1200</v>
      </c>
      <c r="E163" s="6">
        <v>1</v>
      </c>
      <c r="F163" s="4">
        <v>1200</v>
      </c>
      <c r="G163" s="6">
        <v>1</v>
      </c>
      <c r="H163" s="1"/>
      <c r="I163" s="2"/>
      <c r="J163" s="1">
        <v>88.42</v>
      </c>
      <c r="K163" s="2">
        <v>0</v>
      </c>
      <c r="L163" s="1">
        <v>129.16</v>
      </c>
      <c r="M163" s="2">
        <v>0</v>
      </c>
      <c r="N163" s="1">
        <v>31.43</v>
      </c>
      <c r="O163" s="2">
        <v>0</v>
      </c>
      <c r="P163" s="3">
        <v>15.23</v>
      </c>
      <c r="Q163" s="2">
        <v>0</v>
      </c>
      <c r="R163" s="1">
        <f>MIN($B163,$D163,$F163,$H163,$J163,$L163,$N163,$P163)</f>
        <v>0</v>
      </c>
      <c r="S163" s="1">
        <f>MIN($C163,$E163,$G163,$I163,$K163,$M163,$O163,$Q163)</f>
        <v>0</v>
      </c>
      <c r="T163" s="1">
        <f>MEDIAN($B163,$D163,$F163,$H163,$J163,$L163,$N163,$P163)</f>
        <v>0</v>
      </c>
      <c r="U163" s="1">
        <f>MEDIAN($C163,$E163,$G163,$I163,$K163,$M163,$O163,$Q163)</f>
        <v>0</v>
      </c>
      <c r="V163" s="1">
        <f>MAX($B163,$D163,$F163,$H163,$J163,$L163,$N163,$P163)</f>
        <v>0</v>
      </c>
      <c r="W163" s="1">
        <f>MAX($C163,$E163,$G163,$I163,$K163,$M163,$O163,$Q163)</f>
        <v>0</v>
      </c>
    </row>
    <row r="164" spans="1:23">
      <c r="A164" s="1" t="s">
        <v>161</v>
      </c>
      <c r="B164" s="1"/>
      <c r="C164" s="2"/>
      <c r="D164" s="4">
        <v>1200</v>
      </c>
      <c r="E164" s="6">
        <v>1</v>
      </c>
      <c r="F164" s="4">
        <v>1200</v>
      </c>
      <c r="G164" s="6">
        <v>1</v>
      </c>
      <c r="H164" s="1"/>
      <c r="I164" s="2"/>
      <c r="J164" s="1">
        <v>105.24</v>
      </c>
      <c r="K164" s="2">
        <v>0</v>
      </c>
      <c r="L164" s="1">
        <v>144.61</v>
      </c>
      <c r="M164" s="2">
        <v>0</v>
      </c>
      <c r="N164" s="1">
        <v>29.2</v>
      </c>
      <c r="O164" s="2">
        <v>0</v>
      </c>
      <c r="P164" s="3">
        <v>19.67</v>
      </c>
      <c r="Q164" s="2">
        <v>0</v>
      </c>
      <c r="R164" s="1">
        <f>MIN($B164,$D164,$F164,$H164,$J164,$L164,$N164,$P164)</f>
        <v>0</v>
      </c>
      <c r="S164" s="1">
        <f>MIN($C164,$E164,$G164,$I164,$K164,$M164,$O164,$Q164)</f>
        <v>0</v>
      </c>
      <c r="T164" s="1">
        <f>MEDIAN($B164,$D164,$F164,$H164,$J164,$L164,$N164,$P164)</f>
        <v>0</v>
      </c>
      <c r="U164" s="1">
        <f>MEDIAN($C164,$E164,$G164,$I164,$K164,$M164,$O164,$Q164)</f>
        <v>0</v>
      </c>
      <c r="V164" s="1">
        <f>MAX($B164,$D164,$F164,$H164,$J164,$L164,$N164,$P164)</f>
        <v>0</v>
      </c>
      <c r="W164" s="1">
        <f>MAX($C164,$E164,$G164,$I164,$K164,$M164,$O164,$Q164)</f>
        <v>0</v>
      </c>
    </row>
    <row r="165" spans="1:23">
      <c r="A165" s="1" t="s">
        <v>162</v>
      </c>
      <c r="B165" s="1"/>
      <c r="C165" s="2"/>
      <c r="D165" s="4">
        <v>1200</v>
      </c>
      <c r="E165" s="6">
        <v>1</v>
      </c>
      <c r="F165" s="4">
        <v>1200</v>
      </c>
      <c r="G165" s="6">
        <v>1</v>
      </c>
      <c r="H165" s="1"/>
      <c r="I165" s="2"/>
      <c r="J165" s="1">
        <v>106.67</v>
      </c>
      <c r="K165" s="2">
        <v>0</v>
      </c>
      <c r="L165" s="1">
        <v>145.31</v>
      </c>
      <c r="M165" s="2">
        <v>0</v>
      </c>
      <c r="N165" s="1">
        <v>29.77</v>
      </c>
      <c r="O165" s="2">
        <v>0</v>
      </c>
      <c r="P165" s="3">
        <v>16.01</v>
      </c>
      <c r="Q165" s="2">
        <v>0</v>
      </c>
      <c r="R165" s="1">
        <f>MIN($B165,$D165,$F165,$H165,$J165,$L165,$N165,$P165)</f>
        <v>0</v>
      </c>
      <c r="S165" s="1">
        <f>MIN($C165,$E165,$G165,$I165,$K165,$M165,$O165,$Q165)</f>
        <v>0</v>
      </c>
      <c r="T165" s="1">
        <f>MEDIAN($B165,$D165,$F165,$H165,$J165,$L165,$N165,$P165)</f>
        <v>0</v>
      </c>
      <c r="U165" s="1">
        <f>MEDIAN($C165,$E165,$G165,$I165,$K165,$M165,$O165,$Q165)</f>
        <v>0</v>
      </c>
      <c r="V165" s="1">
        <f>MAX($B165,$D165,$F165,$H165,$J165,$L165,$N165,$P165)</f>
        <v>0</v>
      </c>
      <c r="W165" s="1">
        <f>MAX($C165,$E165,$G165,$I165,$K165,$M165,$O165,$Q165)</f>
        <v>0</v>
      </c>
    </row>
    <row r="166" spans="1:23">
      <c r="A166" s="1" t="s">
        <v>163</v>
      </c>
      <c r="B166" s="1"/>
      <c r="C166" s="2"/>
      <c r="D166" s="4">
        <v>1200</v>
      </c>
      <c r="E166" s="6">
        <v>1</v>
      </c>
      <c r="F166" s="4">
        <v>1200</v>
      </c>
      <c r="G166" s="6">
        <v>1</v>
      </c>
      <c r="H166" s="1"/>
      <c r="I166" s="2"/>
      <c r="J166" s="1">
        <v>28.96</v>
      </c>
      <c r="K166" s="2">
        <v>0</v>
      </c>
      <c r="L166" s="1">
        <v>38.93</v>
      </c>
      <c r="M166" s="2">
        <v>0</v>
      </c>
      <c r="N166" s="3">
        <v>6.29</v>
      </c>
      <c r="O166" s="2">
        <v>0</v>
      </c>
      <c r="P166" s="1">
        <v>8.98</v>
      </c>
      <c r="Q166" s="2">
        <v>0</v>
      </c>
      <c r="R166" s="1">
        <f>MIN($B166,$D166,$F166,$H166,$J166,$L166,$N166,$P166)</f>
        <v>0</v>
      </c>
      <c r="S166" s="1">
        <f>MIN($C166,$E166,$G166,$I166,$K166,$M166,$O166,$Q166)</f>
        <v>0</v>
      </c>
      <c r="T166" s="1">
        <f>MEDIAN($B166,$D166,$F166,$H166,$J166,$L166,$N166,$P166)</f>
        <v>0</v>
      </c>
      <c r="U166" s="1">
        <f>MEDIAN($C166,$E166,$G166,$I166,$K166,$M166,$O166,$Q166)</f>
        <v>0</v>
      </c>
      <c r="V166" s="1">
        <f>MAX($B166,$D166,$F166,$H166,$J166,$L166,$N166,$P166)</f>
        <v>0</v>
      </c>
      <c r="W166" s="1">
        <f>MAX($C166,$E166,$G166,$I166,$K166,$M166,$O166,$Q166)</f>
        <v>0</v>
      </c>
    </row>
    <row r="167" spans="1:23">
      <c r="A167" s="1" t="s">
        <v>164</v>
      </c>
      <c r="B167" s="1"/>
      <c r="C167" s="2"/>
      <c r="D167" s="4">
        <v>1200</v>
      </c>
      <c r="E167" s="6">
        <v>1</v>
      </c>
      <c r="F167" s="4">
        <v>1200</v>
      </c>
      <c r="G167" s="6">
        <v>1</v>
      </c>
      <c r="H167" s="1"/>
      <c r="I167" s="2"/>
      <c r="J167" s="1">
        <v>29.45</v>
      </c>
      <c r="K167" s="2">
        <v>0</v>
      </c>
      <c r="L167" s="1">
        <v>41.84</v>
      </c>
      <c r="M167" s="2">
        <v>0</v>
      </c>
      <c r="N167" s="3">
        <v>10.95</v>
      </c>
      <c r="O167" s="2">
        <v>0</v>
      </c>
      <c r="P167" s="1">
        <v>11.69</v>
      </c>
      <c r="Q167" s="2">
        <v>0</v>
      </c>
      <c r="R167" s="1">
        <f>MIN($B167,$D167,$F167,$H167,$J167,$L167,$N167,$P167)</f>
        <v>0</v>
      </c>
      <c r="S167" s="1">
        <f>MIN($C167,$E167,$G167,$I167,$K167,$M167,$O167,$Q167)</f>
        <v>0</v>
      </c>
      <c r="T167" s="1">
        <f>MEDIAN($B167,$D167,$F167,$H167,$J167,$L167,$N167,$P167)</f>
        <v>0</v>
      </c>
      <c r="U167" s="1">
        <f>MEDIAN($C167,$E167,$G167,$I167,$K167,$M167,$O167,$Q167)</f>
        <v>0</v>
      </c>
      <c r="V167" s="1">
        <f>MAX($B167,$D167,$F167,$H167,$J167,$L167,$N167,$P167)</f>
        <v>0</v>
      </c>
      <c r="W167" s="1">
        <f>MAX($C167,$E167,$G167,$I167,$K167,$M167,$O167,$Q167)</f>
        <v>0</v>
      </c>
    </row>
    <row r="168" spans="1:23">
      <c r="A168" s="1" t="s">
        <v>165</v>
      </c>
      <c r="B168" s="1"/>
      <c r="C168" s="2"/>
      <c r="D168" s="4">
        <v>1200</v>
      </c>
      <c r="E168" s="6">
        <v>1</v>
      </c>
      <c r="F168" s="4">
        <v>1200</v>
      </c>
      <c r="G168" s="6">
        <v>1</v>
      </c>
      <c r="H168" s="1"/>
      <c r="I168" s="2"/>
      <c r="J168" s="1">
        <v>29.17</v>
      </c>
      <c r="K168" s="2">
        <v>0</v>
      </c>
      <c r="L168" s="1">
        <v>49.03</v>
      </c>
      <c r="M168" s="2">
        <v>0</v>
      </c>
      <c r="N168" s="1">
        <v>10.53</v>
      </c>
      <c r="O168" s="2">
        <v>0</v>
      </c>
      <c r="P168" s="3">
        <v>10.41</v>
      </c>
      <c r="Q168" s="2">
        <v>0</v>
      </c>
      <c r="R168" s="1">
        <f>MIN($B168,$D168,$F168,$H168,$J168,$L168,$N168,$P168)</f>
        <v>0</v>
      </c>
      <c r="S168" s="1">
        <f>MIN($C168,$E168,$G168,$I168,$K168,$M168,$O168,$Q168)</f>
        <v>0</v>
      </c>
      <c r="T168" s="1">
        <f>MEDIAN($B168,$D168,$F168,$H168,$J168,$L168,$N168,$P168)</f>
        <v>0</v>
      </c>
      <c r="U168" s="1">
        <f>MEDIAN($C168,$E168,$G168,$I168,$K168,$M168,$O168,$Q168)</f>
        <v>0</v>
      </c>
      <c r="V168" s="1">
        <f>MAX($B168,$D168,$F168,$H168,$J168,$L168,$N168,$P168)</f>
        <v>0</v>
      </c>
      <c r="W168" s="1">
        <f>MAX($C168,$E168,$G168,$I168,$K168,$M168,$O168,$Q168)</f>
        <v>0</v>
      </c>
    </row>
    <row r="169" spans="1:23">
      <c r="A169" s="1" t="s">
        <v>166</v>
      </c>
      <c r="B169" s="1"/>
      <c r="C169" s="2"/>
      <c r="D169" s="4">
        <v>1200</v>
      </c>
      <c r="E169" s="6">
        <v>1</v>
      </c>
      <c r="F169" s="4">
        <v>1200</v>
      </c>
      <c r="G169" s="6">
        <v>1</v>
      </c>
      <c r="H169" s="1"/>
      <c r="I169" s="2"/>
      <c r="J169" s="1">
        <v>28.9</v>
      </c>
      <c r="K169" s="2">
        <v>0</v>
      </c>
      <c r="L169" s="1">
        <v>46.9</v>
      </c>
      <c r="M169" s="2">
        <v>0</v>
      </c>
      <c r="N169" s="1">
        <v>9.75</v>
      </c>
      <c r="O169" s="2">
        <v>0</v>
      </c>
      <c r="P169" s="3">
        <v>9.359999999999999</v>
      </c>
      <c r="Q169" s="2">
        <v>0</v>
      </c>
      <c r="R169" s="1">
        <f>MIN($B169,$D169,$F169,$H169,$J169,$L169,$N169,$P169)</f>
        <v>0</v>
      </c>
      <c r="S169" s="1">
        <f>MIN($C169,$E169,$G169,$I169,$K169,$M169,$O169,$Q169)</f>
        <v>0</v>
      </c>
      <c r="T169" s="1">
        <f>MEDIAN($B169,$D169,$F169,$H169,$J169,$L169,$N169,$P169)</f>
        <v>0</v>
      </c>
      <c r="U169" s="1">
        <f>MEDIAN($C169,$E169,$G169,$I169,$K169,$M169,$O169,$Q169)</f>
        <v>0</v>
      </c>
      <c r="V169" s="1">
        <f>MAX($B169,$D169,$F169,$H169,$J169,$L169,$N169,$P169)</f>
        <v>0</v>
      </c>
      <c r="W169" s="1">
        <f>MAX($C169,$E169,$G169,$I169,$K169,$M169,$O169,$Q169)</f>
        <v>0</v>
      </c>
    </row>
    <row r="170" spans="1:23">
      <c r="A170" s="1" t="s">
        <v>167</v>
      </c>
      <c r="B170" s="1"/>
      <c r="C170" s="2"/>
      <c r="D170" s="4">
        <v>1200</v>
      </c>
      <c r="E170" s="6">
        <v>1</v>
      </c>
      <c r="F170" s="4">
        <v>1200</v>
      </c>
      <c r="G170" s="6">
        <v>1</v>
      </c>
      <c r="H170" s="1"/>
      <c r="I170" s="2"/>
      <c r="J170" s="1">
        <v>77.36</v>
      </c>
      <c r="K170" s="2">
        <v>0</v>
      </c>
      <c r="L170" s="1">
        <v>68.20999999999999</v>
      </c>
      <c r="M170" s="2">
        <v>0</v>
      </c>
      <c r="N170" s="1">
        <v>28.95</v>
      </c>
      <c r="O170" s="2">
        <v>0</v>
      </c>
      <c r="P170" s="3">
        <v>10.34</v>
      </c>
      <c r="Q170" s="2">
        <v>0</v>
      </c>
      <c r="R170" s="1">
        <f>MIN($B170,$D170,$F170,$H170,$J170,$L170,$N170,$P170)</f>
        <v>0</v>
      </c>
      <c r="S170" s="1">
        <f>MIN($C170,$E170,$G170,$I170,$K170,$M170,$O170,$Q170)</f>
        <v>0</v>
      </c>
      <c r="T170" s="1">
        <f>MEDIAN($B170,$D170,$F170,$H170,$J170,$L170,$N170,$P170)</f>
        <v>0</v>
      </c>
      <c r="U170" s="1">
        <f>MEDIAN($C170,$E170,$G170,$I170,$K170,$M170,$O170,$Q170)</f>
        <v>0</v>
      </c>
      <c r="V170" s="1">
        <f>MAX($B170,$D170,$F170,$H170,$J170,$L170,$N170,$P170)</f>
        <v>0</v>
      </c>
      <c r="W170" s="1">
        <f>MAX($C170,$E170,$G170,$I170,$K170,$M170,$O170,$Q170)</f>
        <v>0</v>
      </c>
    </row>
    <row r="171" spans="1:23">
      <c r="A171" s="1" t="s">
        <v>168</v>
      </c>
      <c r="B171" s="1"/>
      <c r="C171" s="2"/>
      <c r="D171" s="4">
        <v>1200</v>
      </c>
      <c r="E171" s="6">
        <v>1</v>
      </c>
      <c r="F171" s="4">
        <v>1200</v>
      </c>
      <c r="G171" s="6">
        <v>1</v>
      </c>
      <c r="H171" s="1"/>
      <c r="I171" s="2"/>
      <c r="J171" s="1">
        <v>77.19</v>
      </c>
      <c r="K171" s="2">
        <v>0</v>
      </c>
      <c r="L171" s="1">
        <v>81</v>
      </c>
      <c r="M171" s="2">
        <v>0</v>
      </c>
      <c r="N171" s="1">
        <v>27.57</v>
      </c>
      <c r="O171" s="2">
        <v>0</v>
      </c>
      <c r="P171" s="3">
        <v>10.96</v>
      </c>
      <c r="Q171" s="2">
        <v>0</v>
      </c>
      <c r="R171" s="1">
        <f>MIN($B171,$D171,$F171,$H171,$J171,$L171,$N171,$P171)</f>
        <v>0</v>
      </c>
      <c r="S171" s="1">
        <f>MIN($C171,$E171,$G171,$I171,$K171,$M171,$O171,$Q171)</f>
        <v>0</v>
      </c>
      <c r="T171" s="1">
        <f>MEDIAN($B171,$D171,$F171,$H171,$J171,$L171,$N171,$P171)</f>
        <v>0</v>
      </c>
      <c r="U171" s="1">
        <f>MEDIAN($C171,$E171,$G171,$I171,$K171,$M171,$O171,$Q171)</f>
        <v>0</v>
      </c>
      <c r="V171" s="1">
        <f>MAX($B171,$D171,$F171,$H171,$J171,$L171,$N171,$P171)</f>
        <v>0</v>
      </c>
      <c r="W171" s="1">
        <f>MAX($C171,$E171,$G171,$I171,$K171,$M171,$O171,$Q171)</f>
        <v>0</v>
      </c>
    </row>
    <row r="172" spans="1:23">
      <c r="A172" s="1" t="s">
        <v>169</v>
      </c>
      <c r="B172" s="1"/>
      <c r="C172" s="2"/>
      <c r="D172" s="4">
        <v>1200</v>
      </c>
      <c r="E172" s="6">
        <v>1</v>
      </c>
      <c r="F172" s="4">
        <v>1200</v>
      </c>
      <c r="G172" s="6">
        <v>1</v>
      </c>
      <c r="H172" s="1"/>
      <c r="I172" s="2"/>
      <c r="J172" s="1">
        <v>76.27</v>
      </c>
      <c r="K172" s="2">
        <v>0</v>
      </c>
      <c r="L172" s="1">
        <v>61.43</v>
      </c>
      <c r="M172" s="2">
        <v>0</v>
      </c>
      <c r="N172" s="1">
        <v>29.36</v>
      </c>
      <c r="O172" s="2">
        <v>0</v>
      </c>
      <c r="P172" s="3">
        <v>10.36</v>
      </c>
      <c r="Q172" s="2">
        <v>0</v>
      </c>
      <c r="R172" s="1">
        <f>MIN($B172,$D172,$F172,$H172,$J172,$L172,$N172,$P172)</f>
        <v>0</v>
      </c>
      <c r="S172" s="1">
        <f>MIN($C172,$E172,$G172,$I172,$K172,$M172,$O172,$Q172)</f>
        <v>0</v>
      </c>
      <c r="T172" s="1">
        <f>MEDIAN($B172,$D172,$F172,$H172,$J172,$L172,$N172,$P172)</f>
        <v>0</v>
      </c>
      <c r="U172" s="1">
        <f>MEDIAN($C172,$E172,$G172,$I172,$K172,$M172,$O172,$Q172)</f>
        <v>0</v>
      </c>
      <c r="V172" s="1">
        <f>MAX($B172,$D172,$F172,$H172,$J172,$L172,$N172,$P172)</f>
        <v>0</v>
      </c>
      <c r="W172" s="1">
        <f>MAX($C172,$E172,$G172,$I172,$K172,$M172,$O172,$Q172)</f>
        <v>0</v>
      </c>
    </row>
    <row r="173" spans="1:23">
      <c r="A173" s="1" t="s">
        <v>170</v>
      </c>
      <c r="B173" s="1"/>
      <c r="C173" s="2"/>
      <c r="D173" s="4">
        <v>1200</v>
      </c>
      <c r="E173" s="6">
        <v>1</v>
      </c>
      <c r="F173" s="4">
        <v>1200</v>
      </c>
      <c r="G173" s="6">
        <v>1</v>
      </c>
      <c r="H173" s="1"/>
      <c r="I173" s="2"/>
      <c r="J173" s="1">
        <v>79.34</v>
      </c>
      <c r="K173" s="2">
        <v>0</v>
      </c>
      <c r="L173" s="1">
        <v>73.38</v>
      </c>
      <c r="M173" s="2">
        <v>0</v>
      </c>
      <c r="N173" s="1">
        <v>27.04</v>
      </c>
      <c r="O173" s="2">
        <v>0</v>
      </c>
      <c r="P173" s="3">
        <v>11.62</v>
      </c>
      <c r="Q173" s="2">
        <v>0</v>
      </c>
      <c r="R173" s="1">
        <f>MIN($B173,$D173,$F173,$H173,$J173,$L173,$N173,$P173)</f>
        <v>0</v>
      </c>
      <c r="S173" s="1">
        <f>MIN($C173,$E173,$G173,$I173,$K173,$M173,$O173,$Q173)</f>
        <v>0</v>
      </c>
      <c r="T173" s="1">
        <f>MEDIAN($B173,$D173,$F173,$H173,$J173,$L173,$N173,$P173)</f>
        <v>0</v>
      </c>
      <c r="U173" s="1">
        <f>MEDIAN($C173,$E173,$G173,$I173,$K173,$M173,$O173,$Q173)</f>
        <v>0</v>
      </c>
      <c r="V173" s="1">
        <f>MAX($B173,$D173,$F173,$H173,$J173,$L173,$N173,$P173)</f>
        <v>0</v>
      </c>
      <c r="W173" s="1">
        <f>MAX($C173,$E173,$G173,$I173,$K173,$M173,$O173,$Q173)</f>
        <v>0</v>
      </c>
    </row>
    <row r="174" spans="1:23">
      <c r="A174" s="1" t="s">
        <v>171</v>
      </c>
      <c r="B174" s="1"/>
      <c r="C174" s="2"/>
      <c r="D174" s="1">
        <v>3.5</v>
      </c>
      <c r="E174" s="2">
        <v>0</v>
      </c>
      <c r="F174" s="3">
        <v>0.32</v>
      </c>
      <c r="G174" s="2">
        <v>0</v>
      </c>
      <c r="H174" s="1"/>
      <c r="I174" s="2"/>
      <c r="J174" s="1">
        <v>4.33</v>
      </c>
      <c r="K174" s="2">
        <v>0</v>
      </c>
      <c r="L174" s="1">
        <v>4.05</v>
      </c>
      <c r="M174" s="2">
        <v>0</v>
      </c>
      <c r="N174" s="1">
        <v>3.83</v>
      </c>
      <c r="O174" s="2">
        <v>0</v>
      </c>
      <c r="P174" s="1">
        <v>3.05</v>
      </c>
      <c r="Q174" s="2">
        <v>0</v>
      </c>
      <c r="R174" s="1">
        <f>MIN($B174,$D174,$F174,$H174,$J174,$L174,$N174,$P174)</f>
        <v>0</v>
      </c>
      <c r="S174" s="1">
        <f>MIN($C174,$E174,$G174,$I174,$K174,$M174,$O174,$Q174)</f>
        <v>0</v>
      </c>
      <c r="T174" s="1">
        <f>MEDIAN($B174,$D174,$F174,$H174,$J174,$L174,$N174,$P174)</f>
        <v>0</v>
      </c>
      <c r="U174" s="1">
        <f>MEDIAN($C174,$E174,$G174,$I174,$K174,$M174,$O174,$Q174)</f>
        <v>0</v>
      </c>
      <c r="V174" s="1">
        <f>MAX($B174,$D174,$F174,$H174,$J174,$L174,$N174,$P174)</f>
        <v>0</v>
      </c>
      <c r="W174" s="1">
        <f>MAX($C174,$E174,$G174,$I174,$K174,$M174,$O174,$Q174)</f>
        <v>0</v>
      </c>
    </row>
    <row r="175" spans="1:23">
      <c r="A175" s="1" t="s">
        <v>172</v>
      </c>
      <c r="B175" s="1"/>
      <c r="C175" s="2"/>
      <c r="D175" s="1">
        <v>4.03</v>
      </c>
      <c r="E175" s="2">
        <v>0</v>
      </c>
      <c r="F175" s="3">
        <v>0.34</v>
      </c>
      <c r="G175" s="2">
        <v>0</v>
      </c>
      <c r="H175" s="1"/>
      <c r="I175" s="2"/>
      <c r="J175" s="1">
        <v>4.62</v>
      </c>
      <c r="K175" s="2">
        <v>0</v>
      </c>
      <c r="L175" s="1">
        <v>4.03</v>
      </c>
      <c r="M175" s="2">
        <v>0</v>
      </c>
      <c r="N175" s="1">
        <v>3.15</v>
      </c>
      <c r="O175" s="2">
        <v>0</v>
      </c>
      <c r="P175" s="1">
        <v>3.21</v>
      </c>
      <c r="Q175" s="2">
        <v>0</v>
      </c>
      <c r="R175" s="1">
        <f>MIN($B175,$D175,$F175,$H175,$J175,$L175,$N175,$P175)</f>
        <v>0</v>
      </c>
      <c r="S175" s="1">
        <f>MIN($C175,$E175,$G175,$I175,$K175,$M175,$O175,$Q175)</f>
        <v>0</v>
      </c>
      <c r="T175" s="1">
        <f>MEDIAN($B175,$D175,$F175,$H175,$J175,$L175,$N175,$P175)</f>
        <v>0</v>
      </c>
      <c r="U175" s="1">
        <f>MEDIAN($C175,$E175,$G175,$I175,$K175,$M175,$O175,$Q175)</f>
        <v>0</v>
      </c>
      <c r="V175" s="1">
        <f>MAX($B175,$D175,$F175,$H175,$J175,$L175,$N175,$P175)</f>
        <v>0</v>
      </c>
      <c r="W175" s="1">
        <f>MAX($C175,$E175,$G175,$I175,$K175,$M175,$O175,$Q175)</f>
        <v>0</v>
      </c>
    </row>
    <row r="176" spans="1:23">
      <c r="A176" s="1" t="s">
        <v>173</v>
      </c>
      <c r="B176" s="1"/>
      <c r="C176" s="2"/>
      <c r="D176" s="1">
        <v>3.9</v>
      </c>
      <c r="E176" s="2">
        <v>0</v>
      </c>
      <c r="F176" s="1">
        <v>3.86</v>
      </c>
      <c r="G176" s="2">
        <v>0</v>
      </c>
      <c r="H176" s="1"/>
      <c r="I176" s="2"/>
      <c r="J176" s="1">
        <v>4.47</v>
      </c>
      <c r="K176" s="2">
        <v>0</v>
      </c>
      <c r="L176" s="1">
        <v>4.58</v>
      </c>
      <c r="M176" s="2">
        <v>0</v>
      </c>
      <c r="N176" s="1">
        <v>3.21</v>
      </c>
      <c r="O176" s="2">
        <v>0</v>
      </c>
      <c r="P176" s="1">
        <v>3.07</v>
      </c>
      <c r="Q176" s="2">
        <v>0</v>
      </c>
      <c r="R176" s="1">
        <f>MIN($B176,$D176,$F176,$H176,$J176,$L176,$N176,$P176)</f>
        <v>0</v>
      </c>
      <c r="S176" s="1">
        <f>MIN($C176,$E176,$G176,$I176,$K176,$M176,$O176,$Q176)</f>
        <v>0</v>
      </c>
      <c r="T176" s="1">
        <f>MEDIAN($B176,$D176,$F176,$H176,$J176,$L176,$N176,$P176)</f>
        <v>0</v>
      </c>
      <c r="U176" s="1">
        <f>MEDIAN($C176,$E176,$G176,$I176,$K176,$M176,$O176,$Q176)</f>
        <v>0</v>
      </c>
      <c r="V176" s="1">
        <f>MAX($B176,$D176,$F176,$H176,$J176,$L176,$N176,$P176)</f>
        <v>0</v>
      </c>
      <c r="W176" s="1">
        <f>MAX($C176,$E176,$G176,$I176,$K176,$M176,$O176,$Q176)</f>
        <v>0</v>
      </c>
    </row>
    <row r="177" spans="1:23">
      <c r="A177" s="1" t="s">
        <v>174</v>
      </c>
      <c r="B177" s="1"/>
      <c r="C177" s="2"/>
      <c r="D177" s="1">
        <v>4.07</v>
      </c>
      <c r="E177" s="2">
        <v>0</v>
      </c>
      <c r="F177" s="1">
        <v>4.17</v>
      </c>
      <c r="G177" s="2">
        <v>0</v>
      </c>
      <c r="H177" s="1"/>
      <c r="I177" s="2"/>
      <c r="J177" s="1">
        <v>4.57</v>
      </c>
      <c r="K177" s="2">
        <v>0</v>
      </c>
      <c r="L177" s="1">
        <v>4.58</v>
      </c>
      <c r="M177" s="2">
        <v>0</v>
      </c>
      <c r="N177" s="1">
        <v>3.07</v>
      </c>
      <c r="O177" s="2">
        <v>0</v>
      </c>
      <c r="P177" s="1">
        <v>3.33</v>
      </c>
      <c r="Q177" s="2">
        <v>0</v>
      </c>
      <c r="R177" s="1">
        <f>MIN($B177,$D177,$F177,$H177,$J177,$L177,$N177,$P177)</f>
        <v>0</v>
      </c>
      <c r="S177" s="1">
        <f>MIN($C177,$E177,$G177,$I177,$K177,$M177,$O177,$Q177)</f>
        <v>0</v>
      </c>
      <c r="T177" s="1">
        <f>MEDIAN($B177,$D177,$F177,$H177,$J177,$L177,$N177,$P177)</f>
        <v>0</v>
      </c>
      <c r="U177" s="1">
        <f>MEDIAN($C177,$E177,$G177,$I177,$K177,$M177,$O177,$Q177)</f>
        <v>0</v>
      </c>
      <c r="V177" s="1">
        <f>MAX($B177,$D177,$F177,$H177,$J177,$L177,$N177,$P177)</f>
        <v>0</v>
      </c>
      <c r="W177" s="1">
        <f>MAX($C177,$E177,$G177,$I177,$K177,$M177,$O177,$Q177)</f>
        <v>0</v>
      </c>
    </row>
    <row r="178" spans="1:23">
      <c r="A178" s="1" t="s">
        <v>175</v>
      </c>
      <c r="B178" s="1"/>
      <c r="C178" s="2"/>
      <c r="D178" s="1">
        <v>4.71</v>
      </c>
      <c r="E178" s="2">
        <v>0</v>
      </c>
      <c r="F178" s="1">
        <v>5.76</v>
      </c>
      <c r="G178" s="2">
        <v>0</v>
      </c>
      <c r="H178" s="1"/>
      <c r="I178" s="2"/>
      <c r="J178" s="1">
        <v>5.4</v>
      </c>
      <c r="K178" s="2">
        <v>0</v>
      </c>
      <c r="L178" s="1">
        <v>4.72</v>
      </c>
      <c r="M178" s="2">
        <v>0</v>
      </c>
      <c r="N178" s="1">
        <v>4.22</v>
      </c>
      <c r="O178" s="2">
        <v>0</v>
      </c>
      <c r="P178" s="3">
        <v>3.21</v>
      </c>
      <c r="Q178" s="2">
        <v>0</v>
      </c>
      <c r="R178" s="1">
        <f>MIN($B178,$D178,$F178,$H178,$J178,$L178,$N178,$P178)</f>
        <v>0</v>
      </c>
      <c r="S178" s="1">
        <f>MIN($C178,$E178,$G178,$I178,$K178,$M178,$O178,$Q178)</f>
        <v>0</v>
      </c>
      <c r="T178" s="1">
        <f>MEDIAN($B178,$D178,$F178,$H178,$J178,$L178,$N178,$P178)</f>
        <v>0</v>
      </c>
      <c r="U178" s="1">
        <f>MEDIAN($C178,$E178,$G178,$I178,$K178,$M178,$O178,$Q178)</f>
        <v>0</v>
      </c>
      <c r="V178" s="1">
        <f>MAX($B178,$D178,$F178,$H178,$J178,$L178,$N178,$P178)</f>
        <v>0</v>
      </c>
      <c r="W178" s="1">
        <f>MAX($C178,$E178,$G178,$I178,$K178,$M178,$O178,$Q178)</f>
        <v>0</v>
      </c>
    </row>
    <row r="179" spans="1:23">
      <c r="A179" s="1" t="s">
        <v>176</v>
      </c>
      <c r="B179" s="1"/>
      <c r="C179" s="2"/>
      <c r="D179" s="1">
        <v>4.14</v>
      </c>
      <c r="E179" s="2">
        <v>0</v>
      </c>
      <c r="F179" s="1">
        <v>4.5</v>
      </c>
      <c r="G179" s="2">
        <v>0</v>
      </c>
      <c r="H179" s="1"/>
      <c r="I179" s="2"/>
      <c r="J179" s="1">
        <v>5.92</v>
      </c>
      <c r="K179" s="2">
        <v>0</v>
      </c>
      <c r="L179" s="1">
        <v>4.83</v>
      </c>
      <c r="M179" s="2">
        <v>0</v>
      </c>
      <c r="N179" s="3">
        <v>3.63</v>
      </c>
      <c r="O179" s="2">
        <v>0</v>
      </c>
      <c r="P179" s="1">
        <v>3.77</v>
      </c>
      <c r="Q179" s="2">
        <v>0</v>
      </c>
      <c r="R179" s="1">
        <f>MIN($B179,$D179,$F179,$H179,$J179,$L179,$N179,$P179)</f>
        <v>0</v>
      </c>
      <c r="S179" s="1">
        <f>MIN($C179,$E179,$G179,$I179,$K179,$M179,$O179,$Q179)</f>
        <v>0</v>
      </c>
      <c r="T179" s="1">
        <f>MEDIAN($B179,$D179,$F179,$H179,$J179,$L179,$N179,$P179)</f>
        <v>0</v>
      </c>
      <c r="U179" s="1">
        <f>MEDIAN($C179,$E179,$G179,$I179,$K179,$M179,$O179,$Q179)</f>
        <v>0</v>
      </c>
      <c r="V179" s="1">
        <f>MAX($B179,$D179,$F179,$H179,$J179,$L179,$N179,$P179)</f>
        <v>0</v>
      </c>
      <c r="W179" s="1">
        <f>MAX($C179,$E179,$G179,$I179,$K179,$M179,$O179,$Q179)</f>
        <v>0</v>
      </c>
    </row>
    <row r="180" spans="1:23">
      <c r="A180" s="1" t="s">
        <v>177</v>
      </c>
      <c r="B180" s="1"/>
      <c r="C180" s="2"/>
      <c r="D180" s="1">
        <v>4.49</v>
      </c>
      <c r="E180" s="2">
        <v>0</v>
      </c>
      <c r="F180" s="1">
        <v>4.34</v>
      </c>
      <c r="G180" s="2">
        <v>0</v>
      </c>
      <c r="H180" s="1"/>
      <c r="I180" s="2"/>
      <c r="J180" s="1">
        <v>5.36</v>
      </c>
      <c r="K180" s="2">
        <v>0</v>
      </c>
      <c r="L180" s="1">
        <v>4.66</v>
      </c>
      <c r="M180" s="2">
        <v>0</v>
      </c>
      <c r="N180" s="1">
        <v>4.57</v>
      </c>
      <c r="O180" s="2">
        <v>0</v>
      </c>
      <c r="P180" s="1">
        <v>3.4</v>
      </c>
      <c r="Q180" s="2">
        <v>0</v>
      </c>
      <c r="R180" s="1">
        <f>MIN($B180,$D180,$F180,$H180,$J180,$L180,$N180,$P180)</f>
        <v>0</v>
      </c>
      <c r="S180" s="1">
        <f>MIN($C180,$E180,$G180,$I180,$K180,$M180,$O180,$Q180)</f>
        <v>0</v>
      </c>
      <c r="T180" s="1">
        <f>MEDIAN($B180,$D180,$F180,$H180,$J180,$L180,$N180,$P180)</f>
        <v>0</v>
      </c>
      <c r="U180" s="1">
        <f>MEDIAN($C180,$E180,$G180,$I180,$K180,$M180,$O180,$Q180)</f>
        <v>0</v>
      </c>
      <c r="V180" s="1">
        <f>MAX($B180,$D180,$F180,$H180,$J180,$L180,$N180,$P180)</f>
        <v>0</v>
      </c>
      <c r="W180" s="1">
        <f>MAX($C180,$E180,$G180,$I180,$K180,$M180,$O180,$Q180)</f>
        <v>0</v>
      </c>
    </row>
    <row r="181" spans="1:23">
      <c r="A181" s="1" t="s">
        <v>178</v>
      </c>
      <c r="B181" s="1"/>
      <c r="C181" s="2"/>
      <c r="D181" s="1">
        <v>3.93</v>
      </c>
      <c r="E181" s="2">
        <v>0</v>
      </c>
      <c r="F181" s="1">
        <v>4.2</v>
      </c>
      <c r="G181" s="2">
        <v>0</v>
      </c>
      <c r="H181" s="1"/>
      <c r="I181" s="2"/>
      <c r="J181" s="1">
        <v>5.54</v>
      </c>
      <c r="K181" s="2">
        <v>0</v>
      </c>
      <c r="L181" s="1">
        <v>4.93</v>
      </c>
      <c r="M181" s="2">
        <v>0</v>
      </c>
      <c r="N181" s="1">
        <v>4.25</v>
      </c>
      <c r="O181" s="2">
        <v>0</v>
      </c>
      <c r="P181" s="1">
        <v>3.57</v>
      </c>
      <c r="Q181" s="2">
        <v>0</v>
      </c>
      <c r="R181" s="1">
        <f>MIN($B181,$D181,$F181,$H181,$J181,$L181,$N181,$P181)</f>
        <v>0</v>
      </c>
      <c r="S181" s="1">
        <f>MIN($C181,$E181,$G181,$I181,$K181,$M181,$O181,$Q181)</f>
        <v>0</v>
      </c>
      <c r="T181" s="1">
        <f>MEDIAN($B181,$D181,$F181,$H181,$J181,$L181,$N181,$P181)</f>
        <v>0</v>
      </c>
      <c r="U181" s="1">
        <f>MEDIAN($C181,$E181,$G181,$I181,$K181,$M181,$O181,$Q181)</f>
        <v>0</v>
      </c>
      <c r="V181" s="1">
        <f>MAX($B181,$D181,$F181,$H181,$J181,$L181,$N181,$P181)</f>
        <v>0</v>
      </c>
      <c r="W181" s="1">
        <f>MAX($C181,$E181,$G181,$I181,$K181,$M181,$O181,$Q181)</f>
        <v>0</v>
      </c>
    </row>
    <row r="182" spans="1:23">
      <c r="A182" s="1" t="s">
        <v>179</v>
      </c>
      <c r="B182" s="1"/>
      <c r="C182" s="2"/>
      <c r="D182" s="1">
        <v>4.35</v>
      </c>
      <c r="E182" s="2">
        <v>0</v>
      </c>
      <c r="F182" s="1">
        <v>4.57</v>
      </c>
      <c r="G182" s="2">
        <v>0</v>
      </c>
      <c r="H182" s="1"/>
      <c r="I182" s="2"/>
      <c r="J182" s="1">
        <v>5.64</v>
      </c>
      <c r="K182" s="2">
        <v>0</v>
      </c>
      <c r="L182" s="1">
        <v>4.83</v>
      </c>
      <c r="M182" s="2">
        <v>0</v>
      </c>
      <c r="N182" s="1">
        <v>4.35</v>
      </c>
      <c r="O182" s="2">
        <v>0</v>
      </c>
      <c r="P182" s="1">
        <v>3.66</v>
      </c>
      <c r="Q182" s="2">
        <v>0</v>
      </c>
      <c r="R182" s="1">
        <f>MIN($B182,$D182,$F182,$H182,$J182,$L182,$N182,$P182)</f>
        <v>0</v>
      </c>
      <c r="S182" s="1">
        <f>MIN($C182,$E182,$G182,$I182,$K182,$M182,$O182,$Q182)</f>
        <v>0</v>
      </c>
      <c r="T182" s="1">
        <f>MEDIAN($B182,$D182,$F182,$H182,$J182,$L182,$N182,$P182)</f>
        <v>0</v>
      </c>
      <c r="U182" s="1">
        <f>MEDIAN($C182,$E182,$G182,$I182,$K182,$M182,$O182,$Q182)</f>
        <v>0</v>
      </c>
      <c r="V182" s="1">
        <f>MAX($B182,$D182,$F182,$H182,$J182,$L182,$N182,$P182)</f>
        <v>0</v>
      </c>
      <c r="W182" s="1">
        <f>MAX($C182,$E182,$G182,$I182,$K182,$M182,$O182,$Q182)</f>
        <v>0</v>
      </c>
    </row>
    <row r="183" spans="1:23">
      <c r="A183" s="1" t="s">
        <v>180</v>
      </c>
      <c r="B183" s="1"/>
      <c r="C183" s="2"/>
      <c r="D183" s="1">
        <v>4.45</v>
      </c>
      <c r="E183" s="2">
        <v>0</v>
      </c>
      <c r="F183" s="1">
        <v>4.29</v>
      </c>
      <c r="G183" s="2">
        <v>0</v>
      </c>
      <c r="H183" s="1"/>
      <c r="I183" s="2"/>
      <c r="J183" s="1">
        <v>5.74</v>
      </c>
      <c r="K183" s="2">
        <v>0</v>
      </c>
      <c r="L183" s="1">
        <v>4.43</v>
      </c>
      <c r="M183" s="2">
        <v>0</v>
      </c>
      <c r="N183" s="1">
        <v>3.66</v>
      </c>
      <c r="O183" s="2">
        <v>0</v>
      </c>
      <c r="P183" s="3">
        <v>3.54</v>
      </c>
      <c r="Q183" s="2">
        <v>0</v>
      </c>
      <c r="R183" s="1">
        <f>MIN($B183,$D183,$F183,$H183,$J183,$L183,$N183,$P183)</f>
        <v>0</v>
      </c>
      <c r="S183" s="1">
        <f>MIN($C183,$E183,$G183,$I183,$K183,$M183,$O183,$Q183)</f>
        <v>0</v>
      </c>
      <c r="T183" s="1">
        <f>MEDIAN($B183,$D183,$F183,$H183,$J183,$L183,$N183,$P183)</f>
        <v>0</v>
      </c>
      <c r="U183" s="1">
        <f>MEDIAN($C183,$E183,$G183,$I183,$K183,$M183,$O183,$Q183)</f>
        <v>0</v>
      </c>
      <c r="V183" s="1">
        <f>MAX($B183,$D183,$F183,$H183,$J183,$L183,$N183,$P183)</f>
        <v>0</v>
      </c>
      <c r="W183" s="1">
        <f>MAX($C183,$E183,$G183,$I183,$K183,$M183,$O183,$Q183)</f>
        <v>0</v>
      </c>
    </row>
    <row r="184" spans="1:23">
      <c r="A184" s="1" t="s">
        <v>181</v>
      </c>
      <c r="B184" s="1"/>
      <c r="C184" s="2"/>
      <c r="D184" s="1">
        <v>4.21</v>
      </c>
      <c r="E184" s="2">
        <v>0</v>
      </c>
      <c r="F184" s="3">
        <v>0.42</v>
      </c>
      <c r="G184" s="2">
        <v>0</v>
      </c>
      <c r="H184" s="1"/>
      <c r="I184" s="2"/>
      <c r="J184" s="1">
        <v>5.45</v>
      </c>
      <c r="K184" s="2">
        <v>0</v>
      </c>
      <c r="L184" s="1">
        <v>4.94</v>
      </c>
      <c r="M184" s="2">
        <v>0</v>
      </c>
      <c r="N184" s="1">
        <v>4.13</v>
      </c>
      <c r="O184" s="2">
        <v>0</v>
      </c>
      <c r="P184" s="1">
        <v>3.62</v>
      </c>
      <c r="Q184" s="2">
        <v>0</v>
      </c>
      <c r="R184" s="1">
        <f>MIN($B184,$D184,$F184,$H184,$J184,$L184,$N184,$P184)</f>
        <v>0</v>
      </c>
      <c r="S184" s="1">
        <f>MIN($C184,$E184,$G184,$I184,$K184,$M184,$O184,$Q184)</f>
        <v>0</v>
      </c>
      <c r="T184" s="1">
        <f>MEDIAN($B184,$D184,$F184,$H184,$J184,$L184,$N184,$P184)</f>
        <v>0</v>
      </c>
      <c r="U184" s="1">
        <f>MEDIAN($C184,$E184,$G184,$I184,$K184,$M184,$O184,$Q184)</f>
        <v>0</v>
      </c>
      <c r="V184" s="1">
        <f>MAX($B184,$D184,$F184,$H184,$J184,$L184,$N184,$P184)</f>
        <v>0</v>
      </c>
      <c r="W184" s="1">
        <f>MAX($C184,$E184,$G184,$I184,$K184,$M184,$O184,$Q184)</f>
        <v>0</v>
      </c>
    </row>
    <row r="185" spans="1:23">
      <c r="A185" s="1" t="s">
        <v>182</v>
      </c>
      <c r="B185" s="1"/>
      <c r="C185" s="2"/>
      <c r="D185" s="1">
        <v>4.68</v>
      </c>
      <c r="E185" s="2">
        <v>0</v>
      </c>
      <c r="F185" s="1">
        <v>4.6</v>
      </c>
      <c r="G185" s="2">
        <v>0</v>
      </c>
      <c r="H185" s="1"/>
      <c r="I185" s="2"/>
      <c r="J185" s="1">
        <v>6.25</v>
      </c>
      <c r="K185" s="2">
        <v>0</v>
      </c>
      <c r="L185" s="1">
        <v>5.11</v>
      </c>
      <c r="M185" s="2">
        <v>0</v>
      </c>
      <c r="N185" s="1">
        <v>3.96</v>
      </c>
      <c r="O185" s="2">
        <v>0</v>
      </c>
      <c r="P185" s="3">
        <v>3.48</v>
      </c>
      <c r="Q185" s="2">
        <v>0</v>
      </c>
      <c r="R185" s="1">
        <f>MIN($B185,$D185,$F185,$H185,$J185,$L185,$N185,$P185)</f>
        <v>0</v>
      </c>
      <c r="S185" s="1">
        <f>MIN($C185,$E185,$G185,$I185,$K185,$M185,$O185,$Q185)</f>
        <v>0</v>
      </c>
      <c r="T185" s="1">
        <f>MEDIAN($B185,$D185,$F185,$H185,$J185,$L185,$N185,$P185)</f>
        <v>0</v>
      </c>
      <c r="U185" s="1">
        <f>MEDIAN($C185,$E185,$G185,$I185,$K185,$M185,$O185,$Q185)</f>
        <v>0</v>
      </c>
      <c r="V185" s="1">
        <f>MAX($B185,$D185,$F185,$H185,$J185,$L185,$N185,$P185)</f>
        <v>0</v>
      </c>
      <c r="W185" s="1">
        <f>MAX($C185,$E185,$G185,$I185,$K185,$M185,$O185,$Q185)</f>
        <v>0</v>
      </c>
    </row>
    <row r="186" spans="1:23">
      <c r="A186" s="1" t="s">
        <v>183</v>
      </c>
      <c r="B186" s="1"/>
      <c r="C186" s="2"/>
      <c r="D186" s="1">
        <v>4.04</v>
      </c>
      <c r="E186" s="2">
        <v>0</v>
      </c>
      <c r="F186" s="1">
        <v>3.65</v>
      </c>
      <c r="G186" s="2">
        <v>0</v>
      </c>
      <c r="H186" s="1"/>
      <c r="I186" s="2"/>
      <c r="J186" s="1">
        <v>4.3</v>
      </c>
      <c r="K186" s="2">
        <v>0</v>
      </c>
      <c r="L186" s="1">
        <v>3.93</v>
      </c>
      <c r="M186" s="2">
        <v>0</v>
      </c>
      <c r="N186" s="1">
        <v>3.19</v>
      </c>
      <c r="O186" s="2">
        <v>0</v>
      </c>
      <c r="P186" s="1">
        <v>3.28</v>
      </c>
      <c r="Q186" s="2">
        <v>0</v>
      </c>
      <c r="R186" s="1">
        <f>MIN($B186,$D186,$F186,$H186,$J186,$L186,$N186,$P186)</f>
        <v>0</v>
      </c>
      <c r="S186" s="1">
        <f>MIN($C186,$E186,$G186,$I186,$K186,$M186,$O186,$Q186)</f>
        <v>0</v>
      </c>
      <c r="T186" s="1">
        <f>MEDIAN($B186,$D186,$F186,$H186,$J186,$L186,$N186,$P186)</f>
        <v>0</v>
      </c>
      <c r="U186" s="1">
        <f>MEDIAN($C186,$E186,$G186,$I186,$K186,$M186,$O186,$Q186)</f>
        <v>0</v>
      </c>
      <c r="V186" s="1">
        <f>MAX($B186,$D186,$F186,$H186,$J186,$L186,$N186,$P186)</f>
        <v>0</v>
      </c>
      <c r="W186" s="1">
        <f>MAX($C186,$E186,$G186,$I186,$K186,$M186,$O186,$Q186)</f>
        <v>0</v>
      </c>
    </row>
    <row r="187" spans="1:23">
      <c r="A187" s="1" t="s">
        <v>184</v>
      </c>
      <c r="B187" s="1"/>
      <c r="C187" s="2"/>
      <c r="D187" s="1">
        <v>3.65</v>
      </c>
      <c r="E187" s="2">
        <v>0</v>
      </c>
      <c r="F187" s="1">
        <v>3.78</v>
      </c>
      <c r="G187" s="2">
        <v>0</v>
      </c>
      <c r="H187" s="1"/>
      <c r="I187" s="2"/>
      <c r="J187" s="1">
        <v>4.31</v>
      </c>
      <c r="K187" s="2">
        <v>0</v>
      </c>
      <c r="L187" s="1">
        <v>3.75</v>
      </c>
      <c r="M187" s="2">
        <v>0</v>
      </c>
      <c r="N187" s="1">
        <v>3.17</v>
      </c>
      <c r="O187" s="2">
        <v>0</v>
      </c>
      <c r="P187" s="1">
        <v>3.36</v>
      </c>
      <c r="Q187" s="2">
        <v>0</v>
      </c>
      <c r="R187" s="1">
        <f>MIN($B187,$D187,$F187,$H187,$J187,$L187,$N187,$P187)</f>
        <v>0</v>
      </c>
      <c r="S187" s="1">
        <f>MIN($C187,$E187,$G187,$I187,$K187,$M187,$O187,$Q187)</f>
        <v>0</v>
      </c>
      <c r="T187" s="1">
        <f>MEDIAN($B187,$D187,$F187,$H187,$J187,$L187,$N187,$P187)</f>
        <v>0</v>
      </c>
      <c r="U187" s="1">
        <f>MEDIAN($C187,$E187,$G187,$I187,$K187,$M187,$O187,$Q187)</f>
        <v>0</v>
      </c>
      <c r="V187" s="1">
        <f>MAX($B187,$D187,$F187,$H187,$J187,$L187,$N187,$P187)</f>
        <v>0</v>
      </c>
      <c r="W187" s="1">
        <f>MAX($C187,$E187,$G187,$I187,$K187,$M187,$O187,$Q187)</f>
        <v>0</v>
      </c>
    </row>
    <row r="188" spans="1:23">
      <c r="A188" s="1" t="s">
        <v>185</v>
      </c>
      <c r="B188" s="1"/>
      <c r="C188" s="2"/>
      <c r="D188" s="1">
        <v>3.72</v>
      </c>
      <c r="E188" s="2">
        <v>0</v>
      </c>
      <c r="F188" s="1">
        <v>3.57</v>
      </c>
      <c r="G188" s="2">
        <v>0</v>
      </c>
      <c r="H188" s="1"/>
      <c r="I188" s="2"/>
      <c r="J188" s="1">
        <v>4.35</v>
      </c>
      <c r="K188" s="2">
        <v>0</v>
      </c>
      <c r="L188" s="1">
        <v>3.93</v>
      </c>
      <c r="M188" s="2">
        <v>0</v>
      </c>
      <c r="N188" s="1">
        <v>3.71</v>
      </c>
      <c r="O188" s="2">
        <v>0</v>
      </c>
      <c r="P188" s="1">
        <v>3.29</v>
      </c>
      <c r="Q188" s="2">
        <v>0</v>
      </c>
      <c r="R188" s="1">
        <f>MIN($B188,$D188,$F188,$H188,$J188,$L188,$N188,$P188)</f>
        <v>0</v>
      </c>
      <c r="S188" s="1">
        <f>MIN($C188,$E188,$G188,$I188,$K188,$M188,$O188,$Q188)</f>
        <v>0</v>
      </c>
      <c r="T188" s="1">
        <f>MEDIAN($B188,$D188,$F188,$H188,$J188,$L188,$N188,$P188)</f>
        <v>0</v>
      </c>
      <c r="U188" s="1">
        <f>MEDIAN($C188,$E188,$G188,$I188,$K188,$M188,$O188,$Q188)</f>
        <v>0</v>
      </c>
      <c r="V188" s="1">
        <f>MAX($B188,$D188,$F188,$H188,$J188,$L188,$N188,$P188)</f>
        <v>0</v>
      </c>
      <c r="W188" s="1">
        <f>MAX($C188,$E188,$G188,$I188,$K188,$M188,$O188,$Q188)</f>
        <v>0</v>
      </c>
    </row>
    <row r="189" spans="1:23">
      <c r="A189" s="1" t="s">
        <v>186</v>
      </c>
      <c r="B189" s="1"/>
      <c r="C189" s="2"/>
      <c r="D189" s="1">
        <v>3.47</v>
      </c>
      <c r="E189" s="2">
        <v>0</v>
      </c>
      <c r="F189" s="1">
        <v>3.55</v>
      </c>
      <c r="G189" s="2">
        <v>0</v>
      </c>
      <c r="H189" s="1"/>
      <c r="I189" s="2"/>
      <c r="J189" s="1">
        <v>4.39</v>
      </c>
      <c r="K189" s="2">
        <v>0</v>
      </c>
      <c r="L189" s="1">
        <v>4.75</v>
      </c>
      <c r="M189" s="2">
        <v>0</v>
      </c>
      <c r="N189" s="1">
        <v>3.55</v>
      </c>
      <c r="O189" s="2">
        <v>0</v>
      </c>
      <c r="P189" s="1">
        <v>3.41</v>
      </c>
      <c r="Q189" s="2">
        <v>0</v>
      </c>
      <c r="R189" s="1">
        <f>MIN($B189,$D189,$F189,$H189,$J189,$L189,$N189,$P189)</f>
        <v>0</v>
      </c>
      <c r="S189" s="1">
        <f>MIN($C189,$E189,$G189,$I189,$K189,$M189,$O189,$Q189)</f>
        <v>0</v>
      </c>
      <c r="T189" s="1">
        <f>MEDIAN($B189,$D189,$F189,$H189,$J189,$L189,$N189,$P189)</f>
        <v>0</v>
      </c>
      <c r="U189" s="1">
        <f>MEDIAN($C189,$E189,$G189,$I189,$K189,$M189,$O189,$Q189)</f>
        <v>0</v>
      </c>
      <c r="V189" s="1">
        <f>MAX($B189,$D189,$F189,$H189,$J189,$L189,$N189,$P189)</f>
        <v>0</v>
      </c>
      <c r="W189" s="1">
        <f>MAX($C189,$E189,$G189,$I189,$K189,$M189,$O189,$Q189)</f>
        <v>0</v>
      </c>
    </row>
    <row r="190" spans="1:23">
      <c r="A190" s="1" t="s">
        <v>187</v>
      </c>
      <c r="B190" s="1"/>
      <c r="C190" s="2"/>
      <c r="D190" s="1">
        <v>3.63</v>
      </c>
      <c r="E190" s="2">
        <v>0</v>
      </c>
      <c r="F190" s="1">
        <v>5.59</v>
      </c>
      <c r="G190" s="2">
        <v>0</v>
      </c>
      <c r="H190" s="1"/>
      <c r="I190" s="2"/>
      <c r="J190" s="1">
        <v>4.4</v>
      </c>
      <c r="K190" s="2">
        <v>0</v>
      </c>
      <c r="L190" s="1">
        <v>4.86</v>
      </c>
      <c r="M190" s="2">
        <v>0</v>
      </c>
      <c r="N190" s="1">
        <v>3.78</v>
      </c>
      <c r="O190" s="2">
        <v>0</v>
      </c>
      <c r="P190" s="3">
        <v>3.26</v>
      </c>
      <c r="Q190" s="2">
        <v>0</v>
      </c>
      <c r="R190" s="1">
        <f>MIN($B190,$D190,$F190,$H190,$J190,$L190,$N190,$P190)</f>
        <v>0</v>
      </c>
      <c r="S190" s="1">
        <f>MIN($C190,$E190,$G190,$I190,$K190,$M190,$O190,$Q190)</f>
        <v>0</v>
      </c>
      <c r="T190" s="1">
        <f>MEDIAN($B190,$D190,$F190,$H190,$J190,$L190,$N190,$P190)</f>
        <v>0</v>
      </c>
      <c r="U190" s="1">
        <f>MEDIAN($C190,$E190,$G190,$I190,$K190,$M190,$O190,$Q190)</f>
        <v>0</v>
      </c>
      <c r="V190" s="1">
        <f>MAX($B190,$D190,$F190,$H190,$J190,$L190,$N190,$P190)</f>
        <v>0</v>
      </c>
      <c r="W190" s="1">
        <f>MAX($C190,$E190,$G190,$I190,$K190,$M190,$O190,$Q190)</f>
        <v>0</v>
      </c>
    </row>
    <row r="191" spans="1:23">
      <c r="A191" s="1" t="s">
        <v>188</v>
      </c>
      <c r="B191" s="1"/>
      <c r="C191" s="2"/>
      <c r="D191" s="1">
        <v>3.61</v>
      </c>
      <c r="E191" s="2">
        <v>0</v>
      </c>
      <c r="F191" s="1">
        <v>3.77</v>
      </c>
      <c r="G191" s="2">
        <v>0</v>
      </c>
      <c r="H191" s="1"/>
      <c r="I191" s="2"/>
      <c r="J191" s="1">
        <v>4.43</v>
      </c>
      <c r="K191" s="2">
        <v>0</v>
      </c>
      <c r="L191" s="1">
        <v>4.27</v>
      </c>
      <c r="M191" s="2">
        <v>0</v>
      </c>
      <c r="N191" s="1">
        <v>3.47</v>
      </c>
      <c r="O191" s="2">
        <v>0</v>
      </c>
      <c r="P191" s="1">
        <v>3.44</v>
      </c>
      <c r="Q191" s="2">
        <v>0</v>
      </c>
      <c r="R191" s="1">
        <f>MIN($B191,$D191,$F191,$H191,$J191,$L191,$N191,$P191)</f>
        <v>0</v>
      </c>
      <c r="S191" s="1">
        <f>MIN($C191,$E191,$G191,$I191,$K191,$M191,$O191,$Q191)</f>
        <v>0</v>
      </c>
      <c r="T191" s="1">
        <f>MEDIAN($B191,$D191,$F191,$H191,$J191,$L191,$N191,$P191)</f>
        <v>0</v>
      </c>
      <c r="U191" s="1">
        <f>MEDIAN($C191,$E191,$G191,$I191,$K191,$M191,$O191,$Q191)</f>
        <v>0</v>
      </c>
      <c r="V191" s="1">
        <f>MAX($B191,$D191,$F191,$H191,$J191,$L191,$N191,$P191)</f>
        <v>0</v>
      </c>
      <c r="W191" s="1">
        <f>MAX($C191,$E191,$G191,$I191,$K191,$M191,$O191,$Q191)</f>
        <v>0</v>
      </c>
    </row>
    <row r="192" spans="1:23">
      <c r="A192" s="1" t="s">
        <v>189</v>
      </c>
      <c r="B192" s="1"/>
      <c r="C192" s="2"/>
      <c r="D192" s="1">
        <v>3.97</v>
      </c>
      <c r="E192" s="2">
        <v>0</v>
      </c>
      <c r="F192" s="1">
        <v>3.83</v>
      </c>
      <c r="G192" s="2">
        <v>0</v>
      </c>
      <c r="H192" s="1"/>
      <c r="I192" s="2"/>
      <c r="J192" s="1">
        <v>4.74</v>
      </c>
      <c r="K192" s="2">
        <v>0</v>
      </c>
      <c r="L192" s="1">
        <v>4.46</v>
      </c>
      <c r="M192" s="2">
        <v>0</v>
      </c>
      <c r="N192" s="1">
        <v>3.81</v>
      </c>
      <c r="O192" s="2">
        <v>0</v>
      </c>
      <c r="P192" s="1">
        <v>3.29</v>
      </c>
      <c r="Q192" s="2">
        <v>0</v>
      </c>
      <c r="R192" s="1">
        <f>MIN($B192,$D192,$F192,$H192,$J192,$L192,$N192,$P192)</f>
        <v>0</v>
      </c>
      <c r="S192" s="1">
        <f>MIN($C192,$E192,$G192,$I192,$K192,$M192,$O192,$Q192)</f>
        <v>0</v>
      </c>
      <c r="T192" s="1">
        <f>MEDIAN($B192,$D192,$F192,$H192,$J192,$L192,$N192,$P192)</f>
        <v>0</v>
      </c>
      <c r="U192" s="1">
        <f>MEDIAN($C192,$E192,$G192,$I192,$K192,$M192,$O192,$Q192)</f>
        <v>0</v>
      </c>
      <c r="V192" s="1">
        <f>MAX($B192,$D192,$F192,$H192,$J192,$L192,$N192,$P192)</f>
        <v>0</v>
      </c>
      <c r="W192" s="1">
        <f>MAX($C192,$E192,$G192,$I192,$K192,$M192,$O192,$Q192)</f>
        <v>0</v>
      </c>
    </row>
    <row r="193" spans="1:23">
      <c r="A193" s="1" t="s">
        <v>190</v>
      </c>
      <c r="B193" s="1"/>
      <c r="C193" s="2"/>
      <c r="D193" s="1">
        <v>3.78</v>
      </c>
      <c r="E193" s="2">
        <v>0</v>
      </c>
      <c r="F193" s="1">
        <v>4.28</v>
      </c>
      <c r="G193" s="2">
        <v>0</v>
      </c>
      <c r="H193" s="1"/>
      <c r="I193" s="2"/>
      <c r="J193" s="1">
        <v>4.28</v>
      </c>
      <c r="K193" s="2">
        <v>0</v>
      </c>
      <c r="L193" s="1">
        <v>4.68</v>
      </c>
      <c r="M193" s="2">
        <v>0</v>
      </c>
      <c r="N193" s="1">
        <v>3.37</v>
      </c>
      <c r="O193" s="2">
        <v>0</v>
      </c>
      <c r="P193" s="1">
        <v>3.4</v>
      </c>
      <c r="Q193" s="2">
        <v>0</v>
      </c>
      <c r="R193" s="1">
        <f>MIN($B193,$D193,$F193,$H193,$J193,$L193,$N193,$P193)</f>
        <v>0</v>
      </c>
      <c r="S193" s="1">
        <f>MIN($C193,$E193,$G193,$I193,$K193,$M193,$O193,$Q193)</f>
        <v>0</v>
      </c>
      <c r="T193" s="1">
        <f>MEDIAN($B193,$D193,$F193,$H193,$J193,$L193,$N193,$P193)</f>
        <v>0</v>
      </c>
      <c r="U193" s="1">
        <f>MEDIAN($C193,$E193,$G193,$I193,$K193,$M193,$O193,$Q193)</f>
        <v>0</v>
      </c>
      <c r="V193" s="1">
        <f>MAX($B193,$D193,$F193,$H193,$J193,$L193,$N193,$P193)</f>
        <v>0</v>
      </c>
      <c r="W193" s="1">
        <f>MAX($C193,$E193,$G193,$I193,$K193,$M193,$O193,$Q193)</f>
        <v>0</v>
      </c>
    </row>
    <row r="194" spans="1:23">
      <c r="A194" s="1" t="s">
        <v>191</v>
      </c>
      <c r="B194" s="1"/>
      <c r="C194" s="2"/>
      <c r="D194" s="1">
        <v>5.49</v>
      </c>
      <c r="E194" s="2">
        <v>0</v>
      </c>
      <c r="F194" s="1">
        <v>5.3</v>
      </c>
      <c r="G194" s="2">
        <v>0</v>
      </c>
      <c r="H194" s="1"/>
      <c r="I194" s="2"/>
      <c r="J194" s="4">
        <v>7.27</v>
      </c>
      <c r="K194" s="2">
        <v>0</v>
      </c>
      <c r="L194" s="1">
        <v>4.9</v>
      </c>
      <c r="M194" s="2">
        <v>0</v>
      </c>
      <c r="N194" s="1">
        <v>3.73</v>
      </c>
      <c r="O194" s="2">
        <v>0</v>
      </c>
      <c r="P194" s="3">
        <v>3.65</v>
      </c>
      <c r="Q194" s="2">
        <v>0</v>
      </c>
      <c r="R194" s="1">
        <f>MIN($B194,$D194,$F194,$H194,$J194,$L194,$N194,$P194)</f>
        <v>0</v>
      </c>
      <c r="S194" s="1">
        <f>MIN($C194,$E194,$G194,$I194,$K194,$M194,$O194,$Q194)</f>
        <v>0</v>
      </c>
      <c r="T194" s="1">
        <f>MEDIAN($B194,$D194,$F194,$H194,$J194,$L194,$N194,$P194)</f>
        <v>0</v>
      </c>
      <c r="U194" s="1">
        <f>MEDIAN($C194,$E194,$G194,$I194,$K194,$M194,$O194,$Q194)</f>
        <v>0</v>
      </c>
      <c r="V194" s="1">
        <f>MAX($B194,$D194,$F194,$H194,$J194,$L194,$N194,$P194)</f>
        <v>0</v>
      </c>
      <c r="W194" s="1">
        <f>MAX($C194,$E194,$G194,$I194,$K194,$M194,$O194,$Q194)</f>
        <v>0</v>
      </c>
    </row>
    <row r="195" spans="1:23">
      <c r="A195" s="1" t="s">
        <v>192</v>
      </c>
      <c r="B195" s="1"/>
      <c r="C195" s="2"/>
      <c r="D195" s="1">
        <v>5.02</v>
      </c>
      <c r="E195" s="2">
        <v>0</v>
      </c>
      <c r="F195" s="1">
        <v>6.56</v>
      </c>
      <c r="G195" s="2">
        <v>0</v>
      </c>
      <c r="H195" s="1"/>
      <c r="I195" s="2"/>
      <c r="J195" s="1">
        <v>5.65</v>
      </c>
      <c r="K195" s="2">
        <v>0</v>
      </c>
      <c r="L195" s="1">
        <v>5.87</v>
      </c>
      <c r="M195" s="2">
        <v>0</v>
      </c>
      <c r="N195" s="1">
        <v>4.11</v>
      </c>
      <c r="O195" s="2">
        <v>0</v>
      </c>
      <c r="P195" s="3">
        <v>3.88</v>
      </c>
      <c r="Q195" s="2">
        <v>0</v>
      </c>
      <c r="R195" s="1">
        <f>MIN($B195,$D195,$F195,$H195,$J195,$L195,$N195,$P195)</f>
        <v>0</v>
      </c>
      <c r="S195" s="1">
        <f>MIN($C195,$E195,$G195,$I195,$K195,$M195,$O195,$Q195)</f>
        <v>0</v>
      </c>
      <c r="T195" s="1">
        <f>MEDIAN($B195,$D195,$F195,$H195,$J195,$L195,$N195,$P195)</f>
        <v>0</v>
      </c>
      <c r="U195" s="1">
        <f>MEDIAN($C195,$E195,$G195,$I195,$K195,$M195,$O195,$Q195)</f>
        <v>0</v>
      </c>
      <c r="V195" s="1">
        <f>MAX($B195,$D195,$F195,$H195,$J195,$L195,$N195,$P195)</f>
        <v>0</v>
      </c>
      <c r="W195" s="1">
        <f>MAX($C195,$E195,$G195,$I195,$K195,$M195,$O195,$Q195)</f>
        <v>0</v>
      </c>
    </row>
    <row r="196" spans="1:23">
      <c r="A196" s="1" t="s">
        <v>193</v>
      </c>
      <c r="B196" s="1"/>
      <c r="C196" s="2"/>
      <c r="D196" s="1">
        <v>5.11</v>
      </c>
      <c r="E196" s="2">
        <v>0</v>
      </c>
      <c r="F196" s="1">
        <v>5.76</v>
      </c>
      <c r="G196" s="2">
        <v>0</v>
      </c>
      <c r="H196" s="1"/>
      <c r="I196" s="2"/>
      <c r="J196" s="1">
        <v>5.83</v>
      </c>
      <c r="K196" s="2">
        <v>0</v>
      </c>
      <c r="L196" s="1">
        <v>6.65</v>
      </c>
      <c r="M196" s="2">
        <v>0</v>
      </c>
      <c r="N196" s="1">
        <v>4.55</v>
      </c>
      <c r="O196" s="2">
        <v>0</v>
      </c>
      <c r="P196" s="3">
        <v>4.12</v>
      </c>
      <c r="Q196" s="2">
        <v>0</v>
      </c>
      <c r="R196" s="1">
        <f>MIN($B196,$D196,$F196,$H196,$J196,$L196,$N196,$P196)</f>
        <v>0</v>
      </c>
      <c r="S196" s="1">
        <f>MIN($C196,$E196,$G196,$I196,$K196,$M196,$O196,$Q196)</f>
        <v>0</v>
      </c>
      <c r="T196" s="1">
        <f>MEDIAN($B196,$D196,$F196,$H196,$J196,$L196,$N196,$P196)</f>
        <v>0</v>
      </c>
      <c r="U196" s="1">
        <f>MEDIAN($C196,$E196,$G196,$I196,$K196,$M196,$O196,$Q196)</f>
        <v>0</v>
      </c>
      <c r="V196" s="1">
        <f>MAX($B196,$D196,$F196,$H196,$J196,$L196,$N196,$P196)</f>
        <v>0</v>
      </c>
      <c r="W196" s="1">
        <f>MAX($C196,$E196,$G196,$I196,$K196,$M196,$O196,$Q196)</f>
        <v>0</v>
      </c>
    </row>
    <row r="197" spans="1:23">
      <c r="A197" s="1" t="s">
        <v>194</v>
      </c>
      <c r="B197" s="1"/>
      <c r="C197" s="2"/>
      <c r="D197" s="1">
        <v>4.83</v>
      </c>
      <c r="E197" s="2">
        <v>0</v>
      </c>
      <c r="F197" s="1">
        <v>6.06</v>
      </c>
      <c r="G197" s="2">
        <v>0</v>
      </c>
      <c r="H197" s="1"/>
      <c r="I197" s="2"/>
      <c r="J197" s="1">
        <v>6.24</v>
      </c>
      <c r="K197" s="2">
        <v>0</v>
      </c>
      <c r="L197" s="1">
        <v>6.73</v>
      </c>
      <c r="M197" s="2">
        <v>0</v>
      </c>
      <c r="N197" s="3">
        <v>4.54</v>
      </c>
      <c r="O197" s="2">
        <v>0</v>
      </c>
      <c r="P197" s="1">
        <v>5.58</v>
      </c>
      <c r="Q197" s="2">
        <v>0</v>
      </c>
      <c r="R197" s="1">
        <f>MIN($B197,$D197,$F197,$H197,$J197,$L197,$N197,$P197)</f>
        <v>0</v>
      </c>
      <c r="S197" s="1">
        <f>MIN($C197,$E197,$G197,$I197,$K197,$M197,$O197,$Q197)</f>
        <v>0</v>
      </c>
      <c r="T197" s="1">
        <f>MEDIAN($B197,$D197,$F197,$H197,$J197,$L197,$N197,$P197)</f>
        <v>0</v>
      </c>
      <c r="U197" s="1">
        <f>MEDIAN($C197,$E197,$G197,$I197,$K197,$M197,$O197,$Q197)</f>
        <v>0</v>
      </c>
      <c r="V197" s="1">
        <f>MAX($B197,$D197,$F197,$H197,$J197,$L197,$N197,$P197)</f>
        <v>0</v>
      </c>
      <c r="W197" s="1">
        <f>MAX($C197,$E197,$G197,$I197,$K197,$M197,$O197,$Q197)</f>
        <v>0</v>
      </c>
    </row>
    <row r="198" spans="1:23">
      <c r="A198" s="1" t="s">
        <v>195</v>
      </c>
      <c r="B198" s="1"/>
      <c r="C198" s="2"/>
      <c r="D198" s="1">
        <v>5.85</v>
      </c>
      <c r="E198" s="2">
        <v>0</v>
      </c>
      <c r="F198" s="1">
        <v>6.83</v>
      </c>
      <c r="G198" s="2">
        <v>0</v>
      </c>
      <c r="H198" s="1"/>
      <c r="I198" s="2"/>
      <c r="J198" s="1">
        <v>8.039999999999999</v>
      </c>
      <c r="K198" s="2">
        <v>0</v>
      </c>
      <c r="L198" s="4">
        <v>8.789999999999999</v>
      </c>
      <c r="M198" s="2">
        <v>0</v>
      </c>
      <c r="N198" s="1">
        <v>5.13</v>
      </c>
      <c r="O198" s="2">
        <v>0</v>
      </c>
      <c r="P198" s="3">
        <v>4.28</v>
      </c>
      <c r="Q198" s="2">
        <v>0</v>
      </c>
      <c r="R198" s="1">
        <f>MIN($B198,$D198,$F198,$H198,$J198,$L198,$N198,$P198)</f>
        <v>0</v>
      </c>
      <c r="S198" s="1">
        <f>MIN($C198,$E198,$G198,$I198,$K198,$M198,$O198,$Q198)</f>
        <v>0</v>
      </c>
      <c r="T198" s="1">
        <f>MEDIAN($B198,$D198,$F198,$H198,$J198,$L198,$N198,$P198)</f>
        <v>0</v>
      </c>
      <c r="U198" s="1">
        <f>MEDIAN($C198,$E198,$G198,$I198,$K198,$M198,$O198,$Q198)</f>
        <v>0</v>
      </c>
      <c r="V198" s="1">
        <f>MAX($B198,$D198,$F198,$H198,$J198,$L198,$N198,$P198)</f>
        <v>0</v>
      </c>
      <c r="W198" s="1">
        <f>MAX($C198,$E198,$G198,$I198,$K198,$M198,$O198,$Q198)</f>
        <v>0</v>
      </c>
    </row>
    <row r="199" spans="1:23">
      <c r="A199" s="1" t="s">
        <v>196</v>
      </c>
      <c r="B199" s="1"/>
      <c r="C199" s="2"/>
      <c r="D199" s="1">
        <v>5.67</v>
      </c>
      <c r="E199" s="2">
        <v>0</v>
      </c>
      <c r="F199" s="1">
        <v>6.68</v>
      </c>
      <c r="G199" s="2">
        <v>0</v>
      </c>
      <c r="H199" s="1"/>
      <c r="I199" s="2"/>
      <c r="J199" s="1">
        <v>7.65</v>
      </c>
      <c r="K199" s="2">
        <v>0</v>
      </c>
      <c r="L199" s="4">
        <v>8.27</v>
      </c>
      <c r="M199" s="2">
        <v>0</v>
      </c>
      <c r="N199" s="1">
        <v>5.13</v>
      </c>
      <c r="O199" s="2">
        <v>0</v>
      </c>
      <c r="P199" s="3">
        <v>4.32</v>
      </c>
      <c r="Q199" s="2">
        <v>0</v>
      </c>
      <c r="R199" s="1">
        <f>MIN($B199,$D199,$F199,$H199,$J199,$L199,$N199,$P199)</f>
        <v>0</v>
      </c>
      <c r="S199" s="1">
        <f>MIN($C199,$E199,$G199,$I199,$K199,$M199,$O199,$Q199)</f>
        <v>0</v>
      </c>
      <c r="T199" s="1">
        <f>MEDIAN($B199,$D199,$F199,$H199,$J199,$L199,$N199,$P199)</f>
        <v>0</v>
      </c>
      <c r="U199" s="1">
        <f>MEDIAN($C199,$E199,$G199,$I199,$K199,$M199,$O199,$Q199)</f>
        <v>0</v>
      </c>
      <c r="V199" s="1">
        <f>MAX($B199,$D199,$F199,$H199,$J199,$L199,$N199,$P199)</f>
        <v>0</v>
      </c>
      <c r="W199" s="1">
        <f>MAX($C199,$E199,$G199,$I199,$K199,$M199,$O199,$Q199)</f>
        <v>0</v>
      </c>
    </row>
    <row r="200" spans="1:23">
      <c r="A200" s="1" t="s">
        <v>197</v>
      </c>
      <c r="B200" s="1"/>
      <c r="C200" s="2"/>
      <c r="D200" s="1">
        <v>5.81</v>
      </c>
      <c r="E200" s="2">
        <v>0</v>
      </c>
      <c r="F200" s="1">
        <v>7.03</v>
      </c>
      <c r="G200" s="2">
        <v>0</v>
      </c>
      <c r="H200" s="1"/>
      <c r="I200" s="2"/>
      <c r="J200" s="1">
        <v>7.07</v>
      </c>
      <c r="K200" s="2">
        <v>0</v>
      </c>
      <c r="L200" s="4">
        <v>10.52</v>
      </c>
      <c r="M200" s="2">
        <v>0</v>
      </c>
      <c r="N200" s="3">
        <v>1.03</v>
      </c>
      <c r="O200" s="2">
        <v>0</v>
      </c>
      <c r="P200" s="1">
        <v>4.12</v>
      </c>
      <c r="Q200" s="2">
        <v>0</v>
      </c>
      <c r="R200" s="1">
        <f>MIN($B200,$D200,$F200,$H200,$J200,$L200,$N200,$P200)</f>
        <v>0</v>
      </c>
      <c r="S200" s="1">
        <f>MIN($C200,$E200,$G200,$I200,$K200,$M200,$O200,$Q200)</f>
        <v>0</v>
      </c>
      <c r="T200" s="1">
        <f>MEDIAN($B200,$D200,$F200,$H200,$J200,$L200,$N200,$P200)</f>
        <v>0</v>
      </c>
      <c r="U200" s="1">
        <f>MEDIAN($C200,$E200,$G200,$I200,$K200,$M200,$O200,$Q200)</f>
        <v>0</v>
      </c>
      <c r="V200" s="1">
        <f>MAX($B200,$D200,$F200,$H200,$J200,$L200,$N200,$P200)</f>
        <v>0</v>
      </c>
      <c r="W200" s="1">
        <f>MAX($C200,$E200,$G200,$I200,$K200,$M200,$O200,$Q200)</f>
        <v>0</v>
      </c>
    </row>
    <row r="201" spans="1:23">
      <c r="A201" s="1" t="s">
        <v>198</v>
      </c>
      <c r="B201" s="1"/>
      <c r="C201" s="2"/>
      <c r="D201" s="1">
        <v>5.96</v>
      </c>
      <c r="E201" s="2">
        <v>0</v>
      </c>
      <c r="F201" s="1">
        <v>7.52</v>
      </c>
      <c r="G201" s="2">
        <v>0</v>
      </c>
      <c r="H201" s="1"/>
      <c r="I201" s="2"/>
      <c r="J201" s="1">
        <v>7.46</v>
      </c>
      <c r="K201" s="2">
        <v>0</v>
      </c>
      <c r="L201" s="4">
        <v>10.84</v>
      </c>
      <c r="M201" s="2">
        <v>0</v>
      </c>
      <c r="N201" s="3">
        <v>1.02</v>
      </c>
      <c r="O201" s="2">
        <v>0</v>
      </c>
      <c r="P201" s="1">
        <v>4.32</v>
      </c>
      <c r="Q201" s="2">
        <v>0</v>
      </c>
      <c r="R201" s="1">
        <f>MIN($B201,$D201,$F201,$H201,$J201,$L201,$N201,$P201)</f>
        <v>0</v>
      </c>
      <c r="S201" s="1">
        <f>MIN($C201,$E201,$G201,$I201,$K201,$M201,$O201,$Q201)</f>
        <v>0</v>
      </c>
      <c r="T201" s="1">
        <f>MEDIAN($B201,$D201,$F201,$H201,$J201,$L201,$N201,$P201)</f>
        <v>0</v>
      </c>
      <c r="U201" s="1">
        <f>MEDIAN($C201,$E201,$G201,$I201,$K201,$M201,$O201,$Q201)</f>
        <v>0</v>
      </c>
      <c r="V201" s="1">
        <f>MAX($B201,$D201,$F201,$H201,$J201,$L201,$N201,$P201)</f>
        <v>0</v>
      </c>
      <c r="W201" s="1">
        <f>MAX($C201,$E201,$G201,$I201,$K201,$M201,$O201,$Q201)</f>
        <v>0</v>
      </c>
    </row>
    <row r="202" spans="1:23">
      <c r="A202" s="1" t="s">
        <v>199</v>
      </c>
      <c r="B202" s="1"/>
      <c r="C202" s="2"/>
      <c r="D202" s="1">
        <v>6.66</v>
      </c>
      <c r="E202" s="2">
        <v>0</v>
      </c>
      <c r="F202" s="1">
        <v>7.88</v>
      </c>
      <c r="G202" s="2">
        <v>0</v>
      </c>
      <c r="H202" s="1"/>
      <c r="I202" s="2"/>
      <c r="J202" s="1">
        <v>7.27</v>
      </c>
      <c r="K202" s="2">
        <v>0</v>
      </c>
      <c r="L202" s="1">
        <v>7.79</v>
      </c>
      <c r="M202" s="2">
        <v>0</v>
      </c>
      <c r="N202" s="1">
        <v>5.28</v>
      </c>
      <c r="O202" s="2">
        <v>0</v>
      </c>
      <c r="P202" s="3">
        <v>4.35</v>
      </c>
      <c r="Q202" s="2">
        <v>0</v>
      </c>
      <c r="R202" s="1">
        <f>MIN($B202,$D202,$F202,$H202,$J202,$L202,$N202,$P202)</f>
        <v>0</v>
      </c>
      <c r="S202" s="1">
        <f>MIN($C202,$E202,$G202,$I202,$K202,$M202,$O202,$Q202)</f>
        <v>0</v>
      </c>
      <c r="T202" s="1">
        <f>MEDIAN($B202,$D202,$F202,$H202,$J202,$L202,$N202,$P202)</f>
        <v>0</v>
      </c>
      <c r="U202" s="1">
        <f>MEDIAN($C202,$E202,$G202,$I202,$K202,$M202,$O202,$Q202)</f>
        <v>0</v>
      </c>
      <c r="V202" s="1">
        <f>MAX($B202,$D202,$F202,$H202,$J202,$L202,$N202,$P202)</f>
        <v>0</v>
      </c>
      <c r="W202" s="1">
        <f>MAX($C202,$E202,$G202,$I202,$K202,$M202,$O202,$Q202)</f>
        <v>0</v>
      </c>
    </row>
    <row r="203" spans="1:23">
      <c r="A203" s="1" t="s">
        <v>200</v>
      </c>
      <c r="B203" s="1"/>
      <c r="C203" s="2"/>
      <c r="D203" s="1">
        <v>6.99</v>
      </c>
      <c r="E203" s="2">
        <v>0</v>
      </c>
      <c r="F203" s="4">
        <v>11.9</v>
      </c>
      <c r="G203" s="2">
        <v>0</v>
      </c>
      <c r="H203" s="1"/>
      <c r="I203" s="2"/>
      <c r="J203" s="1">
        <v>8.41</v>
      </c>
      <c r="K203" s="2">
        <v>0</v>
      </c>
      <c r="L203" s="1">
        <v>8.300000000000001</v>
      </c>
      <c r="M203" s="2">
        <v>0</v>
      </c>
      <c r="N203" s="1">
        <v>4.98</v>
      </c>
      <c r="O203" s="2">
        <v>0</v>
      </c>
      <c r="P203" s="3">
        <v>0.79</v>
      </c>
      <c r="Q203" s="2">
        <v>0</v>
      </c>
      <c r="R203" s="1">
        <f>MIN($B203,$D203,$F203,$H203,$J203,$L203,$N203,$P203)</f>
        <v>0</v>
      </c>
      <c r="S203" s="1">
        <f>MIN($C203,$E203,$G203,$I203,$K203,$M203,$O203,$Q203)</f>
        <v>0</v>
      </c>
      <c r="T203" s="1">
        <f>MEDIAN($B203,$D203,$F203,$H203,$J203,$L203,$N203,$P203)</f>
        <v>0</v>
      </c>
      <c r="U203" s="1">
        <f>MEDIAN($C203,$E203,$G203,$I203,$K203,$M203,$O203,$Q203)</f>
        <v>0</v>
      </c>
      <c r="V203" s="1">
        <f>MAX($B203,$D203,$F203,$H203,$J203,$L203,$N203,$P203)</f>
        <v>0</v>
      </c>
      <c r="W203" s="1">
        <f>MAX($C203,$E203,$G203,$I203,$K203,$M203,$O203,$Q203)</f>
        <v>0</v>
      </c>
    </row>
    <row r="204" spans="1:23">
      <c r="A204" s="1" t="s">
        <v>201</v>
      </c>
      <c r="B204" s="1"/>
      <c r="C204" s="2"/>
      <c r="D204" s="1">
        <v>6.48</v>
      </c>
      <c r="E204" s="2">
        <v>0</v>
      </c>
      <c r="F204" s="1">
        <v>7.04</v>
      </c>
      <c r="G204" s="2">
        <v>0</v>
      </c>
      <c r="H204" s="1"/>
      <c r="I204" s="2"/>
      <c r="J204" s="1">
        <v>7.35</v>
      </c>
      <c r="K204" s="2">
        <v>0</v>
      </c>
      <c r="L204" s="1">
        <v>8.210000000000001</v>
      </c>
      <c r="M204" s="2">
        <v>0</v>
      </c>
      <c r="N204" s="3">
        <v>1.04</v>
      </c>
      <c r="O204" s="2">
        <v>0</v>
      </c>
      <c r="P204" s="1">
        <v>4.2</v>
      </c>
      <c r="Q204" s="2">
        <v>0</v>
      </c>
      <c r="R204" s="1">
        <f>MIN($B204,$D204,$F204,$H204,$J204,$L204,$N204,$P204)</f>
        <v>0</v>
      </c>
      <c r="S204" s="1">
        <f>MIN($C204,$E204,$G204,$I204,$K204,$M204,$O204,$Q204)</f>
        <v>0</v>
      </c>
      <c r="T204" s="1">
        <f>MEDIAN($B204,$D204,$F204,$H204,$J204,$L204,$N204,$P204)</f>
        <v>0</v>
      </c>
      <c r="U204" s="1">
        <f>MEDIAN($C204,$E204,$G204,$I204,$K204,$M204,$O204,$Q204)</f>
        <v>0</v>
      </c>
      <c r="V204" s="1">
        <f>MAX($B204,$D204,$F204,$H204,$J204,$L204,$N204,$P204)</f>
        <v>0</v>
      </c>
      <c r="W204" s="1">
        <f>MAX($C204,$E204,$G204,$I204,$K204,$M204,$O204,$Q204)</f>
        <v>0</v>
      </c>
    </row>
    <row r="205" spans="1:23">
      <c r="A205" s="1" t="s">
        <v>202</v>
      </c>
      <c r="B205" s="1"/>
      <c r="C205" s="2"/>
      <c r="D205" s="1">
        <v>6.42</v>
      </c>
      <c r="E205" s="2">
        <v>0</v>
      </c>
      <c r="F205" s="4">
        <v>9.960000000000001</v>
      </c>
      <c r="G205" s="2">
        <v>0</v>
      </c>
      <c r="H205" s="1"/>
      <c r="I205" s="2"/>
      <c r="J205" s="1">
        <v>7.73</v>
      </c>
      <c r="K205" s="2">
        <v>0</v>
      </c>
      <c r="L205" s="1">
        <v>9.25</v>
      </c>
      <c r="M205" s="2">
        <v>0</v>
      </c>
      <c r="N205" s="1">
        <v>5.36</v>
      </c>
      <c r="O205" s="2">
        <v>0</v>
      </c>
      <c r="P205" s="3">
        <v>4.46</v>
      </c>
      <c r="Q205" s="2">
        <v>0</v>
      </c>
      <c r="R205" s="1">
        <f>MIN($B205,$D205,$F205,$H205,$J205,$L205,$N205,$P205)</f>
        <v>0</v>
      </c>
      <c r="S205" s="1">
        <f>MIN($C205,$E205,$G205,$I205,$K205,$M205,$O205,$Q205)</f>
        <v>0</v>
      </c>
      <c r="T205" s="1">
        <f>MEDIAN($B205,$D205,$F205,$H205,$J205,$L205,$N205,$P205)</f>
        <v>0</v>
      </c>
      <c r="U205" s="1">
        <f>MEDIAN($C205,$E205,$G205,$I205,$K205,$M205,$O205,$Q205)</f>
        <v>0</v>
      </c>
      <c r="V205" s="1">
        <f>MAX($B205,$D205,$F205,$H205,$J205,$L205,$N205,$P205)</f>
        <v>0</v>
      </c>
      <c r="W205" s="1">
        <f>MAX($C205,$E205,$G205,$I205,$K205,$M205,$O205,$Q205)</f>
        <v>0</v>
      </c>
    </row>
    <row r="206" spans="1:23">
      <c r="A206" s="1" t="s">
        <v>203</v>
      </c>
      <c r="B206" s="1"/>
      <c r="C206" s="2"/>
      <c r="D206" s="1">
        <v>4.62</v>
      </c>
      <c r="E206" s="2">
        <v>0</v>
      </c>
      <c r="F206" s="1">
        <v>5.64</v>
      </c>
      <c r="G206" s="2">
        <v>0</v>
      </c>
      <c r="H206" s="1"/>
      <c r="I206" s="2"/>
      <c r="J206" s="1">
        <v>5.4</v>
      </c>
      <c r="K206" s="2">
        <v>0</v>
      </c>
      <c r="L206" s="1">
        <v>6.46</v>
      </c>
      <c r="M206" s="2">
        <v>0</v>
      </c>
      <c r="N206" s="3">
        <v>0.5600000000000001</v>
      </c>
      <c r="O206" s="2">
        <v>0</v>
      </c>
      <c r="P206" s="1">
        <v>3.8</v>
      </c>
      <c r="Q206" s="2">
        <v>0</v>
      </c>
      <c r="R206" s="1">
        <f>MIN($B206,$D206,$F206,$H206,$J206,$L206,$N206,$P206)</f>
        <v>0</v>
      </c>
      <c r="S206" s="1">
        <f>MIN($C206,$E206,$G206,$I206,$K206,$M206,$O206,$Q206)</f>
        <v>0</v>
      </c>
      <c r="T206" s="1">
        <f>MEDIAN($B206,$D206,$F206,$H206,$J206,$L206,$N206,$P206)</f>
        <v>0</v>
      </c>
      <c r="U206" s="1">
        <f>MEDIAN($C206,$E206,$G206,$I206,$K206,$M206,$O206,$Q206)</f>
        <v>0</v>
      </c>
      <c r="V206" s="1">
        <f>MAX($B206,$D206,$F206,$H206,$J206,$L206,$N206,$P206)</f>
        <v>0</v>
      </c>
      <c r="W206" s="1">
        <f>MAX($C206,$E206,$G206,$I206,$K206,$M206,$O206,$Q206)</f>
        <v>0</v>
      </c>
    </row>
    <row r="207" spans="1:23">
      <c r="A207" s="1" t="s">
        <v>204</v>
      </c>
      <c r="B207" s="1"/>
      <c r="C207" s="2"/>
      <c r="D207" s="1">
        <v>4.97</v>
      </c>
      <c r="E207" s="2">
        <v>0</v>
      </c>
      <c r="F207" s="1">
        <v>4.9</v>
      </c>
      <c r="G207" s="2">
        <v>0</v>
      </c>
      <c r="H207" s="1"/>
      <c r="I207" s="2"/>
      <c r="J207" s="1">
        <v>5.47</v>
      </c>
      <c r="K207" s="2">
        <v>0</v>
      </c>
      <c r="L207" s="4">
        <v>7.08</v>
      </c>
      <c r="M207" s="2">
        <v>0</v>
      </c>
      <c r="N207" s="3">
        <v>4.08</v>
      </c>
      <c r="O207" s="2">
        <v>0</v>
      </c>
      <c r="P207" s="1">
        <v>4.11</v>
      </c>
      <c r="Q207" s="2">
        <v>0</v>
      </c>
      <c r="R207" s="1">
        <f>MIN($B207,$D207,$F207,$H207,$J207,$L207,$N207,$P207)</f>
        <v>0</v>
      </c>
      <c r="S207" s="1">
        <f>MIN($C207,$E207,$G207,$I207,$K207,$M207,$O207,$Q207)</f>
        <v>0</v>
      </c>
      <c r="T207" s="1">
        <f>MEDIAN($B207,$D207,$F207,$H207,$J207,$L207,$N207,$P207)</f>
        <v>0</v>
      </c>
      <c r="U207" s="1">
        <f>MEDIAN($C207,$E207,$G207,$I207,$K207,$M207,$O207,$Q207)</f>
        <v>0</v>
      </c>
      <c r="V207" s="1">
        <f>MAX($B207,$D207,$F207,$H207,$J207,$L207,$N207,$P207)</f>
        <v>0</v>
      </c>
      <c r="W207" s="1">
        <f>MAX($C207,$E207,$G207,$I207,$K207,$M207,$O207,$Q207)</f>
        <v>0</v>
      </c>
    </row>
    <row r="208" spans="1:23">
      <c r="A208" s="1" t="s">
        <v>205</v>
      </c>
      <c r="B208" s="1"/>
      <c r="C208" s="2"/>
      <c r="D208" s="1">
        <v>5.14</v>
      </c>
      <c r="E208" s="2">
        <v>0</v>
      </c>
      <c r="F208" s="4">
        <v>8.609999999999999</v>
      </c>
      <c r="G208" s="2">
        <v>0</v>
      </c>
      <c r="H208" s="1"/>
      <c r="I208" s="2"/>
      <c r="J208" s="1">
        <v>5.51</v>
      </c>
      <c r="K208" s="2">
        <v>0</v>
      </c>
      <c r="L208" s="1">
        <v>7.22</v>
      </c>
      <c r="M208" s="2">
        <v>0</v>
      </c>
      <c r="N208" s="3">
        <v>0.5600000000000001</v>
      </c>
      <c r="O208" s="2">
        <v>0</v>
      </c>
      <c r="P208" s="1">
        <v>3.4</v>
      </c>
      <c r="Q208" s="2">
        <v>0</v>
      </c>
      <c r="R208" s="1">
        <f>MIN($B208,$D208,$F208,$H208,$J208,$L208,$N208,$P208)</f>
        <v>0</v>
      </c>
      <c r="S208" s="1">
        <f>MIN($C208,$E208,$G208,$I208,$K208,$M208,$O208,$Q208)</f>
        <v>0</v>
      </c>
      <c r="T208" s="1">
        <f>MEDIAN($B208,$D208,$F208,$H208,$J208,$L208,$N208,$P208)</f>
        <v>0</v>
      </c>
      <c r="U208" s="1">
        <f>MEDIAN($C208,$E208,$G208,$I208,$K208,$M208,$O208,$Q208)</f>
        <v>0</v>
      </c>
      <c r="V208" s="1">
        <f>MAX($B208,$D208,$F208,$H208,$J208,$L208,$N208,$P208)</f>
        <v>0</v>
      </c>
      <c r="W208" s="1">
        <f>MAX($C208,$E208,$G208,$I208,$K208,$M208,$O208,$Q208)</f>
        <v>0</v>
      </c>
    </row>
    <row r="209" spans="1:23">
      <c r="A209" s="1" t="s">
        <v>206</v>
      </c>
      <c r="B209" s="1"/>
      <c r="C209" s="2"/>
      <c r="D209" s="1">
        <v>5.3</v>
      </c>
      <c r="E209" s="2">
        <v>0</v>
      </c>
      <c r="F209" s="1">
        <v>6</v>
      </c>
      <c r="G209" s="2">
        <v>0</v>
      </c>
      <c r="H209" s="1"/>
      <c r="I209" s="2"/>
      <c r="J209" s="1">
        <v>5.94</v>
      </c>
      <c r="K209" s="2">
        <v>0</v>
      </c>
      <c r="L209" s="1">
        <v>6.56</v>
      </c>
      <c r="M209" s="2">
        <v>0</v>
      </c>
      <c r="N209" s="3">
        <v>3.78</v>
      </c>
      <c r="O209" s="2">
        <v>0</v>
      </c>
      <c r="P209" s="1">
        <v>3.81</v>
      </c>
      <c r="Q209" s="2">
        <v>0</v>
      </c>
      <c r="R209" s="1">
        <f>MIN($B209,$D209,$F209,$H209,$J209,$L209,$N209,$P209)</f>
        <v>0</v>
      </c>
      <c r="S209" s="1">
        <f>MIN($C209,$E209,$G209,$I209,$K209,$M209,$O209,$Q209)</f>
        <v>0</v>
      </c>
      <c r="T209" s="1">
        <f>MEDIAN($B209,$D209,$F209,$H209,$J209,$L209,$N209,$P209)</f>
        <v>0</v>
      </c>
      <c r="U209" s="1">
        <f>MEDIAN($C209,$E209,$G209,$I209,$K209,$M209,$O209,$Q209)</f>
        <v>0</v>
      </c>
      <c r="V209" s="1">
        <f>MAX($B209,$D209,$F209,$H209,$J209,$L209,$N209,$P209)</f>
        <v>0</v>
      </c>
      <c r="W209" s="1">
        <f>MAX($C209,$E209,$G209,$I209,$K209,$M209,$O209,$Q209)</f>
        <v>0</v>
      </c>
    </row>
    <row r="210" spans="1:23">
      <c r="A210" s="1" t="s">
        <v>207</v>
      </c>
      <c r="B210" s="1"/>
      <c r="C210" s="2"/>
      <c r="D210" s="1">
        <v>5.12</v>
      </c>
      <c r="E210" s="2">
        <v>0</v>
      </c>
      <c r="F210" s="4">
        <v>8.33</v>
      </c>
      <c r="G210" s="2">
        <v>0</v>
      </c>
      <c r="H210" s="1"/>
      <c r="I210" s="2"/>
      <c r="J210" s="1">
        <v>5.59</v>
      </c>
      <c r="K210" s="2">
        <v>0</v>
      </c>
      <c r="L210" s="1">
        <v>6.24</v>
      </c>
      <c r="M210" s="2">
        <v>0</v>
      </c>
      <c r="N210" s="3">
        <v>0.66</v>
      </c>
      <c r="O210" s="2">
        <v>0</v>
      </c>
      <c r="P210" s="1">
        <v>3.43</v>
      </c>
      <c r="Q210" s="2">
        <v>0</v>
      </c>
      <c r="R210" s="1">
        <f>MIN($B210,$D210,$F210,$H210,$J210,$L210,$N210,$P210)</f>
        <v>0</v>
      </c>
      <c r="S210" s="1">
        <f>MIN($C210,$E210,$G210,$I210,$K210,$M210,$O210,$Q210)</f>
        <v>0</v>
      </c>
      <c r="T210" s="1">
        <f>MEDIAN($B210,$D210,$F210,$H210,$J210,$L210,$N210,$P210)</f>
        <v>0</v>
      </c>
      <c r="U210" s="1">
        <f>MEDIAN($C210,$E210,$G210,$I210,$K210,$M210,$O210,$Q210)</f>
        <v>0</v>
      </c>
      <c r="V210" s="1">
        <f>MAX($B210,$D210,$F210,$H210,$J210,$L210,$N210,$P210)</f>
        <v>0</v>
      </c>
      <c r="W210" s="1">
        <f>MAX($C210,$E210,$G210,$I210,$K210,$M210,$O210,$Q210)</f>
        <v>0</v>
      </c>
    </row>
    <row r="211" spans="1:23">
      <c r="A211" s="1" t="s">
        <v>208</v>
      </c>
      <c r="B211" s="1"/>
      <c r="C211" s="2"/>
      <c r="D211" s="1">
        <v>5.15</v>
      </c>
      <c r="E211" s="2">
        <v>0</v>
      </c>
      <c r="F211" s="1">
        <v>5.36</v>
      </c>
      <c r="G211" s="2">
        <v>0</v>
      </c>
      <c r="H211" s="1"/>
      <c r="I211" s="2"/>
      <c r="J211" s="1">
        <v>6.19</v>
      </c>
      <c r="K211" s="2">
        <v>0</v>
      </c>
      <c r="L211" s="4">
        <v>7.52</v>
      </c>
      <c r="M211" s="2">
        <v>0</v>
      </c>
      <c r="N211" s="1">
        <v>4.44</v>
      </c>
      <c r="O211" s="2">
        <v>0</v>
      </c>
      <c r="P211" s="3">
        <v>3.74</v>
      </c>
      <c r="Q211" s="2">
        <v>0</v>
      </c>
      <c r="R211" s="1">
        <f>MIN($B211,$D211,$F211,$H211,$J211,$L211,$N211,$P211)</f>
        <v>0</v>
      </c>
      <c r="S211" s="1">
        <f>MIN($C211,$E211,$G211,$I211,$K211,$M211,$O211,$Q211)</f>
        <v>0</v>
      </c>
      <c r="T211" s="1">
        <f>MEDIAN($B211,$D211,$F211,$H211,$J211,$L211,$N211,$P211)</f>
        <v>0</v>
      </c>
      <c r="U211" s="1">
        <f>MEDIAN($C211,$E211,$G211,$I211,$K211,$M211,$O211,$Q211)</f>
        <v>0</v>
      </c>
      <c r="V211" s="1">
        <f>MAX($B211,$D211,$F211,$H211,$J211,$L211,$N211,$P211)</f>
        <v>0</v>
      </c>
      <c r="W211" s="1">
        <f>MAX($C211,$E211,$G211,$I211,$K211,$M211,$O211,$Q211)</f>
        <v>0</v>
      </c>
    </row>
    <row r="212" spans="1:23">
      <c r="A212" s="1" t="s">
        <v>209</v>
      </c>
      <c r="B212" s="1"/>
      <c r="C212" s="2"/>
      <c r="D212" s="1">
        <v>4.9</v>
      </c>
      <c r="E212" s="2">
        <v>0</v>
      </c>
      <c r="F212" s="3">
        <v>1.43</v>
      </c>
      <c r="G212" s="2">
        <v>0</v>
      </c>
      <c r="H212" s="1"/>
      <c r="I212" s="2"/>
      <c r="J212" s="1">
        <v>5.39</v>
      </c>
      <c r="K212" s="2">
        <v>0</v>
      </c>
      <c r="L212" s="4">
        <v>6.67</v>
      </c>
      <c r="M212" s="2">
        <v>0</v>
      </c>
      <c r="N212" s="1">
        <v>4.13</v>
      </c>
      <c r="O212" s="2">
        <v>0</v>
      </c>
      <c r="P212" s="1">
        <v>4.14</v>
      </c>
      <c r="Q212" s="2">
        <v>0</v>
      </c>
      <c r="R212" s="1">
        <f>MIN($B212,$D212,$F212,$H212,$J212,$L212,$N212,$P212)</f>
        <v>0</v>
      </c>
      <c r="S212" s="1">
        <f>MIN($C212,$E212,$G212,$I212,$K212,$M212,$O212,$Q212)</f>
        <v>0</v>
      </c>
      <c r="T212" s="1">
        <f>MEDIAN($B212,$D212,$F212,$H212,$J212,$L212,$N212,$P212)</f>
        <v>0</v>
      </c>
      <c r="U212" s="1">
        <f>MEDIAN($C212,$E212,$G212,$I212,$K212,$M212,$O212,$Q212)</f>
        <v>0</v>
      </c>
      <c r="V212" s="1">
        <f>MAX($B212,$D212,$F212,$H212,$J212,$L212,$N212,$P212)</f>
        <v>0</v>
      </c>
      <c r="W212" s="1">
        <f>MAX($C212,$E212,$G212,$I212,$K212,$M212,$O212,$Q212)</f>
        <v>0</v>
      </c>
    </row>
    <row r="213" spans="1:23">
      <c r="A213" s="1" t="s">
        <v>210</v>
      </c>
      <c r="B213" s="1"/>
      <c r="C213" s="2"/>
      <c r="D213" s="4">
        <v>8.279999999999999</v>
      </c>
      <c r="E213" s="2">
        <v>0</v>
      </c>
      <c r="F213" s="1">
        <v>6.42</v>
      </c>
      <c r="G213" s="2">
        <v>0</v>
      </c>
      <c r="H213" s="1"/>
      <c r="I213" s="2"/>
      <c r="J213" s="1">
        <v>5.84</v>
      </c>
      <c r="K213" s="2">
        <v>0</v>
      </c>
      <c r="L213" s="1">
        <v>7.22</v>
      </c>
      <c r="M213" s="2">
        <v>0</v>
      </c>
      <c r="N213" s="3">
        <v>3.82</v>
      </c>
      <c r="O213" s="2">
        <v>0</v>
      </c>
      <c r="P213" s="1">
        <v>4.52</v>
      </c>
      <c r="Q213" s="2">
        <v>0</v>
      </c>
      <c r="R213" s="1">
        <f>MIN($B213,$D213,$F213,$H213,$J213,$L213,$N213,$P213)</f>
        <v>0</v>
      </c>
      <c r="S213" s="1">
        <f>MIN($C213,$E213,$G213,$I213,$K213,$M213,$O213,$Q213)</f>
        <v>0</v>
      </c>
      <c r="T213" s="1">
        <f>MEDIAN($B213,$D213,$F213,$H213,$J213,$L213,$N213,$P213)</f>
        <v>0</v>
      </c>
      <c r="U213" s="1">
        <f>MEDIAN($C213,$E213,$G213,$I213,$K213,$M213,$O213,$Q213)</f>
        <v>0</v>
      </c>
      <c r="V213" s="1">
        <f>MAX($B213,$D213,$F213,$H213,$J213,$L213,$N213,$P213)</f>
        <v>0</v>
      </c>
      <c r="W213" s="1">
        <f>MAX($C213,$E213,$G213,$I213,$K213,$M213,$O213,$Q213)</f>
        <v>0</v>
      </c>
    </row>
    <row r="214" spans="1:23">
      <c r="A214" s="1" t="s">
        <v>211</v>
      </c>
      <c r="B214" s="1"/>
      <c r="C214" s="2"/>
      <c r="D214" s="1">
        <v>7.45</v>
      </c>
      <c r="E214" s="2">
        <v>0</v>
      </c>
      <c r="F214" s="4">
        <v>10.71</v>
      </c>
      <c r="G214" s="2">
        <v>0</v>
      </c>
      <c r="H214" s="1"/>
      <c r="I214" s="2"/>
      <c r="J214" s="1">
        <v>5.81</v>
      </c>
      <c r="K214" s="2">
        <v>0</v>
      </c>
      <c r="L214" s="1">
        <v>7.54</v>
      </c>
      <c r="M214" s="2">
        <v>0</v>
      </c>
      <c r="N214" s="1">
        <v>4.68</v>
      </c>
      <c r="O214" s="2">
        <v>0</v>
      </c>
      <c r="P214" s="3">
        <v>4.09</v>
      </c>
      <c r="Q214" s="2">
        <v>0</v>
      </c>
      <c r="R214" s="1">
        <f>MIN($B214,$D214,$F214,$H214,$J214,$L214,$N214,$P214)</f>
        <v>0</v>
      </c>
      <c r="S214" s="1">
        <f>MIN($C214,$E214,$G214,$I214,$K214,$M214,$O214,$Q214)</f>
        <v>0</v>
      </c>
      <c r="T214" s="1">
        <f>MEDIAN($B214,$D214,$F214,$H214,$J214,$L214,$N214,$P214)</f>
        <v>0</v>
      </c>
      <c r="U214" s="1">
        <f>MEDIAN($C214,$E214,$G214,$I214,$K214,$M214,$O214,$Q214)</f>
        <v>0</v>
      </c>
      <c r="V214" s="1">
        <f>MAX($B214,$D214,$F214,$H214,$J214,$L214,$N214,$P214)</f>
        <v>0</v>
      </c>
      <c r="W214" s="1">
        <f>MAX($C214,$E214,$G214,$I214,$K214,$M214,$O214,$Q214)</f>
        <v>0</v>
      </c>
    </row>
    <row r="215" spans="1:23">
      <c r="A215" s="1" t="s">
        <v>212</v>
      </c>
      <c r="B215" s="1"/>
      <c r="C215" s="2"/>
      <c r="D215" s="1">
        <v>7.85</v>
      </c>
      <c r="E215" s="2">
        <v>0</v>
      </c>
      <c r="F215" s="4">
        <v>9.460000000000001</v>
      </c>
      <c r="G215" s="2">
        <v>0</v>
      </c>
      <c r="H215" s="1"/>
      <c r="I215" s="2"/>
      <c r="J215" s="1">
        <v>6.1</v>
      </c>
      <c r="K215" s="2">
        <v>0</v>
      </c>
      <c r="L215" s="1">
        <v>6.82</v>
      </c>
      <c r="M215" s="2">
        <v>0</v>
      </c>
      <c r="N215" s="1">
        <v>7.06</v>
      </c>
      <c r="O215" s="2">
        <v>0</v>
      </c>
      <c r="P215" s="3">
        <v>4.5</v>
      </c>
      <c r="Q215" s="2">
        <v>0</v>
      </c>
      <c r="R215" s="1">
        <f>MIN($B215,$D215,$F215,$H215,$J215,$L215,$N215,$P215)</f>
        <v>0</v>
      </c>
      <c r="S215" s="1">
        <f>MIN($C215,$E215,$G215,$I215,$K215,$M215,$O215,$Q215)</f>
        <v>0</v>
      </c>
      <c r="T215" s="1">
        <f>MEDIAN($B215,$D215,$F215,$H215,$J215,$L215,$N215,$P215)</f>
        <v>0</v>
      </c>
      <c r="U215" s="1">
        <f>MEDIAN($C215,$E215,$G215,$I215,$K215,$M215,$O215,$Q215)</f>
        <v>0</v>
      </c>
      <c r="V215" s="1">
        <f>MAX($B215,$D215,$F215,$H215,$J215,$L215,$N215,$P215)</f>
        <v>0</v>
      </c>
      <c r="W215" s="1">
        <f>MAX($C215,$E215,$G215,$I215,$K215,$M215,$O215,$Q215)</f>
        <v>0</v>
      </c>
    </row>
    <row r="216" spans="1:23">
      <c r="A216" s="1" t="s">
        <v>213</v>
      </c>
      <c r="B216" s="1"/>
      <c r="C216" s="2"/>
      <c r="D216" s="1">
        <v>26.99</v>
      </c>
      <c r="E216" s="2">
        <v>0</v>
      </c>
      <c r="F216" s="4">
        <v>31.03</v>
      </c>
      <c r="G216" s="2">
        <v>0</v>
      </c>
      <c r="H216" s="1"/>
      <c r="I216" s="2"/>
      <c r="J216" s="1">
        <v>7.77</v>
      </c>
      <c r="K216" s="2">
        <v>0</v>
      </c>
      <c r="L216" s="1">
        <v>10.65</v>
      </c>
      <c r="M216" s="2">
        <v>0</v>
      </c>
      <c r="N216" s="1">
        <v>5.87</v>
      </c>
      <c r="O216" s="2">
        <v>0</v>
      </c>
      <c r="P216" s="3">
        <v>4.88</v>
      </c>
      <c r="Q216" s="2">
        <v>0</v>
      </c>
      <c r="R216" s="1">
        <f>MIN($B216,$D216,$F216,$H216,$J216,$L216,$N216,$P216)</f>
        <v>0</v>
      </c>
      <c r="S216" s="1">
        <f>MIN($C216,$E216,$G216,$I216,$K216,$M216,$O216,$Q216)</f>
        <v>0</v>
      </c>
      <c r="T216" s="1">
        <f>MEDIAN($B216,$D216,$F216,$H216,$J216,$L216,$N216,$P216)</f>
        <v>0</v>
      </c>
      <c r="U216" s="1">
        <f>MEDIAN($C216,$E216,$G216,$I216,$K216,$M216,$O216,$Q216)</f>
        <v>0</v>
      </c>
      <c r="V216" s="1">
        <f>MAX($B216,$D216,$F216,$H216,$J216,$L216,$N216,$P216)</f>
        <v>0</v>
      </c>
      <c r="W216" s="1">
        <f>MAX($C216,$E216,$G216,$I216,$K216,$M216,$O216,$Q216)</f>
        <v>0</v>
      </c>
    </row>
    <row r="217" spans="1:23">
      <c r="A217" s="1" t="s">
        <v>214</v>
      </c>
      <c r="B217" s="1"/>
      <c r="C217" s="2"/>
      <c r="D217" s="1">
        <v>29.87</v>
      </c>
      <c r="E217" s="2">
        <v>0</v>
      </c>
      <c r="F217" s="4">
        <v>34.18</v>
      </c>
      <c r="G217" s="2">
        <v>0</v>
      </c>
      <c r="H217" s="1"/>
      <c r="I217" s="2"/>
      <c r="J217" s="1">
        <v>8.17</v>
      </c>
      <c r="K217" s="2">
        <v>0</v>
      </c>
      <c r="L217" s="1">
        <v>9.08</v>
      </c>
      <c r="M217" s="2">
        <v>0</v>
      </c>
      <c r="N217" s="3">
        <v>5.25</v>
      </c>
      <c r="O217" s="2">
        <v>0</v>
      </c>
      <c r="P217" s="1">
        <v>5.51</v>
      </c>
      <c r="Q217" s="2">
        <v>0</v>
      </c>
      <c r="R217" s="1">
        <f>MIN($B217,$D217,$F217,$H217,$J217,$L217,$N217,$P217)</f>
        <v>0</v>
      </c>
      <c r="S217" s="1">
        <f>MIN($C217,$E217,$G217,$I217,$K217,$M217,$O217,$Q217)</f>
        <v>0</v>
      </c>
      <c r="T217" s="1">
        <f>MEDIAN($B217,$D217,$F217,$H217,$J217,$L217,$N217,$P217)</f>
        <v>0</v>
      </c>
      <c r="U217" s="1">
        <f>MEDIAN($C217,$E217,$G217,$I217,$K217,$M217,$O217,$Q217)</f>
        <v>0</v>
      </c>
      <c r="V217" s="1">
        <f>MAX($B217,$D217,$F217,$H217,$J217,$L217,$N217,$P217)</f>
        <v>0</v>
      </c>
      <c r="W217" s="1">
        <f>MAX($C217,$E217,$G217,$I217,$K217,$M217,$O217,$Q217)</f>
        <v>0</v>
      </c>
    </row>
    <row r="218" spans="1:23">
      <c r="A218" s="1" t="s">
        <v>215</v>
      </c>
      <c r="B218" s="1"/>
      <c r="C218" s="2"/>
      <c r="D218" s="1">
        <v>60.58</v>
      </c>
      <c r="E218" s="2">
        <v>0</v>
      </c>
      <c r="F218" s="4">
        <v>86.12</v>
      </c>
      <c r="G218" s="2">
        <v>0</v>
      </c>
      <c r="H218" s="1"/>
      <c r="I218" s="2"/>
      <c r="J218" s="1">
        <v>8.01</v>
      </c>
      <c r="K218" s="2">
        <v>0</v>
      </c>
      <c r="L218" s="1">
        <v>11.36</v>
      </c>
      <c r="M218" s="2">
        <v>0</v>
      </c>
      <c r="N218" s="1">
        <v>6.18</v>
      </c>
      <c r="O218" s="2">
        <v>0</v>
      </c>
      <c r="P218" s="3">
        <v>5.27</v>
      </c>
      <c r="Q218" s="2">
        <v>0</v>
      </c>
      <c r="R218" s="1">
        <f>MIN($B218,$D218,$F218,$H218,$J218,$L218,$N218,$P218)</f>
        <v>0</v>
      </c>
      <c r="S218" s="1">
        <f>MIN($C218,$E218,$G218,$I218,$K218,$M218,$O218,$Q218)</f>
        <v>0</v>
      </c>
      <c r="T218" s="1">
        <f>MEDIAN($B218,$D218,$F218,$H218,$J218,$L218,$N218,$P218)</f>
        <v>0</v>
      </c>
      <c r="U218" s="1">
        <f>MEDIAN($C218,$E218,$G218,$I218,$K218,$M218,$O218,$Q218)</f>
        <v>0</v>
      </c>
      <c r="V218" s="1">
        <f>MAX($B218,$D218,$F218,$H218,$J218,$L218,$N218,$P218)</f>
        <v>0</v>
      </c>
      <c r="W218" s="1">
        <f>MAX($C218,$E218,$G218,$I218,$K218,$M218,$O218,$Q218)</f>
        <v>0</v>
      </c>
    </row>
    <row r="219" spans="1:23">
      <c r="A219" s="1" t="s">
        <v>216</v>
      </c>
      <c r="B219" s="1"/>
      <c r="C219" s="2"/>
      <c r="D219" s="1">
        <v>76.28</v>
      </c>
      <c r="E219" s="2">
        <v>0</v>
      </c>
      <c r="F219" s="4">
        <v>96.77</v>
      </c>
      <c r="G219" s="2">
        <v>0</v>
      </c>
      <c r="H219" s="1"/>
      <c r="I219" s="2"/>
      <c r="J219" s="1">
        <v>7.84</v>
      </c>
      <c r="K219" s="2">
        <v>0</v>
      </c>
      <c r="L219" s="1">
        <v>10.58</v>
      </c>
      <c r="M219" s="2">
        <v>0</v>
      </c>
      <c r="N219" s="1">
        <v>6.32</v>
      </c>
      <c r="O219" s="2">
        <v>0</v>
      </c>
      <c r="P219" s="3">
        <v>5.18</v>
      </c>
      <c r="Q219" s="2">
        <v>0</v>
      </c>
      <c r="R219" s="1">
        <f>MIN($B219,$D219,$F219,$H219,$J219,$L219,$N219,$P219)</f>
        <v>0</v>
      </c>
      <c r="S219" s="1">
        <f>MIN($C219,$E219,$G219,$I219,$K219,$M219,$O219,$Q219)</f>
        <v>0</v>
      </c>
      <c r="T219" s="1">
        <f>MEDIAN($B219,$D219,$F219,$H219,$J219,$L219,$N219,$P219)</f>
        <v>0</v>
      </c>
      <c r="U219" s="1">
        <f>MEDIAN($C219,$E219,$G219,$I219,$K219,$M219,$O219,$Q219)</f>
        <v>0</v>
      </c>
      <c r="V219" s="1">
        <f>MAX($B219,$D219,$F219,$H219,$J219,$L219,$N219,$P219)</f>
        <v>0</v>
      </c>
      <c r="W219" s="1">
        <f>MAX($C219,$E219,$G219,$I219,$K219,$M219,$O219,$Q219)</f>
        <v>0</v>
      </c>
    </row>
    <row r="220" spans="1:23">
      <c r="A220" s="1" t="s">
        <v>217</v>
      </c>
      <c r="B220" s="1"/>
      <c r="C220" s="2"/>
      <c r="D220" s="1">
        <v>117.5</v>
      </c>
      <c r="E220" s="2">
        <v>0</v>
      </c>
      <c r="F220" s="4">
        <v>141.18</v>
      </c>
      <c r="G220" s="2">
        <v>0</v>
      </c>
      <c r="H220" s="1"/>
      <c r="I220" s="2"/>
      <c r="J220" s="1">
        <v>9.029999999999999</v>
      </c>
      <c r="K220" s="2">
        <v>0</v>
      </c>
      <c r="L220" s="1">
        <v>10.45</v>
      </c>
      <c r="M220" s="2">
        <v>0</v>
      </c>
      <c r="N220" s="1">
        <v>6.79</v>
      </c>
      <c r="O220" s="2">
        <v>0</v>
      </c>
      <c r="P220" s="3">
        <v>4.56</v>
      </c>
      <c r="Q220" s="2">
        <v>0</v>
      </c>
      <c r="R220" s="1">
        <f>MIN($B220,$D220,$F220,$H220,$J220,$L220,$N220,$P220)</f>
        <v>0</v>
      </c>
      <c r="S220" s="1">
        <f>MIN($C220,$E220,$G220,$I220,$K220,$M220,$O220,$Q220)</f>
        <v>0</v>
      </c>
      <c r="T220" s="1">
        <f>MEDIAN($B220,$D220,$F220,$H220,$J220,$L220,$N220,$P220)</f>
        <v>0</v>
      </c>
      <c r="U220" s="1">
        <f>MEDIAN($C220,$E220,$G220,$I220,$K220,$M220,$O220,$Q220)</f>
        <v>0</v>
      </c>
      <c r="V220" s="1">
        <f>MAX($B220,$D220,$F220,$H220,$J220,$L220,$N220,$P220)</f>
        <v>0</v>
      </c>
      <c r="W220" s="1">
        <f>MAX($C220,$E220,$G220,$I220,$K220,$M220,$O220,$Q220)</f>
        <v>0</v>
      </c>
    </row>
    <row r="221" spans="1:23">
      <c r="A221" s="1" t="s">
        <v>218</v>
      </c>
      <c r="B221" s="1"/>
      <c r="C221" s="2"/>
      <c r="D221" s="1">
        <v>329.35</v>
      </c>
      <c r="E221" s="2">
        <v>0</v>
      </c>
      <c r="F221" s="4">
        <v>331.69</v>
      </c>
      <c r="G221" s="2">
        <v>0</v>
      </c>
      <c r="H221" s="1"/>
      <c r="I221" s="2"/>
      <c r="J221" s="1">
        <v>8.01</v>
      </c>
      <c r="K221" s="2">
        <v>0</v>
      </c>
      <c r="L221" s="1">
        <v>13.73</v>
      </c>
      <c r="M221" s="2">
        <v>0</v>
      </c>
      <c r="N221" s="1">
        <v>6.01</v>
      </c>
      <c r="O221" s="2">
        <v>0</v>
      </c>
      <c r="P221" s="3">
        <v>5.39</v>
      </c>
      <c r="Q221" s="2">
        <v>0</v>
      </c>
      <c r="R221" s="1">
        <f>MIN($B221,$D221,$F221,$H221,$J221,$L221,$N221,$P221)</f>
        <v>0</v>
      </c>
      <c r="S221" s="1">
        <f>MIN($C221,$E221,$G221,$I221,$K221,$M221,$O221,$Q221)</f>
        <v>0</v>
      </c>
      <c r="T221" s="1">
        <f>MEDIAN($B221,$D221,$F221,$H221,$J221,$L221,$N221,$P221)</f>
        <v>0</v>
      </c>
      <c r="U221" s="1">
        <f>MEDIAN($C221,$E221,$G221,$I221,$K221,$M221,$O221,$Q221)</f>
        <v>0</v>
      </c>
      <c r="V221" s="1">
        <f>MAX($B221,$D221,$F221,$H221,$J221,$L221,$N221,$P221)</f>
        <v>0</v>
      </c>
      <c r="W221" s="1">
        <f>MAX($C221,$E221,$G221,$I221,$K221,$M221,$O221,$Q221)</f>
        <v>0</v>
      </c>
    </row>
    <row r="222" spans="1:23">
      <c r="A222" s="1" t="s">
        <v>219</v>
      </c>
      <c r="B222" s="1"/>
      <c r="C222" s="2"/>
      <c r="D222" s="1">
        <v>283.75</v>
      </c>
      <c r="E222" s="2">
        <v>0</v>
      </c>
      <c r="F222" s="4">
        <v>415.76</v>
      </c>
      <c r="G222" s="2">
        <v>0</v>
      </c>
      <c r="H222" s="1"/>
      <c r="I222" s="2"/>
      <c r="J222" s="1">
        <v>8.039999999999999</v>
      </c>
      <c r="K222" s="2">
        <v>0</v>
      </c>
      <c r="L222" s="1">
        <v>11.35</v>
      </c>
      <c r="M222" s="2">
        <v>0</v>
      </c>
      <c r="N222" s="1">
        <v>5.66</v>
      </c>
      <c r="O222" s="2">
        <v>0</v>
      </c>
      <c r="P222" s="3">
        <v>1.13</v>
      </c>
      <c r="Q222" s="2">
        <v>0</v>
      </c>
      <c r="R222" s="1">
        <f>MIN($B222,$D222,$F222,$H222,$J222,$L222,$N222,$P222)</f>
        <v>0</v>
      </c>
      <c r="S222" s="1">
        <f>MIN($C222,$E222,$G222,$I222,$K222,$M222,$O222,$Q222)</f>
        <v>0</v>
      </c>
      <c r="T222" s="1">
        <f>MEDIAN($B222,$D222,$F222,$H222,$J222,$L222,$N222,$P222)</f>
        <v>0</v>
      </c>
      <c r="U222" s="1">
        <f>MEDIAN($C222,$E222,$G222,$I222,$K222,$M222,$O222,$Q222)</f>
        <v>0</v>
      </c>
      <c r="V222" s="1">
        <f>MAX($B222,$D222,$F222,$H222,$J222,$L222,$N222,$P222)</f>
        <v>0</v>
      </c>
      <c r="W222" s="1">
        <f>MAX($C222,$E222,$G222,$I222,$K222,$M222,$O222,$Q222)</f>
        <v>0</v>
      </c>
    </row>
    <row r="223" spans="1:23">
      <c r="A223" s="1" t="s">
        <v>220</v>
      </c>
      <c r="B223" s="1"/>
      <c r="C223" s="2"/>
      <c r="D223" s="1">
        <v>927.88</v>
      </c>
      <c r="E223" s="2">
        <v>0</v>
      </c>
      <c r="F223" s="4">
        <v>1200</v>
      </c>
      <c r="G223" s="6">
        <v>1</v>
      </c>
      <c r="H223" s="1"/>
      <c r="I223" s="2"/>
      <c r="J223" s="1">
        <v>8.140000000000001</v>
      </c>
      <c r="K223" s="2">
        <v>0</v>
      </c>
      <c r="L223" s="1">
        <v>13.97</v>
      </c>
      <c r="M223" s="2">
        <v>0</v>
      </c>
      <c r="N223" s="3">
        <v>1.37</v>
      </c>
      <c r="O223" s="2">
        <v>0</v>
      </c>
      <c r="P223" s="1">
        <v>5.57</v>
      </c>
      <c r="Q223" s="2">
        <v>0</v>
      </c>
      <c r="R223" s="1">
        <f>MIN($B223,$D223,$F223,$H223,$J223,$L223,$N223,$P223)</f>
        <v>0</v>
      </c>
      <c r="S223" s="1">
        <f>MIN($C223,$E223,$G223,$I223,$K223,$M223,$O223,$Q223)</f>
        <v>0</v>
      </c>
      <c r="T223" s="1">
        <f>MEDIAN($B223,$D223,$F223,$H223,$J223,$L223,$N223,$P223)</f>
        <v>0</v>
      </c>
      <c r="U223" s="1">
        <f>MEDIAN($C223,$E223,$G223,$I223,$K223,$M223,$O223,$Q223)</f>
        <v>0</v>
      </c>
      <c r="V223" s="1">
        <f>MAX($B223,$D223,$F223,$H223,$J223,$L223,$N223,$P223)</f>
        <v>0</v>
      </c>
      <c r="W223" s="1">
        <f>MAX($C223,$E223,$G223,$I223,$K223,$M223,$O223,$Q223)</f>
        <v>0</v>
      </c>
    </row>
    <row r="224" spans="1:23">
      <c r="A224" s="1" t="s">
        <v>221</v>
      </c>
      <c r="B224" s="1"/>
      <c r="C224" s="2"/>
      <c r="D224" s="1">
        <v>903.87</v>
      </c>
      <c r="E224" s="2">
        <v>0</v>
      </c>
      <c r="F224" s="4">
        <v>1122.77</v>
      </c>
      <c r="G224" s="2">
        <v>0</v>
      </c>
      <c r="H224" s="1"/>
      <c r="I224" s="2"/>
      <c r="J224" s="1">
        <v>8.5</v>
      </c>
      <c r="K224" s="2">
        <v>0</v>
      </c>
      <c r="L224" s="1">
        <v>12.17</v>
      </c>
      <c r="M224" s="2">
        <v>0</v>
      </c>
      <c r="N224" s="1">
        <v>5.15</v>
      </c>
      <c r="O224" s="2">
        <v>0</v>
      </c>
      <c r="P224" s="3">
        <v>5.1</v>
      </c>
      <c r="Q224" s="2">
        <v>0</v>
      </c>
      <c r="R224" s="1">
        <f>MIN($B224,$D224,$F224,$H224,$J224,$L224,$N224,$P224)</f>
        <v>0</v>
      </c>
      <c r="S224" s="1">
        <f>MIN($C224,$E224,$G224,$I224,$K224,$M224,$O224,$Q224)</f>
        <v>0</v>
      </c>
      <c r="T224" s="1">
        <f>MEDIAN($B224,$D224,$F224,$H224,$J224,$L224,$N224,$P224)</f>
        <v>0</v>
      </c>
      <c r="U224" s="1">
        <f>MEDIAN($C224,$E224,$G224,$I224,$K224,$M224,$O224,$Q224)</f>
        <v>0</v>
      </c>
      <c r="V224" s="1">
        <f>MAX($B224,$D224,$F224,$H224,$J224,$L224,$N224,$P224)</f>
        <v>0</v>
      </c>
      <c r="W224" s="1">
        <f>MAX($C224,$E224,$G224,$I224,$K224,$M224,$O224,$Q224)</f>
        <v>0</v>
      </c>
    </row>
    <row r="225" spans="1:23">
      <c r="A225" s="1" t="s">
        <v>222</v>
      </c>
      <c r="B225" s="1"/>
      <c r="C225" s="2"/>
      <c r="D225" s="4">
        <v>1200</v>
      </c>
      <c r="E225" s="6">
        <v>1</v>
      </c>
      <c r="F225" s="4">
        <v>1200</v>
      </c>
      <c r="G225" s="6">
        <v>1</v>
      </c>
      <c r="H225" s="1"/>
      <c r="I225" s="2"/>
      <c r="J225" s="1">
        <v>8.369999999999999</v>
      </c>
      <c r="K225" s="2">
        <v>0</v>
      </c>
      <c r="L225" s="1">
        <v>12.34</v>
      </c>
      <c r="M225" s="2">
        <v>0</v>
      </c>
      <c r="N225" s="3">
        <v>6.09</v>
      </c>
      <c r="O225" s="2">
        <v>0</v>
      </c>
      <c r="P225" s="1">
        <v>7.62</v>
      </c>
      <c r="Q225" s="2">
        <v>0</v>
      </c>
      <c r="R225" s="1">
        <f>MIN($B225,$D225,$F225,$H225,$J225,$L225,$N225,$P225)</f>
        <v>0</v>
      </c>
      <c r="S225" s="1">
        <f>MIN($C225,$E225,$G225,$I225,$K225,$M225,$O225,$Q225)</f>
        <v>0</v>
      </c>
      <c r="T225" s="1">
        <f>MEDIAN($B225,$D225,$F225,$H225,$J225,$L225,$N225,$P225)</f>
        <v>0</v>
      </c>
      <c r="U225" s="1">
        <f>MEDIAN($C225,$E225,$G225,$I225,$K225,$M225,$O225,$Q225)</f>
        <v>0</v>
      </c>
      <c r="V225" s="1">
        <f>MAX($B225,$D225,$F225,$H225,$J225,$L225,$N225,$P225)</f>
        <v>0</v>
      </c>
      <c r="W225" s="1">
        <f>MAX($C225,$E225,$G225,$I225,$K225,$M225,$O225,$Q225)</f>
        <v>0</v>
      </c>
    </row>
    <row r="226" spans="1:23">
      <c r="A226" s="1" t="s">
        <v>223</v>
      </c>
      <c r="B226" s="1"/>
      <c r="C226" s="2"/>
      <c r="D226" s="4">
        <v>8.74</v>
      </c>
      <c r="E226" s="2">
        <v>0</v>
      </c>
      <c r="F226" s="1">
        <v>4.69</v>
      </c>
      <c r="G226" s="2">
        <v>0</v>
      </c>
      <c r="H226" s="1"/>
      <c r="I226" s="2"/>
      <c r="J226" s="1">
        <v>7.3</v>
      </c>
      <c r="K226" s="2">
        <v>0</v>
      </c>
      <c r="L226" s="1">
        <v>7.47</v>
      </c>
      <c r="M226" s="2">
        <v>0</v>
      </c>
      <c r="N226" s="1">
        <v>5.16</v>
      </c>
      <c r="O226" s="2">
        <v>0</v>
      </c>
      <c r="P226" s="3">
        <v>4.67</v>
      </c>
      <c r="Q226" s="2">
        <v>0</v>
      </c>
      <c r="R226" s="1">
        <f>MIN($B226,$D226,$F226,$H226,$J226,$L226,$N226,$P226)</f>
        <v>0</v>
      </c>
      <c r="S226" s="1">
        <f>MIN($C226,$E226,$G226,$I226,$K226,$M226,$O226,$Q226)</f>
        <v>0</v>
      </c>
      <c r="T226" s="1">
        <f>MEDIAN($B226,$D226,$F226,$H226,$J226,$L226,$N226,$P226)</f>
        <v>0</v>
      </c>
      <c r="U226" s="1">
        <f>MEDIAN($C226,$E226,$G226,$I226,$K226,$M226,$O226,$Q226)</f>
        <v>0</v>
      </c>
      <c r="V226" s="1">
        <f>MAX($B226,$D226,$F226,$H226,$J226,$L226,$N226,$P226)</f>
        <v>0</v>
      </c>
      <c r="W226" s="1">
        <f>MAX($C226,$E226,$G226,$I226,$K226,$M226,$O226,$Q226)</f>
        <v>0</v>
      </c>
    </row>
    <row r="227" spans="1:23">
      <c r="A227" s="1" t="s">
        <v>224</v>
      </c>
      <c r="B227" s="1"/>
      <c r="C227" s="2"/>
      <c r="D227" s="1">
        <v>8.69</v>
      </c>
      <c r="E227" s="2">
        <v>0</v>
      </c>
      <c r="F227" s="1">
        <v>9.529999999999999</v>
      </c>
      <c r="G227" s="2">
        <v>0</v>
      </c>
      <c r="H227" s="1"/>
      <c r="I227" s="2"/>
      <c r="J227" s="1">
        <v>7.85</v>
      </c>
      <c r="K227" s="2">
        <v>0</v>
      </c>
      <c r="L227" s="1">
        <v>7.41</v>
      </c>
      <c r="M227" s="2">
        <v>0</v>
      </c>
      <c r="N227" s="1">
        <v>5.75</v>
      </c>
      <c r="O227" s="2">
        <v>0</v>
      </c>
      <c r="P227" s="3">
        <v>1.07</v>
      </c>
      <c r="Q227" s="2">
        <v>0</v>
      </c>
      <c r="R227" s="1">
        <f>MIN($B227,$D227,$F227,$H227,$J227,$L227,$N227,$P227)</f>
        <v>0</v>
      </c>
      <c r="S227" s="1">
        <f>MIN($C227,$E227,$G227,$I227,$K227,$M227,$O227,$Q227)</f>
        <v>0</v>
      </c>
      <c r="T227" s="1">
        <f>MEDIAN($B227,$D227,$F227,$H227,$J227,$L227,$N227,$P227)</f>
        <v>0</v>
      </c>
      <c r="U227" s="1">
        <f>MEDIAN($C227,$E227,$G227,$I227,$K227,$M227,$O227,$Q227)</f>
        <v>0</v>
      </c>
      <c r="V227" s="1">
        <f>MAX($B227,$D227,$F227,$H227,$J227,$L227,$N227,$P227)</f>
        <v>0</v>
      </c>
      <c r="W227" s="1">
        <f>MAX($C227,$E227,$G227,$I227,$K227,$M227,$O227,$Q227)</f>
        <v>0</v>
      </c>
    </row>
    <row r="228" spans="1:23">
      <c r="A228" s="1" t="s">
        <v>225</v>
      </c>
      <c r="B228" s="1"/>
      <c r="C228" s="2"/>
      <c r="D228" s="1">
        <v>9.26</v>
      </c>
      <c r="E228" s="2">
        <v>0</v>
      </c>
      <c r="F228" s="4">
        <v>10.43</v>
      </c>
      <c r="G228" s="2">
        <v>0</v>
      </c>
      <c r="H228" s="1"/>
      <c r="I228" s="2"/>
      <c r="J228" s="1">
        <v>7.35</v>
      </c>
      <c r="K228" s="2">
        <v>0</v>
      </c>
      <c r="L228" s="1">
        <v>8.25</v>
      </c>
      <c r="M228" s="2">
        <v>0</v>
      </c>
      <c r="N228" s="3">
        <v>1.27</v>
      </c>
      <c r="O228" s="2">
        <v>0</v>
      </c>
      <c r="P228" s="1">
        <v>4.45</v>
      </c>
      <c r="Q228" s="2">
        <v>0</v>
      </c>
      <c r="R228" s="1">
        <f>MIN($B228,$D228,$F228,$H228,$J228,$L228,$N228,$P228)</f>
        <v>0</v>
      </c>
      <c r="S228" s="1">
        <f>MIN($C228,$E228,$G228,$I228,$K228,$M228,$O228,$Q228)</f>
        <v>0</v>
      </c>
      <c r="T228" s="1">
        <f>MEDIAN($B228,$D228,$F228,$H228,$J228,$L228,$N228,$P228)</f>
        <v>0</v>
      </c>
      <c r="U228" s="1">
        <f>MEDIAN($C228,$E228,$G228,$I228,$K228,$M228,$O228,$Q228)</f>
        <v>0</v>
      </c>
      <c r="V228" s="1">
        <f>MAX($B228,$D228,$F228,$H228,$J228,$L228,$N228,$P228)</f>
        <v>0</v>
      </c>
      <c r="W228" s="1">
        <f>MAX($C228,$E228,$G228,$I228,$K228,$M228,$O228,$Q228)</f>
        <v>0</v>
      </c>
    </row>
    <row r="229" spans="1:23">
      <c r="A229" s="1" t="s">
        <v>226</v>
      </c>
      <c r="B229" s="1"/>
      <c r="C229" s="2"/>
      <c r="D229" s="1">
        <v>9.199999999999999</v>
      </c>
      <c r="E229" s="2">
        <v>0</v>
      </c>
      <c r="F229" s="4">
        <v>13.48</v>
      </c>
      <c r="G229" s="2">
        <v>0</v>
      </c>
      <c r="H229" s="1"/>
      <c r="I229" s="2"/>
      <c r="J229" s="1">
        <v>7.59</v>
      </c>
      <c r="K229" s="2">
        <v>0</v>
      </c>
      <c r="L229" s="1">
        <v>8.449999999999999</v>
      </c>
      <c r="M229" s="2">
        <v>0</v>
      </c>
      <c r="N229" s="3">
        <v>1.34</v>
      </c>
      <c r="O229" s="2">
        <v>0</v>
      </c>
      <c r="P229" s="1">
        <v>4.24</v>
      </c>
      <c r="Q229" s="2">
        <v>0</v>
      </c>
      <c r="R229" s="1">
        <f>MIN($B229,$D229,$F229,$H229,$J229,$L229,$N229,$P229)</f>
        <v>0</v>
      </c>
      <c r="S229" s="1">
        <f>MIN($C229,$E229,$G229,$I229,$K229,$M229,$O229,$Q229)</f>
        <v>0</v>
      </c>
      <c r="T229" s="1">
        <f>MEDIAN($B229,$D229,$F229,$H229,$J229,$L229,$N229,$P229)</f>
        <v>0</v>
      </c>
      <c r="U229" s="1">
        <f>MEDIAN($C229,$E229,$G229,$I229,$K229,$M229,$O229,$Q229)</f>
        <v>0</v>
      </c>
      <c r="V229" s="1">
        <f>MAX($B229,$D229,$F229,$H229,$J229,$L229,$N229,$P229)</f>
        <v>0</v>
      </c>
      <c r="W229" s="1">
        <f>MAX($C229,$E229,$G229,$I229,$K229,$M229,$O229,$Q229)</f>
        <v>0</v>
      </c>
    </row>
    <row r="230" spans="1:23">
      <c r="A230" s="1" t="s">
        <v>227</v>
      </c>
      <c r="B230" s="1"/>
      <c r="C230" s="2"/>
      <c r="D230" s="1">
        <v>11.84</v>
      </c>
      <c r="E230" s="2">
        <v>0</v>
      </c>
      <c r="F230" s="4">
        <v>13.39</v>
      </c>
      <c r="G230" s="2">
        <v>0</v>
      </c>
      <c r="H230" s="1"/>
      <c r="I230" s="2"/>
      <c r="J230" s="1">
        <v>7.63</v>
      </c>
      <c r="K230" s="2">
        <v>0</v>
      </c>
      <c r="L230" s="1">
        <v>8.42</v>
      </c>
      <c r="M230" s="2">
        <v>0</v>
      </c>
      <c r="N230" s="1">
        <v>5.7</v>
      </c>
      <c r="O230" s="2">
        <v>0</v>
      </c>
      <c r="P230" s="3">
        <v>4.74</v>
      </c>
      <c r="Q230" s="2">
        <v>0</v>
      </c>
      <c r="R230" s="1">
        <f>MIN($B230,$D230,$F230,$H230,$J230,$L230,$N230,$P230)</f>
        <v>0</v>
      </c>
      <c r="S230" s="1">
        <f>MIN($C230,$E230,$G230,$I230,$K230,$M230,$O230,$Q230)</f>
        <v>0</v>
      </c>
      <c r="T230" s="1">
        <f>MEDIAN($B230,$D230,$F230,$H230,$J230,$L230,$N230,$P230)</f>
        <v>0</v>
      </c>
      <c r="U230" s="1">
        <f>MEDIAN($C230,$E230,$G230,$I230,$K230,$M230,$O230,$Q230)</f>
        <v>0</v>
      </c>
      <c r="V230" s="1">
        <f>MAX($B230,$D230,$F230,$H230,$J230,$L230,$N230,$P230)</f>
        <v>0</v>
      </c>
      <c r="W230" s="1">
        <f>MAX($C230,$E230,$G230,$I230,$K230,$M230,$O230,$Q230)</f>
        <v>0</v>
      </c>
    </row>
    <row r="231" spans="1:23">
      <c r="A231" s="1" t="s">
        <v>228</v>
      </c>
      <c r="B231" s="1"/>
      <c r="C231" s="2"/>
      <c r="D231" s="4">
        <v>12.03</v>
      </c>
      <c r="E231" s="2">
        <v>0</v>
      </c>
      <c r="F231" s="1">
        <v>9</v>
      </c>
      <c r="G231" s="2">
        <v>0</v>
      </c>
      <c r="H231" s="1"/>
      <c r="I231" s="2"/>
      <c r="J231" s="1">
        <v>8.41</v>
      </c>
      <c r="K231" s="2">
        <v>0</v>
      </c>
      <c r="L231" s="1">
        <v>9.039999999999999</v>
      </c>
      <c r="M231" s="2">
        <v>0</v>
      </c>
      <c r="N231" s="1">
        <v>5.59</v>
      </c>
      <c r="O231" s="2">
        <v>0</v>
      </c>
      <c r="P231" s="3">
        <v>4.11</v>
      </c>
      <c r="Q231" s="2">
        <v>0</v>
      </c>
      <c r="R231" s="1">
        <f>MIN($B231,$D231,$F231,$H231,$J231,$L231,$N231,$P231)</f>
        <v>0</v>
      </c>
      <c r="S231" s="1">
        <f>MIN($C231,$E231,$G231,$I231,$K231,$M231,$O231,$Q231)</f>
        <v>0</v>
      </c>
      <c r="T231" s="1">
        <f>MEDIAN($B231,$D231,$F231,$H231,$J231,$L231,$N231,$P231)</f>
        <v>0</v>
      </c>
      <c r="U231" s="1">
        <f>MEDIAN($C231,$E231,$G231,$I231,$K231,$M231,$O231,$Q231)</f>
        <v>0</v>
      </c>
      <c r="V231" s="1">
        <f>MAX($B231,$D231,$F231,$H231,$J231,$L231,$N231,$P231)</f>
        <v>0</v>
      </c>
      <c r="W231" s="1">
        <f>MAX($C231,$E231,$G231,$I231,$K231,$M231,$O231,$Q231)</f>
        <v>0</v>
      </c>
    </row>
    <row r="232" spans="1:23">
      <c r="A232" s="1" t="s">
        <v>229</v>
      </c>
      <c r="B232" s="1"/>
      <c r="C232" s="2"/>
      <c r="D232" s="1">
        <v>11.68</v>
      </c>
      <c r="E232" s="2">
        <v>0</v>
      </c>
      <c r="F232" s="4">
        <v>14.83</v>
      </c>
      <c r="G232" s="2">
        <v>0</v>
      </c>
      <c r="H232" s="1"/>
      <c r="I232" s="2"/>
      <c r="J232" s="1">
        <v>7.8</v>
      </c>
      <c r="K232" s="2">
        <v>0</v>
      </c>
      <c r="L232" s="1">
        <v>9.210000000000001</v>
      </c>
      <c r="M232" s="2">
        <v>0</v>
      </c>
      <c r="N232" s="1">
        <v>5.39</v>
      </c>
      <c r="O232" s="2">
        <v>0</v>
      </c>
      <c r="P232" s="3">
        <v>4.78</v>
      </c>
      <c r="Q232" s="2">
        <v>0</v>
      </c>
      <c r="R232" s="1">
        <f>MIN($B232,$D232,$F232,$H232,$J232,$L232,$N232,$P232)</f>
        <v>0</v>
      </c>
      <c r="S232" s="1">
        <f>MIN($C232,$E232,$G232,$I232,$K232,$M232,$O232,$Q232)</f>
        <v>0</v>
      </c>
      <c r="T232" s="1">
        <f>MEDIAN($B232,$D232,$F232,$H232,$J232,$L232,$N232,$P232)</f>
        <v>0</v>
      </c>
      <c r="U232" s="1">
        <f>MEDIAN($C232,$E232,$G232,$I232,$K232,$M232,$O232,$Q232)</f>
        <v>0</v>
      </c>
      <c r="V232" s="1">
        <f>MAX($B232,$D232,$F232,$H232,$J232,$L232,$N232,$P232)</f>
        <v>0</v>
      </c>
      <c r="W232" s="1">
        <f>MAX($C232,$E232,$G232,$I232,$K232,$M232,$O232,$Q232)</f>
        <v>0</v>
      </c>
    </row>
    <row r="233" spans="1:23">
      <c r="A233" s="1" t="s">
        <v>230</v>
      </c>
      <c r="B233" s="1"/>
      <c r="C233" s="2"/>
      <c r="D233" s="1">
        <v>30.32</v>
      </c>
      <c r="E233" s="2">
        <v>0</v>
      </c>
      <c r="F233" s="4">
        <v>30.87</v>
      </c>
      <c r="G233" s="2">
        <v>0</v>
      </c>
      <c r="H233" s="1"/>
      <c r="I233" s="2"/>
      <c r="J233" s="1">
        <v>8.01</v>
      </c>
      <c r="K233" s="2">
        <v>0</v>
      </c>
      <c r="L233" s="1">
        <v>9.789999999999999</v>
      </c>
      <c r="M233" s="2">
        <v>0</v>
      </c>
      <c r="N233" s="3">
        <v>5.27</v>
      </c>
      <c r="O233" s="2">
        <v>0</v>
      </c>
      <c r="P233" s="1">
        <v>5.44</v>
      </c>
      <c r="Q233" s="2">
        <v>0</v>
      </c>
      <c r="R233" s="1">
        <f>MIN($B233,$D233,$F233,$H233,$J233,$L233,$N233,$P233)</f>
        <v>0</v>
      </c>
      <c r="S233" s="1">
        <f>MIN($C233,$E233,$G233,$I233,$K233,$M233,$O233,$Q233)</f>
        <v>0</v>
      </c>
      <c r="T233" s="1">
        <f>MEDIAN($B233,$D233,$F233,$H233,$J233,$L233,$N233,$P233)</f>
        <v>0</v>
      </c>
      <c r="U233" s="1">
        <f>MEDIAN($C233,$E233,$G233,$I233,$K233,$M233,$O233,$Q233)</f>
        <v>0</v>
      </c>
      <c r="V233" s="1">
        <f>MAX($B233,$D233,$F233,$H233,$J233,$L233,$N233,$P233)</f>
        <v>0</v>
      </c>
      <c r="W233" s="1">
        <f>MAX($C233,$E233,$G233,$I233,$K233,$M233,$O233,$Q233)</f>
        <v>0</v>
      </c>
    </row>
    <row r="234" spans="1:23">
      <c r="A234" s="1" t="s">
        <v>231</v>
      </c>
      <c r="B234" s="1"/>
      <c r="C234" s="2"/>
      <c r="D234" s="1">
        <v>17.36</v>
      </c>
      <c r="E234" s="2">
        <v>0</v>
      </c>
      <c r="F234" s="4">
        <v>25.86</v>
      </c>
      <c r="G234" s="2">
        <v>0</v>
      </c>
      <c r="H234" s="1"/>
      <c r="I234" s="2"/>
      <c r="J234" s="1">
        <v>7.77</v>
      </c>
      <c r="K234" s="2">
        <v>0</v>
      </c>
      <c r="L234" s="1">
        <v>8.24</v>
      </c>
      <c r="M234" s="2">
        <v>0</v>
      </c>
      <c r="N234" s="1">
        <v>5.89</v>
      </c>
      <c r="O234" s="2">
        <v>0</v>
      </c>
      <c r="P234" s="3">
        <v>1.67</v>
      </c>
      <c r="Q234" s="2">
        <v>0</v>
      </c>
      <c r="R234" s="1">
        <f>MIN($B234,$D234,$F234,$H234,$J234,$L234,$N234,$P234)</f>
        <v>0</v>
      </c>
      <c r="S234" s="1">
        <f>MIN($C234,$E234,$G234,$I234,$K234,$M234,$O234,$Q234)</f>
        <v>0</v>
      </c>
      <c r="T234" s="1">
        <f>MEDIAN($B234,$D234,$F234,$H234,$J234,$L234,$N234,$P234)</f>
        <v>0</v>
      </c>
      <c r="U234" s="1">
        <f>MEDIAN($C234,$E234,$G234,$I234,$K234,$M234,$O234,$Q234)</f>
        <v>0</v>
      </c>
      <c r="V234" s="1">
        <f>MAX($B234,$D234,$F234,$H234,$J234,$L234,$N234,$P234)</f>
        <v>0</v>
      </c>
      <c r="W234" s="1">
        <f>MAX($C234,$E234,$G234,$I234,$K234,$M234,$O234,$Q234)</f>
        <v>0</v>
      </c>
    </row>
    <row r="235" spans="1:23">
      <c r="A235" s="1" t="s">
        <v>232</v>
      </c>
      <c r="B235" s="1"/>
      <c r="C235" s="2"/>
      <c r="D235" s="1">
        <v>18.35</v>
      </c>
      <c r="E235" s="2">
        <v>0</v>
      </c>
      <c r="F235" s="4">
        <v>25.17</v>
      </c>
      <c r="G235" s="2">
        <v>0</v>
      </c>
      <c r="H235" s="1"/>
      <c r="I235" s="2"/>
      <c r="J235" s="1">
        <v>8.19</v>
      </c>
      <c r="K235" s="2">
        <v>0</v>
      </c>
      <c r="L235" s="1">
        <v>8.390000000000001</v>
      </c>
      <c r="M235" s="2">
        <v>0</v>
      </c>
      <c r="N235" s="1">
        <v>6.85</v>
      </c>
      <c r="O235" s="2">
        <v>0</v>
      </c>
      <c r="P235" s="3">
        <v>5.72</v>
      </c>
      <c r="Q235" s="2">
        <v>0</v>
      </c>
      <c r="R235" s="1">
        <f>MIN($B235,$D235,$F235,$H235,$J235,$L235,$N235,$P235)</f>
        <v>0</v>
      </c>
      <c r="S235" s="1">
        <f>MIN($C235,$E235,$G235,$I235,$K235,$M235,$O235,$Q235)</f>
        <v>0</v>
      </c>
      <c r="T235" s="1">
        <f>MEDIAN($B235,$D235,$F235,$H235,$J235,$L235,$N235,$P235)</f>
        <v>0</v>
      </c>
      <c r="U235" s="1">
        <f>MEDIAN($C235,$E235,$G235,$I235,$K235,$M235,$O235,$Q235)</f>
        <v>0</v>
      </c>
      <c r="V235" s="1">
        <f>MAX($B235,$D235,$F235,$H235,$J235,$L235,$N235,$P235)</f>
        <v>0</v>
      </c>
      <c r="W235" s="1">
        <f>MAX($C235,$E235,$G235,$I235,$K235,$M235,$O235,$Q235)</f>
        <v>0</v>
      </c>
    </row>
    <row r="236" spans="1:23">
      <c r="A236" s="1" t="s">
        <v>233</v>
      </c>
      <c r="B236" s="1"/>
      <c r="C236" s="2"/>
      <c r="D236" s="4">
        <v>1200</v>
      </c>
      <c r="E236" s="6">
        <v>1</v>
      </c>
      <c r="F236" s="4">
        <v>1200</v>
      </c>
      <c r="G236" s="6">
        <v>1</v>
      </c>
      <c r="H236" s="1"/>
      <c r="I236" s="2"/>
      <c r="J236" s="1">
        <v>7.99</v>
      </c>
      <c r="K236" s="2">
        <v>0</v>
      </c>
      <c r="L236" s="1">
        <v>13.45</v>
      </c>
      <c r="M236" s="2">
        <v>0</v>
      </c>
      <c r="N236" s="1">
        <v>6.35</v>
      </c>
      <c r="O236" s="2">
        <v>0</v>
      </c>
      <c r="P236" s="3">
        <v>5.8</v>
      </c>
      <c r="Q236" s="2">
        <v>0</v>
      </c>
      <c r="R236" s="1">
        <f>MIN($B236,$D236,$F236,$H236,$J236,$L236,$N236,$P236)</f>
        <v>0</v>
      </c>
      <c r="S236" s="1">
        <f>MIN($C236,$E236,$G236,$I236,$K236,$M236,$O236,$Q236)</f>
        <v>0</v>
      </c>
      <c r="T236" s="1">
        <f>MEDIAN($B236,$D236,$F236,$H236,$J236,$L236,$N236,$P236)</f>
        <v>0</v>
      </c>
      <c r="U236" s="1">
        <f>MEDIAN($C236,$E236,$G236,$I236,$K236,$M236,$O236,$Q236)</f>
        <v>0</v>
      </c>
      <c r="V236" s="1">
        <f>MAX($B236,$D236,$F236,$H236,$J236,$L236,$N236,$P236)</f>
        <v>0</v>
      </c>
      <c r="W236" s="1">
        <f>MAX($C236,$E236,$G236,$I236,$K236,$M236,$O236,$Q236)</f>
        <v>0</v>
      </c>
    </row>
    <row r="237" spans="1:23">
      <c r="A237" s="1" t="s">
        <v>234</v>
      </c>
      <c r="B237" s="1"/>
      <c r="C237" s="2"/>
      <c r="D237" s="4">
        <v>1200</v>
      </c>
      <c r="E237" s="6">
        <v>1</v>
      </c>
      <c r="F237" s="4">
        <v>1200</v>
      </c>
      <c r="G237" s="6">
        <v>1</v>
      </c>
      <c r="H237" s="1"/>
      <c r="I237" s="2"/>
      <c r="J237" s="1">
        <v>8.01</v>
      </c>
      <c r="K237" s="2">
        <v>0</v>
      </c>
      <c r="L237" s="1">
        <v>13.01</v>
      </c>
      <c r="M237" s="2">
        <v>0</v>
      </c>
      <c r="N237" s="1">
        <v>6.99</v>
      </c>
      <c r="O237" s="2">
        <v>0</v>
      </c>
      <c r="P237" s="3">
        <v>5.8</v>
      </c>
      <c r="Q237" s="2">
        <v>0</v>
      </c>
      <c r="R237" s="1">
        <f>MIN($B237,$D237,$F237,$H237,$J237,$L237,$N237,$P237)</f>
        <v>0</v>
      </c>
      <c r="S237" s="1">
        <f>MIN($C237,$E237,$G237,$I237,$K237,$M237,$O237,$Q237)</f>
        <v>0</v>
      </c>
      <c r="T237" s="1">
        <f>MEDIAN($B237,$D237,$F237,$H237,$J237,$L237,$N237,$P237)</f>
        <v>0</v>
      </c>
      <c r="U237" s="1">
        <f>MEDIAN($C237,$E237,$G237,$I237,$K237,$M237,$O237,$Q237)</f>
        <v>0</v>
      </c>
      <c r="V237" s="1">
        <f>MAX($B237,$D237,$F237,$H237,$J237,$L237,$N237,$P237)</f>
        <v>0</v>
      </c>
      <c r="W237" s="1">
        <f>MAX($C237,$E237,$G237,$I237,$K237,$M237,$O237,$Q237)</f>
        <v>0</v>
      </c>
    </row>
    <row r="238" spans="1:23">
      <c r="A238" s="1" t="s">
        <v>235</v>
      </c>
      <c r="B238" s="1"/>
      <c r="C238" s="2"/>
      <c r="D238" s="4">
        <v>1200</v>
      </c>
      <c r="E238" s="6">
        <v>1</v>
      </c>
      <c r="F238" s="4">
        <v>1200</v>
      </c>
      <c r="G238" s="6">
        <v>1</v>
      </c>
      <c r="H238" s="1"/>
      <c r="I238" s="2"/>
      <c r="J238" s="1">
        <v>11.47</v>
      </c>
      <c r="K238" s="2">
        <v>0</v>
      </c>
      <c r="L238" s="1">
        <v>14.28</v>
      </c>
      <c r="M238" s="2">
        <v>0</v>
      </c>
      <c r="N238" s="1">
        <v>9.779999999999999</v>
      </c>
      <c r="O238" s="2">
        <v>0</v>
      </c>
      <c r="P238" s="3">
        <v>6.75</v>
      </c>
      <c r="Q238" s="2">
        <v>0</v>
      </c>
      <c r="R238" s="1">
        <f>MIN($B238,$D238,$F238,$H238,$J238,$L238,$N238,$P238)</f>
        <v>0</v>
      </c>
      <c r="S238" s="1">
        <f>MIN($C238,$E238,$G238,$I238,$K238,$M238,$O238,$Q238)</f>
        <v>0</v>
      </c>
      <c r="T238" s="1">
        <f>MEDIAN($B238,$D238,$F238,$H238,$J238,$L238,$N238,$P238)</f>
        <v>0</v>
      </c>
      <c r="U238" s="1">
        <f>MEDIAN($C238,$E238,$G238,$I238,$K238,$M238,$O238,$Q238)</f>
        <v>0</v>
      </c>
      <c r="V238" s="1">
        <f>MAX($B238,$D238,$F238,$H238,$J238,$L238,$N238,$P238)</f>
        <v>0</v>
      </c>
      <c r="W238" s="1">
        <f>MAX($C238,$E238,$G238,$I238,$K238,$M238,$O238,$Q238)</f>
        <v>0</v>
      </c>
    </row>
    <row r="239" spans="1:23">
      <c r="A239" s="1" t="s">
        <v>236</v>
      </c>
      <c r="B239" s="1"/>
      <c r="C239" s="2"/>
      <c r="D239" s="4">
        <v>1200</v>
      </c>
      <c r="E239" s="6">
        <v>1</v>
      </c>
      <c r="F239" s="4">
        <v>1200</v>
      </c>
      <c r="G239" s="6">
        <v>1</v>
      </c>
      <c r="H239" s="1"/>
      <c r="I239" s="2"/>
      <c r="J239" s="1">
        <v>12.09</v>
      </c>
      <c r="K239" s="2">
        <v>0</v>
      </c>
      <c r="L239" s="1">
        <v>14.17</v>
      </c>
      <c r="M239" s="2">
        <v>0</v>
      </c>
      <c r="N239" s="1">
        <v>9.779999999999999</v>
      </c>
      <c r="O239" s="2">
        <v>0</v>
      </c>
      <c r="P239" s="3">
        <v>6.61</v>
      </c>
      <c r="Q239" s="2">
        <v>0</v>
      </c>
      <c r="R239" s="1">
        <f>MIN($B239,$D239,$F239,$H239,$J239,$L239,$N239,$P239)</f>
        <v>0</v>
      </c>
      <c r="S239" s="1">
        <f>MIN($C239,$E239,$G239,$I239,$K239,$M239,$O239,$Q239)</f>
        <v>0</v>
      </c>
      <c r="T239" s="1">
        <f>MEDIAN($B239,$D239,$F239,$H239,$J239,$L239,$N239,$P239)</f>
        <v>0</v>
      </c>
      <c r="U239" s="1">
        <f>MEDIAN($C239,$E239,$G239,$I239,$K239,$M239,$O239,$Q239)</f>
        <v>0</v>
      </c>
      <c r="V239" s="1">
        <f>MAX($B239,$D239,$F239,$H239,$J239,$L239,$N239,$P239)</f>
        <v>0</v>
      </c>
      <c r="W239" s="1">
        <f>MAX($C239,$E239,$G239,$I239,$K239,$M239,$O239,$Q239)</f>
        <v>0</v>
      </c>
    </row>
    <row r="240" spans="1:23">
      <c r="A240" s="1" t="s">
        <v>237</v>
      </c>
      <c r="B240" s="1"/>
      <c r="C240" s="2"/>
      <c r="D240" s="4">
        <v>1200</v>
      </c>
      <c r="E240" s="6">
        <v>1</v>
      </c>
      <c r="F240" s="4">
        <v>1200</v>
      </c>
      <c r="G240" s="6">
        <v>1</v>
      </c>
      <c r="H240" s="1"/>
      <c r="I240" s="2"/>
      <c r="J240" s="1">
        <v>11.88</v>
      </c>
      <c r="K240" s="2">
        <v>0</v>
      </c>
      <c r="L240" s="1">
        <v>15.28</v>
      </c>
      <c r="M240" s="2">
        <v>0</v>
      </c>
      <c r="N240" s="1">
        <v>9.119999999999999</v>
      </c>
      <c r="O240" s="2">
        <v>0</v>
      </c>
      <c r="P240" s="3">
        <v>6.62</v>
      </c>
      <c r="Q240" s="2">
        <v>0</v>
      </c>
      <c r="R240" s="1">
        <f>MIN($B240,$D240,$F240,$H240,$J240,$L240,$N240,$P240)</f>
        <v>0</v>
      </c>
      <c r="S240" s="1">
        <f>MIN($C240,$E240,$G240,$I240,$K240,$M240,$O240,$Q240)</f>
        <v>0</v>
      </c>
      <c r="T240" s="1">
        <f>MEDIAN($B240,$D240,$F240,$H240,$J240,$L240,$N240,$P240)</f>
        <v>0</v>
      </c>
      <c r="U240" s="1">
        <f>MEDIAN($C240,$E240,$G240,$I240,$K240,$M240,$O240,$Q240)</f>
        <v>0</v>
      </c>
      <c r="V240" s="1">
        <f>MAX($B240,$D240,$F240,$H240,$J240,$L240,$N240,$P240)</f>
        <v>0</v>
      </c>
      <c r="W240" s="1">
        <f>MAX($C240,$E240,$G240,$I240,$K240,$M240,$O240,$Q240)</f>
        <v>0</v>
      </c>
    </row>
    <row r="241" spans="1:23">
      <c r="A241" s="1" t="s">
        <v>238</v>
      </c>
      <c r="B241" s="1"/>
      <c r="C241" s="2"/>
      <c r="D241" s="4">
        <v>1200</v>
      </c>
      <c r="E241" s="6">
        <v>1</v>
      </c>
      <c r="F241" s="4">
        <v>1200</v>
      </c>
      <c r="G241" s="6">
        <v>1</v>
      </c>
      <c r="H241" s="1"/>
      <c r="I241" s="2"/>
      <c r="J241" s="1">
        <v>13.76</v>
      </c>
      <c r="K241" s="2">
        <v>0</v>
      </c>
      <c r="L241" s="1">
        <v>15.61</v>
      </c>
      <c r="M241" s="2">
        <v>0</v>
      </c>
      <c r="N241" s="1">
        <v>11.19</v>
      </c>
      <c r="O241" s="2">
        <v>0</v>
      </c>
      <c r="P241" s="3">
        <v>6.75</v>
      </c>
      <c r="Q241" s="2">
        <v>0</v>
      </c>
      <c r="R241" s="1">
        <f>MIN($B241,$D241,$F241,$H241,$J241,$L241,$N241,$P241)</f>
        <v>0</v>
      </c>
      <c r="S241" s="1">
        <f>MIN($C241,$E241,$G241,$I241,$K241,$M241,$O241,$Q241)</f>
        <v>0</v>
      </c>
      <c r="T241" s="1">
        <f>MEDIAN($B241,$D241,$F241,$H241,$J241,$L241,$N241,$P241)</f>
        <v>0</v>
      </c>
      <c r="U241" s="1">
        <f>MEDIAN($C241,$E241,$G241,$I241,$K241,$M241,$O241,$Q241)</f>
        <v>0</v>
      </c>
      <c r="V241" s="1">
        <f>MAX($B241,$D241,$F241,$H241,$J241,$L241,$N241,$P241)</f>
        <v>0</v>
      </c>
      <c r="W241" s="1">
        <f>MAX($C241,$E241,$G241,$I241,$K241,$M241,$O241,$Q241)</f>
        <v>0</v>
      </c>
    </row>
    <row r="242" spans="1:23">
      <c r="A242" s="1" t="s">
        <v>239</v>
      </c>
      <c r="B242" s="1"/>
      <c r="C242" s="2"/>
      <c r="D242" s="4">
        <v>1200</v>
      </c>
      <c r="E242" s="6">
        <v>1</v>
      </c>
      <c r="F242" s="4">
        <v>1200</v>
      </c>
      <c r="G242" s="6">
        <v>1</v>
      </c>
      <c r="H242" s="1"/>
      <c r="I242" s="2"/>
      <c r="J242" s="1">
        <v>11.97</v>
      </c>
      <c r="K242" s="2">
        <v>0</v>
      </c>
      <c r="L242" s="1">
        <v>15.93</v>
      </c>
      <c r="M242" s="2">
        <v>0</v>
      </c>
      <c r="N242" s="1">
        <v>9.58</v>
      </c>
      <c r="O242" s="2">
        <v>0</v>
      </c>
      <c r="P242" s="3">
        <v>7.38</v>
      </c>
      <c r="Q242" s="2">
        <v>0</v>
      </c>
      <c r="R242" s="1">
        <f>MIN($B242,$D242,$F242,$H242,$J242,$L242,$N242,$P242)</f>
        <v>0</v>
      </c>
      <c r="S242" s="1">
        <f>MIN($C242,$E242,$G242,$I242,$K242,$M242,$O242,$Q242)</f>
        <v>0</v>
      </c>
      <c r="T242" s="1">
        <f>MEDIAN($B242,$D242,$F242,$H242,$J242,$L242,$N242,$P242)</f>
        <v>0</v>
      </c>
      <c r="U242" s="1">
        <f>MEDIAN($C242,$E242,$G242,$I242,$K242,$M242,$O242,$Q242)</f>
        <v>0</v>
      </c>
      <c r="V242" s="1">
        <f>MAX($B242,$D242,$F242,$H242,$J242,$L242,$N242,$P242)</f>
        <v>0</v>
      </c>
      <c r="W242" s="1">
        <f>MAX($C242,$E242,$G242,$I242,$K242,$M242,$O242,$Q242)</f>
        <v>0</v>
      </c>
    </row>
    <row r="243" spans="1:23">
      <c r="A243" s="1" t="s">
        <v>240</v>
      </c>
      <c r="B243" s="1"/>
      <c r="C243" s="2"/>
      <c r="D243" s="4">
        <v>1200</v>
      </c>
      <c r="E243" s="6">
        <v>1</v>
      </c>
      <c r="F243" s="4">
        <v>1200</v>
      </c>
      <c r="G243" s="6">
        <v>1</v>
      </c>
      <c r="H243" s="1"/>
      <c r="I243" s="2"/>
      <c r="J243" s="1">
        <v>11.47</v>
      </c>
      <c r="K243" s="2">
        <v>0</v>
      </c>
      <c r="L243" s="1">
        <v>16.96</v>
      </c>
      <c r="M243" s="2">
        <v>0</v>
      </c>
      <c r="N243" s="1">
        <v>9.25</v>
      </c>
      <c r="O243" s="2">
        <v>0</v>
      </c>
      <c r="P243" s="3">
        <v>7.35</v>
      </c>
      <c r="Q243" s="2">
        <v>0</v>
      </c>
      <c r="R243" s="1">
        <f>MIN($B243,$D243,$F243,$H243,$J243,$L243,$N243,$P243)</f>
        <v>0</v>
      </c>
      <c r="S243" s="1">
        <f>MIN($C243,$E243,$G243,$I243,$K243,$M243,$O243,$Q243)</f>
        <v>0</v>
      </c>
      <c r="T243" s="1">
        <f>MEDIAN($B243,$D243,$F243,$H243,$J243,$L243,$N243,$P243)</f>
        <v>0</v>
      </c>
      <c r="U243" s="1">
        <f>MEDIAN($C243,$E243,$G243,$I243,$K243,$M243,$O243,$Q243)</f>
        <v>0</v>
      </c>
      <c r="V243" s="1">
        <f>MAX($B243,$D243,$F243,$H243,$J243,$L243,$N243,$P243)</f>
        <v>0</v>
      </c>
      <c r="W243" s="1">
        <f>MAX($C243,$E243,$G243,$I243,$K243,$M243,$O243,$Q243)</f>
        <v>0</v>
      </c>
    </row>
    <row r="244" spans="1:23">
      <c r="A244" s="1" t="s">
        <v>241</v>
      </c>
      <c r="B244" s="1"/>
      <c r="C244" s="2"/>
      <c r="D244" s="4">
        <v>1200</v>
      </c>
      <c r="E244" s="6">
        <v>1</v>
      </c>
      <c r="F244" s="4">
        <v>1200</v>
      </c>
      <c r="G244" s="6">
        <v>1</v>
      </c>
      <c r="H244" s="1"/>
      <c r="I244" s="2"/>
      <c r="J244" s="1">
        <v>12.26</v>
      </c>
      <c r="K244" s="2">
        <v>0</v>
      </c>
      <c r="L244" s="1">
        <v>17.81</v>
      </c>
      <c r="M244" s="2">
        <v>0</v>
      </c>
      <c r="N244" s="1">
        <v>9.109999999999999</v>
      </c>
      <c r="O244" s="2">
        <v>0</v>
      </c>
      <c r="P244" s="3">
        <v>6.89</v>
      </c>
      <c r="Q244" s="2">
        <v>0</v>
      </c>
      <c r="R244" s="1">
        <f>MIN($B244,$D244,$F244,$H244,$J244,$L244,$N244,$P244)</f>
        <v>0</v>
      </c>
      <c r="S244" s="1">
        <f>MIN($C244,$E244,$G244,$I244,$K244,$M244,$O244,$Q244)</f>
        <v>0</v>
      </c>
      <c r="T244" s="1">
        <f>MEDIAN($B244,$D244,$F244,$H244,$J244,$L244,$N244,$P244)</f>
        <v>0</v>
      </c>
      <c r="U244" s="1">
        <f>MEDIAN($C244,$E244,$G244,$I244,$K244,$M244,$O244,$Q244)</f>
        <v>0</v>
      </c>
      <c r="V244" s="1">
        <f>MAX($B244,$D244,$F244,$H244,$J244,$L244,$N244,$P244)</f>
        <v>0</v>
      </c>
      <c r="W244" s="1">
        <f>MAX($C244,$E244,$G244,$I244,$K244,$M244,$O244,$Q244)</f>
        <v>0</v>
      </c>
    </row>
    <row r="245" spans="1:23">
      <c r="A245" s="1" t="s">
        <v>242</v>
      </c>
      <c r="B245" s="1"/>
      <c r="C245" s="2"/>
      <c r="D245" s="4">
        <v>1200</v>
      </c>
      <c r="E245" s="6">
        <v>1</v>
      </c>
      <c r="F245" s="4">
        <v>1200</v>
      </c>
      <c r="G245" s="6">
        <v>1</v>
      </c>
      <c r="H245" s="1"/>
      <c r="I245" s="2"/>
      <c r="J245" s="1">
        <v>11.79</v>
      </c>
      <c r="K245" s="2">
        <v>0</v>
      </c>
      <c r="L245" s="1">
        <v>20.5</v>
      </c>
      <c r="M245" s="2">
        <v>0</v>
      </c>
      <c r="N245" s="1">
        <v>9.23</v>
      </c>
      <c r="O245" s="2">
        <v>0</v>
      </c>
      <c r="P245" s="3">
        <v>2.37</v>
      </c>
      <c r="Q245" s="2">
        <v>0</v>
      </c>
      <c r="R245" s="1">
        <f>MIN($B245,$D245,$F245,$H245,$J245,$L245,$N245,$P245)</f>
        <v>0</v>
      </c>
      <c r="S245" s="1">
        <f>MIN($C245,$E245,$G245,$I245,$K245,$M245,$O245,$Q245)</f>
        <v>0</v>
      </c>
      <c r="T245" s="1">
        <f>MEDIAN($B245,$D245,$F245,$H245,$J245,$L245,$N245,$P245)</f>
        <v>0</v>
      </c>
      <c r="U245" s="1">
        <f>MEDIAN($C245,$E245,$G245,$I245,$K245,$M245,$O245,$Q245)</f>
        <v>0</v>
      </c>
      <c r="V245" s="1">
        <f>MAX($B245,$D245,$F245,$H245,$J245,$L245,$N245,$P245)</f>
        <v>0</v>
      </c>
      <c r="W245" s="1">
        <f>MAX($C245,$E245,$G245,$I245,$K245,$M245,$O245,$Q245)</f>
        <v>0</v>
      </c>
    </row>
    <row r="246" spans="1:23">
      <c r="A246" s="1" t="s">
        <v>243</v>
      </c>
      <c r="B246" s="1"/>
      <c r="C246" s="2"/>
      <c r="D246" s="1">
        <v>33.7</v>
      </c>
      <c r="E246" s="2">
        <v>0</v>
      </c>
      <c r="F246" s="4">
        <v>40.85</v>
      </c>
      <c r="G246" s="2">
        <v>0</v>
      </c>
      <c r="H246" s="1"/>
      <c r="I246" s="2"/>
      <c r="J246" s="1">
        <v>7.66</v>
      </c>
      <c r="K246" s="2">
        <v>0</v>
      </c>
      <c r="L246" s="1">
        <v>9.41</v>
      </c>
      <c r="M246" s="2">
        <v>0</v>
      </c>
      <c r="N246" s="1">
        <v>6.14</v>
      </c>
      <c r="O246" s="2">
        <v>0</v>
      </c>
      <c r="P246" s="3">
        <v>5.68</v>
      </c>
      <c r="Q246" s="2">
        <v>0</v>
      </c>
      <c r="R246" s="1">
        <f>MIN($B246,$D246,$F246,$H246,$J246,$L246,$N246,$P246)</f>
        <v>0</v>
      </c>
      <c r="S246" s="1">
        <f>MIN($C246,$E246,$G246,$I246,$K246,$M246,$O246,$Q246)</f>
        <v>0</v>
      </c>
      <c r="T246" s="1">
        <f>MEDIAN($B246,$D246,$F246,$H246,$J246,$L246,$N246,$P246)</f>
        <v>0</v>
      </c>
      <c r="U246" s="1">
        <f>MEDIAN($C246,$E246,$G246,$I246,$K246,$M246,$O246,$Q246)</f>
        <v>0</v>
      </c>
      <c r="V246" s="1">
        <f>MAX($B246,$D246,$F246,$H246,$J246,$L246,$N246,$P246)</f>
        <v>0</v>
      </c>
      <c r="W246" s="1">
        <f>MAX($C246,$E246,$G246,$I246,$K246,$M246,$O246,$Q246)</f>
        <v>0</v>
      </c>
    </row>
    <row r="247" spans="1:23">
      <c r="A247" s="1" t="s">
        <v>244</v>
      </c>
      <c r="B247" s="1"/>
      <c r="C247" s="2"/>
      <c r="D247" s="1">
        <v>35.49</v>
      </c>
      <c r="E247" s="2">
        <v>0</v>
      </c>
      <c r="F247" s="4">
        <v>44.65</v>
      </c>
      <c r="G247" s="2">
        <v>0</v>
      </c>
      <c r="H247" s="1"/>
      <c r="I247" s="2"/>
      <c r="J247" s="1">
        <v>7.79</v>
      </c>
      <c r="K247" s="2">
        <v>0</v>
      </c>
      <c r="L247" s="1">
        <v>14.98</v>
      </c>
      <c r="M247" s="2">
        <v>0</v>
      </c>
      <c r="N247" s="1">
        <v>5.96</v>
      </c>
      <c r="O247" s="2">
        <v>0</v>
      </c>
      <c r="P247" s="3">
        <v>2.03</v>
      </c>
      <c r="Q247" s="2">
        <v>0</v>
      </c>
      <c r="R247" s="1">
        <f>MIN($B247,$D247,$F247,$H247,$J247,$L247,$N247,$P247)</f>
        <v>0</v>
      </c>
      <c r="S247" s="1">
        <f>MIN($C247,$E247,$G247,$I247,$K247,$M247,$O247,$Q247)</f>
        <v>0</v>
      </c>
      <c r="T247" s="1">
        <f>MEDIAN($B247,$D247,$F247,$H247,$J247,$L247,$N247,$P247)</f>
        <v>0</v>
      </c>
      <c r="U247" s="1">
        <f>MEDIAN($C247,$E247,$G247,$I247,$K247,$M247,$O247,$Q247)</f>
        <v>0</v>
      </c>
      <c r="V247" s="1">
        <f>MAX($B247,$D247,$F247,$H247,$J247,$L247,$N247,$P247)</f>
        <v>0</v>
      </c>
      <c r="W247" s="1">
        <f>MAX($C247,$E247,$G247,$I247,$K247,$M247,$O247,$Q247)</f>
        <v>0</v>
      </c>
    </row>
    <row r="248" spans="1:23">
      <c r="A248" s="1" t="s">
        <v>245</v>
      </c>
      <c r="B248" s="1"/>
      <c r="C248" s="2"/>
      <c r="D248" s="1">
        <v>90.77</v>
      </c>
      <c r="E248" s="2">
        <v>0</v>
      </c>
      <c r="F248" s="4">
        <v>110.57</v>
      </c>
      <c r="G248" s="2">
        <v>0</v>
      </c>
      <c r="H248" s="1"/>
      <c r="I248" s="2"/>
      <c r="J248" s="1">
        <v>8.17</v>
      </c>
      <c r="K248" s="2">
        <v>0</v>
      </c>
      <c r="L248" s="1">
        <v>12.12</v>
      </c>
      <c r="M248" s="2">
        <v>0</v>
      </c>
      <c r="N248" s="1">
        <v>7.18</v>
      </c>
      <c r="O248" s="2">
        <v>0</v>
      </c>
      <c r="P248" s="3">
        <v>5.53</v>
      </c>
      <c r="Q248" s="2">
        <v>0</v>
      </c>
      <c r="R248" s="1">
        <f>MIN($B248,$D248,$F248,$H248,$J248,$L248,$N248,$P248)</f>
        <v>0</v>
      </c>
      <c r="S248" s="1">
        <f>MIN($C248,$E248,$G248,$I248,$K248,$M248,$O248,$Q248)</f>
        <v>0</v>
      </c>
      <c r="T248" s="1">
        <f>MEDIAN($B248,$D248,$F248,$H248,$J248,$L248,$N248,$P248)</f>
        <v>0</v>
      </c>
      <c r="U248" s="1">
        <f>MEDIAN($C248,$E248,$G248,$I248,$K248,$M248,$O248,$Q248)</f>
        <v>0</v>
      </c>
      <c r="V248" s="1">
        <f>MAX($B248,$D248,$F248,$H248,$J248,$L248,$N248,$P248)</f>
        <v>0</v>
      </c>
      <c r="W248" s="1">
        <f>MAX($C248,$E248,$G248,$I248,$K248,$M248,$O248,$Q248)</f>
        <v>0</v>
      </c>
    </row>
    <row r="249" spans="1:23">
      <c r="A249" s="1" t="s">
        <v>246</v>
      </c>
      <c r="B249" s="1"/>
      <c r="C249" s="2"/>
      <c r="D249" s="1">
        <v>95.59</v>
      </c>
      <c r="E249" s="2">
        <v>0</v>
      </c>
      <c r="F249" s="4">
        <v>105.76</v>
      </c>
      <c r="G249" s="2">
        <v>0</v>
      </c>
      <c r="H249" s="1"/>
      <c r="I249" s="2"/>
      <c r="J249" s="1">
        <v>8.07</v>
      </c>
      <c r="K249" s="2">
        <v>0</v>
      </c>
      <c r="L249" s="1">
        <v>10.42</v>
      </c>
      <c r="M249" s="2">
        <v>0</v>
      </c>
      <c r="N249" s="3">
        <v>6.22</v>
      </c>
      <c r="O249" s="2">
        <v>0</v>
      </c>
      <c r="P249" s="1">
        <v>7.5</v>
      </c>
      <c r="Q249" s="2">
        <v>0</v>
      </c>
      <c r="R249" s="1">
        <f>MIN($B249,$D249,$F249,$H249,$J249,$L249,$N249,$P249)</f>
        <v>0</v>
      </c>
      <c r="S249" s="1">
        <f>MIN($C249,$E249,$G249,$I249,$K249,$M249,$O249,$Q249)</f>
        <v>0</v>
      </c>
      <c r="T249" s="1">
        <f>MEDIAN($B249,$D249,$F249,$H249,$J249,$L249,$N249,$P249)</f>
        <v>0</v>
      </c>
      <c r="U249" s="1">
        <f>MEDIAN($C249,$E249,$G249,$I249,$K249,$M249,$O249,$Q249)</f>
        <v>0</v>
      </c>
      <c r="V249" s="1">
        <f>MAX($B249,$D249,$F249,$H249,$J249,$L249,$N249,$P249)</f>
        <v>0</v>
      </c>
      <c r="W249" s="1">
        <f>MAX($C249,$E249,$G249,$I249,$K249,$M249,$O249,$Q249)</f>
        <v>0</v>
      </c>
    </row>
    <row r="250" spans="1:23">
      <c r="A250" s="1" t="s">
        <v>247</v>
      </c>
      <c r="B250" s="1"/>
      <c r="C250" s="2"/>
      <c r="D250" s="1">
        <v>352.15</v>
      </c>
      <c r="E250" s="2">
        <v>0</v>
      </c>
      <c r="F250" s="4">
        <v>484.31</v>
      </c>
      <c r="G250" s="2">
        <v>0</v>
      </c>
      <c r="H250" s="1"/>
      <c r="I250" s="2"/>
      <c r="J250" s="1">
        <v>8.130000000000001</v>
      </c>
      <c r="K250" s="2">
        <v>0</v>
      </c>
      <c r="L250" s="1">
        <v>11.69</v>
      </c>
      <c r="M250" s="2">
        <v>0</v>
      </c>
      <c r="N250" s="1">
        <v>6.84</v>
      </c>
      <c r="O250" s="2">
        <v>0</v>
      </c>
      <c r="P250" s="3">
        <v>5.73</v>
      </c>
      <c r="Q250" s="2">
        <v>0</v>
      </c>
      <c r="R250" s="1">
        <f>MIN($B250,$D250,$F250,$H250,$J250,$L250,$N250,$P250)</f>
        <v>0</v>
      </c>
      <c r="S250" s="1">
        <f>MIN($C250,$E250,$G250,$I250,$K250,$M250,$O250,$Q250)</f>
        <v>0</v>
      </c>
      <c r="T250" s="1">
        <f>MEDIAN($B250,$D250,$F250,$H250,$J250,$L250,$N250,$P250)</f>
        <v>0</v>
      </c>
      <c r="U250" s="1">
        <f>MEDIAN($C250,$E250,$G250,$I250,$K250,$M250,$O250,$Q250)</f>
        <v>0</v>
      </c>
      <c r="V250" s="1">
        <f>MAX($B250,$D250,$F250,$H250,$J250,$L250,$N250,$P250)</f>
        <v>0</v>
      </c>
      <c r="W250" s="1">
        <f>MAX($C250,$E250,$G250,$I250,$K250,$M250,$O250,$Q250)</f>
        <v>0</v>
      </c>
    </row>
    <row r="251" spans="1:23">
      <c r="A251" s="1" t="s">
        <v>248</v>
      </c>
      <c r="B251" s="1"/>
      <c r="C251" s="2"/>
      <c r="D251" s="1">
        <v>483.2</v>
      </c>
      <c r="E251" s="2">
        <v>0</v>
      </c>
      <c r="F251" s="4">
        <v>485.31</v>
      </c>
      <c r="G251" s="2">
        <v>0</v>
      </c>
      <c r="H251" s="1"/>
      <c r="I251" s="2"/>
      <c r="J251" s="1">
        <v>7.94</v>
      </c>
      <c r="K251" s="2">
        <v>0</v>
      </c>
      <c r="L251" s="1">
        <v>11.45</v>
      </c>
      <c r="M251" s="2">
        <v>0</v>
      </c>
      <c r="N251" s="1">
        <v>6.52</v>
      </c>
      <c r="O251" s="2">
        <v>0</v>
      </c>
      <c r="P251" s="3">
        <v>5.84</v>
      </c>
      <c r="Q251" s="2">
        <v>0</v>
      </c>
      <c r="R251" s="1">
        <f>MIN($B251,$D251,$F251,$H251,$J251,$L251,$N251,$P251)</f>
        <v>0</v>
      </c>
      <c r="S251" s="1">
        <f>MIN($C251,$E251,$G251,$I251,$K251,$M251,$O251,$Q251)</f>
        <v>0</v>
      </c>
      <c r="T251" s="1">
        <f>MEDIAN($B251,$D251,$F251,$H251,$J251,$L251,$N251,$P251)</f>
        <v>0</v>
      </c>
      <c r="U251" s="1">
        <f>MEDIAN($C251,$E251,$G251,$I251,$K251,$M251,$O251,$Q251)</f>
        <v>0</v>
      </c>
      <c r="V251" s="1">
        <f>MAX($B251,$D251,$F251,$H251,$J251,$L251,$N251,$P251)</f>
        <v>0</v>
      </c>
      <c r="W251" s="1">
        <f>MAX($C251,$E251,$G251,$I251,$K251,$M251,$O251,$Q251)</f>
        <v>0</v>
      </c>
    </row>
    <row r="252" spans="1:23">
      <c r="A252" s="1" t="s">
        <v>249</v>
      </c>
      <c r="B252" s="1"/>
      <c r="C252" s="2"/>
      <c r="D252" s="4">
        <v>1200</v>
      </c>
      <c r="E252" s="6">
        <v>1</v>
      </c>
      <c r="F252" s="4">
        <v>1200</v>
      </c>
      <c r="G252" s="6">
        <v>1</v>
      </c>
      <c r="H252" s="1"/>
      <c r="I252" s="2"/>
      <c r="J252" s="1">
        <v>8.58</v>
      </c>
      <c r="K252" s="2">
        <v>0</v>
      </c>
      <c r="L252" s="1">
        <v>13.22</v>
      </c>
      <c r="M252" s="2">
        <v>0</v>
      </c>
      <c r="N252" s="3">
        <v>6.62</v>
      </c>
      <c r="O252" s="2">
        <v>0</v>
      </c>
      <c r="P252" s="1">
        <v>6.71</v>
      </c>
      <c r="Q252" s="2">
        <v>0</v>
      </c>
      <c r="R252" s="1">
        <f>MIN($B252,$D252,$F252,$H252,$J252,$L252,$N252,$P252)</f>
        <v>0</v>
      </c>
      <c r="S252" s="1">
        <f>MIN($C252,$E252,$G252,$I252,$K252,$M252,$O252,$Q252)</f>
        <v>0</v>
      </c>
      <c r="T252" s="1">
        <f>MEDIAN($B252,$D252,$F252,$H252,$J252,$L252,$N252,$P252)</f>
        <v>0</v>
      </c>
      <c r="U252" s="1">
        <f>MEDIAN($C252,$E252,$G252,$I252,$K252,$M252,$O252,$Q252)</f>
        <v>0</v>
      </c>
      <c r="V252" s="1">
        <f>MAX($B252,$D252,$F252,$H252,$J252,$L252,$N252,$P252)</f>
        <v>0</v>
      </c>
      <c r="W252" s="1">
        <f>MAX($C252,$E252,$G252,$I252,$K252,$M252,$O252,$Q252)</f>
        <v>0</v>
      </c>
    </row>
    <row r="253" spans="1:23">
      <c r="A253" s="1" t="s">
        <v>250</v>
      </c>
      <c r="B253" s="1"/>
      <c r="C253" s="2"/>
      <c r="D253" s="4">
        <v>1200</v>
      </c>
      <c r="E253" s="6">
        <v>1</v>
      </c>
      <c r="F253" s="4">
        <v>1200</v>
      </c>
      <c r="G253" s="6">
        <v>1</v>
      </c>
      <c r="H253" s="1"/>
      <c r="I253" s="2"/>
      <c r="J253" s="1">
        <v>7.92</v>
      </c>
      <c r="K253" s="2">
        <v>0</v>
      </c>
      <c r="L253" s="1">
        <v>15.99</v>
      </c>
      <c r="M253" s="2">
        <v>0</v>
      </c>
      <c r="N253" s="3">
        <v>2.17</v>
      </c>
      <c r="O253" s="2">
        <v>0</v>
      </c>
      <c r="P253" s="1">
        <v>6.29</v>
      </c>
      <c r="Q253" s="2">
        <v>0</v>
      </c>
      <c r="R253" s="1">
        <f>MIN($B253,$D253,$F253,$H253,$J253,$L253,$N253,$P253)</f>
        <v>0</v>
      </c>
      <c r="S253" s="1">
        <f>MIN($C253,$E253,$G253,$I253,$K253,$M253,$O253,$Q253)</f>
        <v>0</v>
      </c>
      <c r="T253" s="1">
        <f>MEDIAN($B253,$D253,$F253,$H253,$J253,$L253,$N253,$P253)</f>
        <v>0</v>
      </c>
      <c r="U253" s="1">
        <f>MEDIAN($C253,$E253,$G253,$I253,$K253,$M253,$O253,$Q253)</f>
        <v>0</v>
      </c>
      <c r="V253" s="1">
        <f>MAX($B253,$D253,$F253,$H253,$J253,$L253,$N253,$P253)</f>
        <v>0</v>
      </c>
      <c r="W253" s="1">
        <f>MAX($C253,$E253,$G253,$I253,$K253,$M253,$O253,$Q253)</f>
        <v>0</v>
      </c>
    </row>
    <row r="254" spans="1:23">
      <c r="A254" s="1" t="s">
        <v>251</v>
      </c>
      <c r="B254" s="1"/>
      <c r="C254" s="2"/>
      <c r="D254" s="1">
        <v>89.76000000000001</v>
      </c>
      <c r="E254" s="2">
        <v>0</v>
      </c>
      <c r="F254" s="4">
        <v>121.37</v>
      </c>
      <c r="G254" s="2">
        <v>0</v>
      </c>
      <c r="H254" s="1"/>
      <c r="I254" s="2"/>
      <c r="J254" s="1">
        <v>7.93</v>
      </c>
      <c r="K254" s="2">
        <v>0</v>
      </c>
      <c r="L254" s="1">
        <v>10.32</v>
      </c>
      <c r="M254" s="2">
        <v>0</v>
      </c>
      <c r="N254" s="1">
        <v>8.470000000000001</v>
      </c>
      <c r="O254" s="2">
        <v>0</v>
      </c>
      <c r="P254" s="3">
        <v>7.71</v>
      </c>
      <c r="Q254" s="2">
        <v>0</v>
      </c>
      <c r="R254" s="1">
        <f>MIN($B254,$D254,$F254,$H254,$J254,$L254,$N254,$P254)</f>
        <v>0</v>
      </c>
      <c r="S254" s="1">
        <f>MIN($C254,$E254,$G254,$I254,$K254,$M254,$O254,$Q254)</f>
        <v>0</v>
      </c>
      <c r="T254" s="1">
        <f>MEDIAN($B254,$D254,$F254,$H254,$J254,$L254,$N254,$P254)</f>
        <v>0</v>
      </c>
      <c r="U254" s="1">
        <f>MEDIAN($C254,$E254,$G254,$I254,$K254,$M254,$O254,$Q254)</f>
        <v>0</v>
      </c>
      <c r="V254" s="1">
        <f>MAX($B254,$D254,$F254,$H254,$J254,$L254,$N254,$P254)</f>
        <v>0</v>
      </c>
      <c r="W254" s="1">
        <f>MAX($C254,$E254,$G254,$I254,$K254,$M254,$O254,$Q254)</f>
        <v>0</v>
      </c>
    </row>
    <row r="255" spans="1:23">
      <c r="A255" s="1" t="s">
        <v>252</v>
      </c>
      <c r="B255" s="1"/>
      <c r="C255" s="2"/>
      <c r="D255" s="1">
        <v>422.64</v>
      </c>
      <c r="E255" s="2">
        <v>0</v>
      </c>
      <c r="F255" s="4">
        <v>454.28</v>
      </c>
      <c r="G255" s="2">
        <v>0</v>
      </c>
      <c r="H255" s="1"/>
      <c r="I255" s="2"/>
      <c r="J255" s="1">
        <v>8.02</v>
      </c>
      <c r="K255" s="2">
        <v>0</v>
      </c>
      <c r="L255" s="1">
        <v>12.04</v>
      </c>
      <c r="M255" s="2">
        <v>0</v>
      </c>
      <c r="N255" s="1">
        <v>7.66</v>
      </c>
      <c r="O255" s="2">
        <v>0</v>
      </c>
      <c r="P255" s="3">
        <v>7.29</v>
      </c>
      <c r="Q255" s="2">
        <v>0</v>
      </c>
      <c r="R255" s="1">
        <f>MIN($B255,$D255,$F255,$H255,$J255,$L255,$N255,$P255)</f>
        <v>0</v>
      </c>
      <c r="S255" s="1">
        <f>MIN($C255,$E255,$G255,$I255,$K255,$M255,$O255,$Q255)</f>
        <v>0</v>
      </c>
      <c r="T255" s="1">
        <f>MEDIAN($B255,$D255,$F255,$H255,$J255,$L255,$N255,$P255)</f>
        <v>0</v>
      </c>
      <c r="U255" s="1">
        <f>MEDIAN($C255,$E255,$G255,$I255,$K255,$M255,$O255,$Q255)</f>
        <v>0</v>
      </c>
      <c r="V255" s="1">
        <f>MAX($B255,$D255,$F255,$H255,$J255,$L255,$N255,$P255)</f>
        <v>0</v>
      </c>
      <c r="W255" s="1">
        <f>MAX($C255,$E255,$G255,$I255,$K255,$M255,$O255,$Q255)</f>
        <v>0</v>
      </c>
    </row>
    <row r="256" spans="1:23">
      <c r="A256" s="1" t="s">
        <v>253</v>
      </c>
      <c r="B256" s="1"/>
      <c r="C256" s="2"/>
      <c r="D256" s="4">
        <v>1200</v>
      </c>
      <c r="E256" s="6">
        <v>1</v>
      </c>
      <c r="F256" s="4">
        <v>1200</v>
      </c>
      <c r="G256" s="6">
        <v>1</v>
      </c>
      <c r="H256" s="1"/>
      <c r="I256" s="2"/>
      <c r="J256" s="1">
        <v>12.13</v>
      </c>
      <c r="K256" s="2">
        <v>0</v>
      </c>
      <c r="L256" s="1">
        <v>18.28</v>
      </c>
      <c r="M256" s="2">
        <v>0</v>
      </c>
      <c r="N256" s="1">
        <v>14.29</v>
      </c>
      <c r="O256" s="2">
        <v>0</v>
      </c>
      <c r="P256" s="3">
        <v>8.99</v>
      </c>
      <c r="Q256" s="2">
        <v>0</v>
      </c>
      <c r="R256" s="1">
        <f>MIN($B256,$D256,$F256,$H256,$J256,$L256,$N256,$P256)</f>
        <v>0</v>
      </c>
      <c r="S256" s="1">
        <f>MIN($C256,$E256,$G256,$I256,$K256,$M256,$O256,$Q256)</f>
        <v>0</v>
      </c>
      <c r="T256" s="1">
        <f>MEDIAN($B256,$D256,$F256,$H256,$J256,$L256,$N256,$P256)</f>
        <v>0</v>
      </c>
      <c r="U256" s="1">
        <f>MEDIAN($C256,$E256,$G256,$I256,$K256,$M256,$O256,$Q256)</f>
        <v>0</v>
      </c>
      <c r="V256" s="1">
        <f>MAX($B256,$D256,$F256,$H256,$J256,$L256,$N256,$P256)</f>
        <v>0</v>
      </c>
      <c r="W256" s="1">
        <f>MAX($C256,$E256,$G256,$I256,$K256,$M256,$O256,$Q256)</f>
        <v>0</v>
      </c>
    </row>
    <row r="257" spans="1:23">
      <c r="A257" s="1" t="s">
        <v>254</v>
      </c>
      <c r="B257" s="1"/>
      <c r="C257" s="2"/>
      <c r="D257" s="4">
        <v>1200</v>
      </c>
      <c r="E257" s="6">
        <v>1</v>
      </c>
      <c r="F257" s="4">
        <v>1200</v>
      </c>
      <c r="G257" s="6">
        <v>1</v>
      </c>
      <c r="H257" s="1"/>
      <c r="I257" s="2"/>
      <c r="J257" s="1">
        <v>12.57</v>
      </c>
      <c r="K257" s="2">
        <v>0</v>
      </c>
      <c r="L257" s="1">
        <v>17.67</v>
      </c>
      <c r="M257" s="2">
        <v>0</v>
      </c>
      <c r="N257" s="3">
        <v>10.88</v>
      </c>
      <c r="O257" s="2">
        <v>0</v>
      </c>
      <c r="P257" s="1">
        <v>11.34</v>
      </c>
      <c r="Q257" s="2">
        <v>0</v>
      </c>
      <c r="R257" s="1">
        <f>MIN($B257,$D257,$F257,$H257,$J257,$L257,$N257,$P257)</f>
        <v>0</v>
      </c>
      <c r="S257" s="1">
        <f>MIN($C257,$E257,$G257,$I257,$K257,$M257,$O257,$Q257)</f>
        <v>0</v>
      </c>
      <c r="T257" s="1">
        <f>MEDIAN($B257,$D257,$F257,$H257,$J257,$L257,$N257,$P257)</f>
        <v>0</v>
      </c>
      <c r="U257" s="1">
        <f>MEDIAN($C257,$E257,$G257,$I257,$K257,$M257,$O257,$Q257)</f>
        <v>0</v>
      </c>
      <c r="V257" s="1">
        <f>MAX($B257,$D257,$F257,$H257,$J257,$L257,$N257,$P257)</f>
        <v>0</v>
      </c>
      <c r="W257" s="1">
        <f>MAX($C257,$E257,$G257,$I257,$K257,$M257,$O257,$Q257)</f>
        <v>0</v>
      </c>
    </row>
    <row r="258" spans="1:23">
      <c r="A258" s="1" t="s">
        <v>255</v>
      </c>
      <c r="B258" s="1"/>
      <c r="C258" s="2"/>
      <c r="D258" s="4">
        <v>1200</v>
      </c>
      <c r="E258" s="6">
        <v>1</v>
      </c>
      <c r="F258" s="4">
        <v>1200</v>
      </c>
      <c r="G258" s="6">
        <v>1</v>
      </c>
      <c r="H258" s="1"/>
      <c r="I258" s="2"/>
      <c r="J258" s="1">
        <v>11.8</v>
      </c>
      <c r="K258" s="2">
        <v>0</v>
      </c>
      <c r="L258" s="1">
        <v>18.44</v>
      </c>
      <c r="M258" s="2">
        <v>0</v>
      </c>
      <c r="N258" s="1">
        <v>11.24</v>
      </c>
      <c r="O258" s="2">
        <v>0</v>
      </c>
      <c r="P258" s="3">
        <v>8.91</v>
      </c>
      <c r="Q258" s="2">
        <v>0</v>
      </c>
      <c r="R258" s="1">
        <f>MIN($B258,$D258,$F258,$H258,$J258,$L258,$N258,$P258)</f>
        <v>0</v>
      </c>
      <c r="S258" s="1">
        <f>MIN($C258,$E258,$G258,$I258,$K258,$M258,$O258,$Q258)</f>
        <v>0</v>
      </c>
      <c r="T258" s="1">
        <f>MEDIAN($B258,$D258,$F258,$H258,$J258,$L258,$N258,$P258)</f>
        <v>0</v>
      </c>
      <c r="U258" s="1">
        <f>MEDIAN($C258,$E258,$G258,$I258,$K258,$M258,$O258,$Q258)</f>
        <v>0</v>
      </c>
      <c r="V258" s="1">
        <f>MAX($B258,$D258,$F258,$H258,$J258,$L258,$N258,$P258)</f>
        <v>0</v>
      </c>
      <c r="W258" s="1">
        <f>MAX($C258,$E258,$G258,$I258,$K258,$M258,$O258,$Q258)</f>
        <v>0</v>
      </c>
    </row>
    <row r="259" spans="1:23">
      <c r="A259" s="1" t="s">
        <v>256</v>
      </c>
      <c r="B259" s="1"/>
      <c r="C259" s="2"/>
      <c r="D259" s="4">
        <v>1200</v>
      </c>
      <c r="E259" s="6">
        <v>1</v>
      </c>
      <c r="F259" s="4">
        <v>1200</v>
      </c>
      <c r="G259" s="6">
        <v>1</v>
      </c>
      <c r="H259" s="1"/>
      <c r="I259" s="2"/>
      <c r="J259" s="1">
        <v>12.15</v>
      </c>
      <c r="K259" s="2">
        <v>0</v>
      </c>
      <c r="L259" s="1">
        <v>21.28</v>
      </c>
      <c r="M259" s="2">
        <v>0</v>
      </c>
      <c r="N259" s="1">
        <v>10.9</v>
      </c>
      <c r="O259" s="2">
        <v>0</v>
      </c>
      <c r="P259" s="3">
        <v>4.19</v>
      </c>
      <c r="Q259" s="2">
        <v>0</v>
      </c>
      <c r="R259" s="1">
        <f>MIN($B259,$D259,$F259,$H259,$J259,$L259,$N259,$P259)</f>
        <v>0</v>
      </c>
      <c r="S259" s="1">
        <f>MIN($C259,$E259,$G259,$I259,$K259,$M259,$O259,$Q259)</f>
        <v>0</v>
      </c>
      <c r="T259" s="1">
        <f>MEDIAN($B259,$D259,$F259,$H259,$J259,$L259,$N259,$P259)</f>
        <v>0</v>
      </c>
      <c r="U259" s="1">
        <f>MEDIAN($C259,$E259,$G259,$I259,$K259,$M259,$O259,$Q259)</f>
        <v>0</v>
      </c>
      <c r="V259" s="1">
        <f>MAX($B259,$D259,$F259,$H259,$J259,$L259,$N259,$P259)</f>
        <v>0</v>
      </c>
      <c r="W259" s="1">
        <f>MAX($C259,$E259,$G259,$I259,$K259,$M259,$O259,$Q259)</f>
        <v>0</v>
      </c>
    </row>
    <row r="260" spans="1:23">
      <c r="A260" s="1" t="s">
        <v>257</v>
      </c>
      <c r="B260" s="1"/>
      <c r="C260" s="2"/>
      <c r="D260" s="4">
        <v>1200</v>
      </c>
      <c r="E260" s="6">
        <v>1</v>
      </c>
      <c r="F260" s="4">
        <v>1200</v>
      </c>
      <c r="G260" s="6">
        <v>1</v>
      </c>
      <c r="H260" s="1"/>
      <c r="I260" s="2"/>
      <c r="J260" s="1">
        <v>13.53</v>
      </c>
      <c r="K260" s="2">
        <v>0</v>
      </c>
      <c r="L260" s="1">
        <v>21.01</v>
      </c>
      <c r="M260" s="2">
        <v>0</v>
      </c>
      <c r="N260" s="1">
        <v>13.82</v>
      </c>
      <c r="O260" s="2">
        <v>0</v>
      </c>
      <c r="P260" s="3">
        <v>8.41</v>
      </c>
      <c r="Q260" s="2">
        <v>0</v>
      </c>
      <c r="R260" s="1">
        <f>MIN($B260,$D260,$F260,$H260,$J260,$L260,$N260,$P260)</f>
        <v>0</v>
      </c>
      <c r="S260" s="1">
        <f>MIN($C260,$E260,$G260,$I260,$K260,$M260,$O260,$Q260)</f>
        <v>0</v>
      </c>
      <c r="T260" s="1">
        <f>MEDIAN($B260,$D260,$F260,$H260,$J260,$L260,$N260,$P260)</f>
        <v>0</v>
      </c>
      <c r="U260" s="1">
        <f>MEDIAN($C260,$E260,$G260,$I260,$K260,$M260,$O260,$Q260)</f>
        <v>0</v>
      </c>
      <c r="V260" s="1">
        <f>MAX($B260,$D260,$F260,$H260,$J260,$L260,$N260,$P260)</f>
        <v>0</v>
      </c>
      <c r="W260" s="1">
        <f>MAX($C260,$E260,$G260,$I260,$K260,$M260,$O260,$Q260)</f>
        <v>0</v>
      </c>
    </row>
    <row r="261" spans="1:23">
      <c r="A261" s="1" t="s">
        <v>258</v>
      </c>
      <c r="B261" s="1"/>
      <c r="C261" s="2"/>
      <c r="D261" s="4">
        <v>1200</v>
      </c>
      <c r="E261" s="6">
        <v>1</v>
      </c>
      <c r="F261" s="4">
        <v>1200</v>
      </c>
      <c r="G261" s="6">
        <v>1</v>
      </c>
      <c r="H261" s="1"/>
      <c r="I261" s="2"/>
      <c r="J261" s="1">
        <v>12.94</v>
      </c>
      <c r="K261" s="2">
        <v>0</v>
      </c>
      <c r="L261" s="1">
        <v>22.23</v>
      </c>
      <c r="M261" s="2">
        <v>0</v>
      </c>
      <c r="N261" s="1">
        <v>12.15</v>
      </c>
      <c r="O261" s="2">
        <v>0</v>
      </c>
      <c r="P261" s="3">
        <v>9.02</v>
      </c>
      <c r="Q261" s="2">
        <v>0</v>
      </c>
      <c r="R261" s="1">
        <f>MIN($B261,$D261,$F261,$H261,$J261,$L261,$N261,$P261)</f>
        <v>0</v>
      </c>
      <c r="S261" s="1">
        <f>MIN($C261,$E261,$G261,$I261,$K261,$M261,$O261,$Q261)</f>
        <v>0</v>
      </c>
      <c r="T261" s="1">
        <f>MEDIAN($B261,$D261,$F261,$H261,$J261,$L261,$N261,$P261)</f>
        <v>0</v>
      </c>
      <c r="U261" s="1">
        <f>MEDIAN($C261,$E261,$G261,$I261,$K261,$M261,$O261,$Q261)</f>
        <v>0</v>
      </c>
      <c r="V261" s="1">
        <f>MAX($B261,$D261,$F261,$H261,$J261,$L261,$N261,$P261)</f>
        <v>0</v>
      </c>
      <c r="W261" s="1">
        <f>MAX($C261,$E261,$G261,$I261,$K261,$M261,$O261,$Q261)</f>
        <v>0</v>
      </c>
    </row>
    <row r="262" spans="1:23">
      <c r="A262" s="1" t="s">
        <v>259</v>
      </c>
      <c r="B262" s="1"/>
      <c r="C262" s="2"/>
      <c r="D262" s="4">
        <v>1200</v>
      </c>
      <c r="E262" s="6">
        <v>1</v>
      </c>
      <c r="F262" s="4">
        <v>1200</v>
      </c>
      <c r="G262" s="6">
        <v>1</v>
      </c>
      <c r="H262" s="1"/>
      <c r="I262" s="2"/>
      <c r="J262" s="1">
        <v>11.88</v>
      </c>
      <c r="K262" s="2">
        <v>0</v>
      </c>
      <c r="L262" s="1">
        <v>21.4</v>
      </c>
      <c r="M262" s="2">
        <v>0</v>
      </c>
      <c r="N262" s="1">
        <v>12.13</v>
      </c>
      <c r="O262" s="2">
        <v>0</v>
      </c>
      <c r="P262" s="3">
        <v>9.210000000000001</v>
      </c>
      <c r="Q262" s="2">
        <v>0</v>
      </c>
      <c r="R262" s="1">
        <f>MIN($B262,$D262,$F262,$H262,$J262,$L262,$N262,$P262)</f>
        <v>0</v>
      </c>
      <c r="S262" s="1">
        <f>MIN($C262,$E262,$G262,$I262,$K262,$M262,$O262,$Q262)</f>
        <v>0</v>
      </c>
      <c r="T262" s="1">
        <f>MEDIAN($B262,$D262,$F262,$H262,$J262,$L262,$N262,$P262)</f>
        <v>0</v>
      </c>
      <c r="U262" s="1">
        <f>MEDIAN($C262,$E262,$G262,$I262,$K262,$M262,$O262,$Q262)</f>
        <v>0</v>
      </c>
      <c r="V262" s="1">
        <f>MAX($B262,$D262,$F262,$H262,$J262,$L262,$N262,$P262)</f>
        <v>0</v>
      </c>
      <c r="W262" s="1">
        <f>MAX($C262,$E262,$G262,$I262,$K262,$M262,$O262,$Q262)</f>
        <v>0</v>
      </c>
    </row>
    <row r="263" spans="1:23">
      <c r="A263" s="1" t="s">
        <v>260</v>
      </c>
      <c r="B263" s="1"/>
      <c r="C263" s="2"/>
      <c r="D263" s="4">
        <v>1200</v>
      </c>
      <c r="E263" s="6">
        <v>1</v>
      </c>
      <c r="F263" s="4">
        <v>1200</v>
      </c>
      <c r="G263" s="6">
        <v>1</v>
      </c>
      <c r="H263" s="1"/>
      <c r="I263" s="2"/>
      <c r="J263" s="1">
        <v>12.09</v>
      </c>
      <c r="K263" s="2">
        <v>0</v>
      </c>
      <c r="L263" s="1">
        <v>22.18</v>
      </c>
      <c r="M263" s="2">
        <v>0</v>
      </c>
      <c r="N263" s="1">
        <v>11.69</v>
      </c>
      <c r="O263" s="2">
        <v>0</v>
      </c>
      <c r="P263" s="3">
        <v>9.529999999999999</v>
      </c>
      <c r="Q263" s="2">
        <v>0</v>
      </c>
      <c r="R263" s="1">
        <f>MIN($B263,$D263,$F263,$H263,$J263,$L263,$N263,$P263)</f>
        <v>0</v>
      </c>
      <c r="S263" s="1">
        <f>MIN($C263,$E263,$G263,$I263,$K263,$M263,$O263,$Q263)</f>
        <v>0</v>
      </c>
      <c r="T263" s="1">
        <f>MEDIAN($B263,$D263,$F263,$H263,$J263,$L263,$N263,$P263)</f>
        <v>0</v>
      </c>
      <c r="U263" s="1">
        <f>MEDIAN($C263,$E263,$G263,$I263,$K263,$M263,$O263,$Q263)</f>
        <v>0</v>
      </c>
      <c r="V263" s="1">
        <f>MAX($B263,$D263,$F263,$H263,$J263,$L263,$N263,$P263)</f>
        <v>0</v>
      </c>
      <c r="W263" s="1">
        <f>MAX($C263,$E263,$G263,$I263,$K263,$M263,$O263,$Q263)</f>
        <v>0</v>
      </c>
    </row>
    <row r="264" spans="1:23">
      <c r="A264" s="1" t="s">
        <v>261</v>
      </c>
      <c r="B264" s="1"/>
      <c r="C264" s="2"/>
      <c r="D264" s="4">
        <v>1200</v>
      </c>
      <c r="E264" s="6">
        <v>1</v>
      </c>
      <c r="F264" s="4">
        <v>1200</v>
      </c>
      <c r="G264" s="6">
        <v>1</v>
      </c>
      <c r="H264" s="1"/>
      <c r="I264" s="2"/>
      <c r="J264" s="1">
        <v>13.34</v>
      </c>
      <c r="K264" s="2">
        <v>0</v>
      </c>
      <c r="L264" s="1">
        <v>24.73</v>
      </c>
      <c r="M264" s="2">
        <v>0</v>
      </c>
      <c r="N264" s="1">
        <v>11.29</v>
      </c>
      <c r="O264" s="2">
        <v>0</v>
      </c>
      <c r="P264" s="3">
        <v>9.49</v>
      </c>
      <c r="Q264" s="2">
        <v>0</v>
      </c>
      <c r="R264" s="1">
        <f>MIN($B264,$D264,$F264,$H264,$J264,$L264,$N264,$P264)</f>
        <v>0</v>
      </c>
      <c r="S264" s="1">
        <f>MIN($C264,$E264,$G264,$I264,$K264,$M264,$O264,$Q264)</f>
        <v>0</v>
      </c>
      <c r="T264" s="1">
        <f>MEDIAN($B264,$D264,$F264,$H264,$J264,$L264,$N264,$P264)</f>
        <v>0</v>
      </c>
      <c r="U264" s="1">
        <f>MEDIAN($C264,$E264,$G264,$I264,$K264,$M264,$O264,$Q264)</f>
        <v>0</v>
      </c>
      <c r="V264" s="1">
        <f>MAX($B264,$D264,$F264,$H264,$J264,$L264,$N264,$P264)</f>
        <v>0</v>
      </c>
      <c r="W264" s="1">
        <f>MAX($C264,$E264,$G264,$I264,$K264,$M264,$O264,$Q264)</f>
        <v>0</v>
      </c>
    </row>
    <row r="265" spans="1:23">
      <c r="A265" s="1" t="s">
        <v>262</v>
      </c>
      <c r="B265" s="1"/>
      <c r="C265" s="2"/>
      <c r="D265" s="4">
        <v>1200</v>
      </c>
      <c r="E265" s="6">
        <v>1</v>
      </c>
      <c r="F265" s="4">
        <v>1200</v>
      </c>
      <c r="G265" s="6">
        <v>1</v>
      </c>
      <c r="H265" s="1"/>
      <c r="I265" s="2"/>
      <c r="J265" s="1">
        <v>11.94</v>
      </c>
      <c r="K265" s="2">
        <v>0</v>
      </c>
      <c r="L265" s="1">
        <v>24.71</v>
      </c>
      <c r="M265" s="2">
        <v>0</v>
      </c>
      <c r="N265" s="1">
        <v>11.19</v>
      </c>
      <c r="O265" s="2">
        <v>0</v>
      </c>
      <c r="P265" s="3">
        <v>9.74</v>
      </c>
      <c r="Q265" s="2">
        <v>0</v>
      </c>
      <c r="R265" s="1">
        <f>MIN($B265,$D265,$F265,$H265,$J265,$L265,$N265,$P265)</f>
        <v>0</v>
      </c>
      <c r="S265" s="1">
        <f>MIN($C265,$E265,$G265,$I265,$K265,$M265,$O265,$Q265)</f>
        <v>0</v>
      </c>
      <c r="T265" s="1">
        <f>MEDIAN($B265,$D265,$F265,$H265,$J265,$L265,$N265,$P265)</f>
        <v>0</v>
      </c>
      <c r="U265" s="1">
        <f>MEDIAN($C265,$E265,$G265,$I265,$K265,$M265,$O265,$Q265)</f>
        <v>0</v>
      </c>
      <c r="V265" s="1">
        <f>MAX($B265,$D265,$F265,$H265,$J265,$L265,$N265,$P265)</f>
        <v>0</v>
      </c>
      <c r="W265" s="1">
        <f>MAX($C265,$E265,$G265,$I265,$K265,$M265,$O265,$Q265)</f>
        <v>0</v>
      </c>
    </row>
    <row r="266" spans="1:23">
      <c r="A266" s="1" t="s">
        <v>263</v>
      </c>
      <c r="B266" s="1"/>
      <c r="C266" s="2"/>
      <c r="D266" s="1">
        <v>563.73</v>
      </c>
      <c r="E266" s="2">
        <v>0</v>
      </c>
      <c r="F266" s="4">
        <v>834.4400000000001</v>
      </c>
      <c r="G266" s="2">
        <v>0</v>
      </c>
      <c r="H266" s="1"/>
      <c r="I266" s="2"/>
      <c r="J266" s="1">
        <v>8.32</v>
      </c>
      <c r="K266" s="2">
        <v>0</v>
      </c>
      <c r="L266" s="1">
        <v>11.85</v>
      </c>
      <c r="M266" s="2">
        <v>0</v>
      </c>
      <c r="N266" s="1">
        <v>8.74</v>
      </c>
      <c r="O266" s="2">
        <v>0</v>
      </c>
      <c r="P266" s="3">
        <v>7.3</v>
      </c>
      <c r="Q266" s="2">
        <v>0</v>
      </c>
      <c r="R266" s="1">
        <f>MIN($B266,$D266,$F266,$H266,$J266,$L266,$N266,$P266)</f>
        <v>0</v>
      </c>
      <c r="S266" s="1">
        <f>MIN($C266,$E266,$G266,$I266,$K266,$M266,$O266,$Q266)</f>
        <v>0</v>
      </c>
      <c r="T266" s="1">
        <f>MEDIAN($B266,$D266,$F266,$H266,$J266,$L266,$N266,$P266)</f>
        <v>0</v>
      </c>
      <c r="U266" s="1">
        <f>MEDIAN($C266,$E266,$G266,$I266,$K266,$M266,$O266,$Q266)</f>
        <v>0</v>
      </c>
      <c r="V266" s="1">
        <f>MAX($B266,$D266,$F266,$H266,$J266,$L266,$N266,$P266)</f>
        <v>0</v>
      </c>
      <c r="W266" s="1">
        <f>MAX($C266,$E266,$G266,$I266,$K266,$M266,$O266,$Q266)</f>
        <v>0</v>
      </c>
    </row>
    <row r="267" spans="1:23">
      <c r="A267" s="1" t="s">
        <v>264</v>
      </c>
      <c r="B267" s="1"/>
      <c r="C267" s="2"/>
      <c r="D267" s="4">
        <v>1200</v>
      </c>
      <c r="E267" s="6">
        <v>1</v>
      </c>
      <c r="F267" s="4">
        <v>1200</v>
      </c>
      <c r="G267" s="6">
        <v>1</v>
      </c>
      <c r="H267" s="1"/>
      <c r="I267" s="2"/>
      <c r="J267" s="1">
        <v>12.2</v>
      </c>
      <c r="K267" s="2">
        <v>0</v>
      </c>
      <c r="L267" s="1">
        <v>12.67</v>
      </c>
      <c r="M267" s="2">
        <v>0</v>
      </c>
      <c r="N267" s="1">
        <v>8.390000000000001</v>
      </c>
      <c r="O267" s="2">
        <v>0</v>
      </c>
      <c r="P267" s="3">
        <v>8.26</v>
      </c>
      <c r="Q267" s="2">
        <v>0</v>
      </c>
      <c r="R267" s="1">
        <f>MIN($B267,$D267,$F267,$H267,$J267,$L267,$N267,$P267)</f>
        <v>0</v>
      </c>
      <c r="S267" s="1">
        <f>MIN($C267,$E267,$G267,$I267,$K267,$M267,$O267,$Q267)</f>
        <v>0</v>
      </c>
      <c r="T267" s="1">
        <f>MEDIAN($B267,$D267,$F267,$H267,$J267,$L267,$N267,$P267)</f>
        <v>0</v>
      </c>
      <c r="U267" s="1">
        <f>MEDIAN($C267,$E267,$G267,$I267,$K267,$M267,$O267,$Q267)</f>
        <v>0</v>
      </c>
      <c r="V267" s="1">
        <f>MAX($B267,$D267,$F267,$H267,$J267,$L267,$N267,$P267)</f>
        <v>0</v>
      </c>
      <c r="W267" s="1">
        <f>MAX($C267,$E267,$G267,$I267,$K267,$M267,$O267,$Q267)</f>
        <v>0</v>
      </c>
    </row>
    <row r="268" spans="1:23">
      <c r="A268" s="1" t="s">
        <v>265</v>
      </c>
      <c r="B268" s="1"/>
      <c r="C268" s="2"/>
      <c r="D268" s="4">
        <v>1200</v>
      </c>
      <c r="E268" s="6">
        <v>1</v>
      </c>
      <c r="F268" s="4">
        <v>1200</v>
      </c>
      <c r="G268" s="6">
        <v>1</v>
      </c>
      <c r="H268" s="1"/>
      <c r="I268" s="2"/>
      <c r="J268" s="1">
        <v>8.08</v>
      </c>
      <c r="K268" s="2">
        <v>0</v>
      </c>
      <c r="L268" s="1">
        <v>13.81</v>
      </c>
      <c r="M268" s="2">
        <v>0</v>
      </c>
      <c r="N268" s="1">
        <v>8.25</v>
      </c>
      <c r="O268" s="2">
        <v>0</v>
      </c>
      <c r="P268" s="3">
        <v>7.95</v>
      </c>
      <c r="Q268" s="2">
        <v>0</v>
      </c>
      <c r="R268" s="1">
        <f>MIN($B268,$D268,$F268,$H268,$J268,$L268,$N268,$P268)</f>
        <v>0</v>
      </c>
      <c r="S268" s="1">
        <f>MIN($C268,$E268,$G268,$I268,$K268,$M268,$O268,$Q268)</f>
        <v>0</v>
      </c>
      <c r="T268" s="1">
        <f>MEDIAN($B268,$D268,$F268,$H268,$J268,$L268,$N268,$P268)</f>
        <v>0</v>
      </c>
      <c r="U268" s="1">
        <f>MEDIAN($C268,$E268,$G268,$I268,$K268,$M268,$O268,$Q268)</f>
        <v>0</v>
      </c>
      <c r="V268" s="1">
        <f>MAX($B268,$D268,$F268,$H268,$J268,$L268,$N268,$P268)</f>
        <v>0</v>
      </c>
      <c r="W268" s="1">
        <f>MAX($C268,$E268,$G268,$I268,$K268,$M268,$O268,$Q268)</f>
        <v>0</v>
      </c>
    </row>
    <row r="269" spans="1:23">
      <c r="A269" s="1" t="s">
        <v>266</v>
      </c>
      <c r="B269" s="1"/>
      <c r="C269" s="2"/>
      <c r="D269" s="4">
        <v>1200</v>
      </c>
      <c r="E269" s="6">
        <v>1</v>
      </c>
      <c r="F269" s="4">
        <v>1200</v>
      </c>
      <c r="G269" s="6">
        <v>1</v>
      </c>
      <c r="H269" s="1"/>
      <c r="I269" s="2"/>
      <c r="J269" s="1">
        <v>9.06</v>
      </c>
      <c r="K269" s="2">
        <v>0</v>
      </c>
      <c r="L269" s="1">
        <v>13</v>
      </c>
      <c r="M269" s="2">
        <v>0</v>
      </c>
      <c r="N269" s="1">
        <v>8.52</v>
      </c>
      <c r="O269" s="2">
        <v>0</v>
      </c>
      <c r="P269" s="3">
        <v>7.94</v>
      </c>
      <c r="Q269" s="2">
        <v>0</v>
      </c>
      <c r="R269" s="1">
        <f>MIN($B269,$D269,$F269,$H269,$J269,$L269,$N269,$P269)</f>
        <v>0</v>
      </c>
      <c r="S269" s="1">
        <f>MIN($C269,$E269,$G269,$I269,$K269,$M269,$O269,$Q269)</f>
        <v>0</v>
      </c>
      <c r="T269" s="1">
        <f>MEDIAN($B269,$D269,$F269,$H269,$J269,$L269,$N269,$P269)</f>
        <v>0</v>
      </c>
      <c r="U269" s="1">
        <f>MEDIAN($C269,$E269,$G269,$I269,$K269,$M269,$O269,$Q269)</f>
        <v>0</v>
      </c>
      <c r="V269" s="1">
        <f>MAX($B269,$D269,$F269,$H269,$J269,$L269,$N269,$P269)</f>
        <v>0</v>
      </c>
      <c r="W269" s="1">
        <f>MAX($C269,$E269,$G269,$I269,$K269,$M269,$O269,$Q269)</f>
        <v>0</v>
      </c>
    </row>
    <row r="270" spans="1:23">
      <c r="A270" s="1" t="s">
        <v>267</v>
      </c>
      <c r="B270" s="1"/>
      <c r="C270" s="2"/>
      <c r="D270" s="4">
        <v>1200</v>
      </c>
      <c r="E270" s="6">
        <v>1</v>
      </c>
      <c r="F270" s="4">
        <v>1200</v>
      </c>
      <c r="G270" s="6">
        <v>1</v>
      </c>
      <c r="H270" s="1"/>
      <c r="I270" s="2"/>
      <c r="J270" s="1">
        <v>14.4</v>
      </c>
      <c r="K270" s="2">
        <v>0</v>
      </c>
      <c r="L270" s="1">
        <v>14.14</v>
      </c>
      <c r="M270" s="2">
        <v>0</v>
      </c>
      <c r="N270" s="1">
        <v>10.75</v>
      </c>
      <c r="O270" s="2">
        <v>0</v>
      </c>
      <c r="P270" s="3">
        <v>8.279999999999999</v>
      </c>
      <c r="Q270" s="2">
        <v>0</v>
      </c>
      <c r="R270" s="1">
        <f>MIN($B270,$D270,$F270,$H270,$J270,$L270,$N270,$P270)</f>
        <v>0</v>
      </c>
      <c r="S270" s="1">
        <f>MIN($C270,$E270,$G270,$I270,$K270,$M270,$O270,$Q270)</f>
        <v>0</v>
      </c>
      <c r="T270" s="1">
        <f>MEDIAN($B270,$D270,$F270,$H270,$J270,$L270,$N270,$P270)</f>
        <v>0</v>
      </c>
      <c r="U270" s="1">
        <f>MEDIAN($C270,$E270,$G270,$I270,$K270,$M270,$O270,$Q270)</f>
        <v>0</v>
      </c>
      <c r="V270" s="1">
        <f>MAX($B270,$D270,$F270,$H270,$J270,$L270,$N270,$P270)</f>
        <v>0</v>
      </c>
      <c r="W270" s="1">
        <f>MAX($C270,$E270,$G270,$I270,$K270,$M270,$O270,$Q270)</f>
        <v>0</v>
      </c>
    </row>
    <row r="271" spans="1:23">
      <c r="A271" s="1" t="s">
        <v>268</v>
      </c>
      <c r="B271" s="1"/>
      <c r="C271" s="2"/>
      <c r="D271" s="4">
        <v>1200</v>
      </c>
      <c r="E271" s="6">
        <v>1</v>
      </c>
      <c r="F271" s="4">
        <v>1200</v>
      </c>
      <c r="G271" s="6">
        <v>1</v>
      </c>
      <c r="H271" s="1"/>
      <c r="I271" s="2"/>
      <c r="J271" s="1">
        <v>11.47</v>
      </c>
      <c r="K271" s="2">
        <v>0</v>
      </c>
      <c r="L271" s="1">
        <v>15.22</v>
      </c>
      <c r="M271" s="2">
        <v>0</v>
      </c>
      <c r="N271" s="1">
        <v>13.58</v>
      </c>
      <c r="O271" s="2">
        <v>0</v>
      </c>
      <c r="P271" s="3">
        <v>9.01</v>
      </c>
      <c r="Q271" s="2">
        <v>0</v>
      </c>
      <c r="R271" s="1">
        <f>MIN($B271,$D271,$F271,$H271,$J271,$L271,$N271,$P271)</f>
        <v>0</v>
      </c>
      <c r="S271" s="1">
        <f>MIN($C271,$E271,$G271,$I271,$K271,$M271,$O271,$Q271)</f>
        <v>0</v>
      </c>
      <c r="T271" s="1">
        <f>MEDIAN($B271,$D271,$F271,$H271,$J271,$L271,$N271,$P271)</f>
        <v>0</v>
      </c>
      <c r="U271" s="1">
        <f>MEDIAN($C271,$E271,$G271,$I271,$K271,$M271,$O271,$Q271)</f>
        <v>0</v>
      </c>
      <c r="V271" s="1">
        <f>MAX($B271,$D271,$F271,$H271,$J271,$L271,$N271,$P271)</f>
        <v>0</v>
      </c>
      <c r="W271" s="1">
        <f>MAX($C271,$E271,$G271,$I271,$K271,$M271,$O271,$Q271)</f>
        <v>0</v>
      </c>
    </row>
    <row r="272" spans="1:23">
      <c r="A272" s="1" t="s">
        <v>269</v>
      </c>
      <c r="B272" s="1"/>
      <c r="C272" s="2"/>
      <c r="D272" s="4">
        <v>1200</v>
      </c>
      <c r="E272" s="6">
        <v>1</v>
      </c>
      <c r="F272" s="4">
        <v>1200</v>
      </c>
      <c r="G272" s="6">
        <v>1</v>
      </c>
      <c r="H272" s="1"/>
      <c r="I272" s="2"/>
      <c r="J272" s="1">
        <v>11.81</v>
      </c>
      <c r="K272" s="2">
        <v>0</v>
      </c>
      <c r="L272" s="1">
        <v>20.11</v>
      </c>
      <c r="M272" s="2">
        <v>0</v>
      </c>
      <c r="N272" s="1">
        <v>11.06</v>
      </c>
      <c r="O272" s="2">
        <v>0</v>
      </c>
      <c r="P272" s="3">
        <v>3.78</v>
      </c>
      <c r="Q272" s="2">
        <v>0</v>
      </c>
      <c r="R272" s="1">
        <f>MIN($B272,$D272,$F272,$H272,$J272,$L272,$N272,$P272)</f>
        <v>0</v>
      </c>
      <c r="S272" s="1">
        <f>MIN($C272,$E272,$G272,$I272,$K272,$M272,$O272,$Q272)</f>
        <v>0</v>
      </c>
      <c r="T272" s="1">
        <f>MEDIAN($B272,$D272,$F272,$H272,$J272,$L272,$N272,$P272)</f>
        <v>0</v>
      </c>
      <c r="U272" s="1">
        <f>MEDIAN($C272,$E272,$G272,$I272,$K272,$M272,$O272,$Q272)</f>
        <v>0</v>
      </c>
      <c r="V272" s="1">
        <f>MAX($B272,$D272,$F272,$H272,$J272,$L272,$N272,$P272)</f>
        <v>0</v>
      </c>
      <c r="W272" s="1">
        <f>MAX($C272,$E272,$G272,$I272,$K272,$M272,$O272,$Q272)</f>
        <v>0</v>
      </c>
    </row>
    <row r="273" spans="1:23">
      <c r="A273" s="1" t="s">
        <v>270</v>
      </c>
      <c r="B273" s="1"/>
      <c r="C273" s="2"/>
      <c r="D273" s="4">
        <v>1200</v>
      </c>
      <c r="E273" s="6">
        <v>1</v>
      </c>
      <c r="F273" s="4">
        <v>1200</v>
      </c>
      <c r="G273" s="6">
        <v>1</v>
      </c>
      <c r="H273" s="1"/>
      <c r="I273" s="2"/>
      <c r="J273" s="1">
        <v>11.48</v>
      </c>
      <c r="K273" s="2">
        <v>0</v>
      </c>
      <c r="L273" s="1">
        <v>16.66</v>
      </c>
      <c r="M273" s="2">
        <v>0</v>
      </c>
      <c r="N273" s="1">
        <v>11.73</v>
      </c>
      <c r="O273" s="2">
        <v>0</v>
      </c>
      <c r="P273" s="3">
        <v>8.710000000000001</v>
      </c>
      <c r="Q273" s="2">
        <v>0</v>
      </c>
      <c r="R273" s="1">
        <f>MIN($B273,$D273,$F273,$H273,$J273,$L273,$N273,$P273)</f>
        <v>0</v>
      </c>
      <c r="S273" s="1">
        <f>MIN($C273,$E273,$G273,$I273,$K273,$M273,$O273,$Q273)</f>
        <v>0</v>
      </c>
      <c r="T273" s="1">
        <f>MEDIAN($B273,$D273,$F273,$H273,$J273,$L273,$N273,$P273)</f>
        <v>0</v>
      </c>
      <c r="U273" s="1">
        <f>MEDIAN($C273,$E273,$G273,$I273,$K273,$M273,$O273,$Q273)</f>
        <v>0</v>
      </c>
      <c r="V273" s="1">
        <f>MAX($B273,$D273,$F273,$H273,$J273,$L273,$N273,$P273)</f>
        <v>0</v>
      </c>
      <c r="W273" s="1">
        <f>MAX($C273,$E273,$G273,$I273,$K273,$M273,$O273,$Q273)</f>
        <v>0</v>
      </c>
    </row>
    <row r="274" spans="1:23">
      <c r="A274" s="1" t="s">
        <v>271</v>
      </c>
      <c r="B274" s="1"/>
      <c r="C274" s="2"/>
      <c r="D274" s="1">
        <v>2.51</v>
      </c>
      <c r="E274" s="2">
        <v>0</v>
      </c>
      <c r="F274" s="3">
        <v>0.62</v>
      </c>
      <c r="G274" s="2">
        <v>0</v>
      </c>
      <c r="H274" s="1"/>
      <c r="I274" s="2"/>
      <c r="J274" s="1">
        <v>2.77</v>
      </c>
      <c r="K274" s="2">
        <v>0</v>
      </c>
      <c r="L274" s="1">
        <v>2.55</v>
      </c>
      <c r="M274" s="2">
        <v>0</v>
      </c>
      <c r="N274" s="1">
        <v>3.25</v>
      </c>
      <c r="O274" s="2">
        <v>0</v>
      </c>
      <c r="P274" s="1">
        <v>2.87</v>
      </c>
      <c r="Q274" s="2">
        <v>0</v>
      </c>
      <c r="R274" s="1">
        <f>MIN($B274,$D274,$F274,$H274,$J274,$L274,$N274,$P274)</f>
        <v>0</v>
      </c>
      <c r="S274" s="1">
        <f>MIN($C274,$E274,$G274,$I274,$K274,$M274,$O274,$Q274)</f>
        <v>0</v>
      </c>
      <c r="T274" s="1">
        <f>MEDIAN($B274,$D274,$F274,$H274,$J274,$L274,$N274,$P274)</f>
        <v>0</v>
      </c>
      <c r="U274" s="1">
        <f>MEDIAN($C274,$E274,$G274,$I274,$K274,$M274,$O274,$Q274)</f>
        <v>0</v>
      </c>
      <c r="V274" s="1">
        <f>MAX($B274,$D274,$F274,$H274,$J274,$L274,$N274,$P274)</f>
        <v>0</v>
      </c>
      <c r="W274" s="1">
        <f>MAX($C274,$E274,$G274,$I274,$K274,$M274,$O274,$Q274)</f>
        <v>0</v>
      </c>
    </row>
    <row r="275" spans="1:23">
      <c r="A275" s="1" t="s">
        <v>272</v>
      </c>
      <c r="B275" s="1"/>
      <c r="C275" s="2"/>
      <c r="D275" s="1">
        <v>3.73</v>
      </c>
      <c r="E275" s="2">
        <v>0</v>
      </c>
      <c r="F275" s="1">
        <v>2.74</v>
      </c>
      <c r="G275" s="2">
        <v>0</v>
      </c>
      <c r="H275" s="1"/>
      <c r="I275" s="2"/>
      <c r="J275" s="1">
        <v>2.73</v>
      </c>
      <c r="K275" s="2">
        <v>0</v>
      </c>
      <c r="L275" s="1">
        <v>2.92</v>
      </c>
      <c r="M275" s="2">
        <v>0</v>
      </c>
      <c r="N275" s="1">
        <v>2.95</v>
      </c>
      <c r="O275" s="2">
        <v>0</v>
      </c>
      <c r="P275" s="1">
        <v>3.14</v>
      </c>
      <c r="Q275" s="2">
        <v>0</v>
      </c>
      <c r="R275" s="1">
        <f>MIN($B275,$D275,$F275,$H275,$J275,$L275,$N275,$P275)</f>
        <v>0</v>
      </c>
      <c r="S275" s="1">
        <f>MIN($C275,$E275,$G275,$I275,$K275,$M275,$O275,$Q275)</f>
        <v>0</v>
      </c>
      <c r="T275" s="1">
        <f>MEDIAN($B275,$D275,$F275,$H275,$J275,$L275,$N275,$P275)</f>
        <v>0</v>
      </c>
      <c r="U275" s="1">
        <f>MEDIAN($C275,$E275,$G275,$I275,$K275,$M275,$O275,$Q275)</f>
        <v>0</v>
      </c>
      <c r="V275" s="1">
        <f>MAX($B275,$D275,$F275,$H275,$J275,$L275,$N275,$P275)</f>
        <v>0</v>
      </c>
      <c r="W275" s="1">
        <f>MAX($C275,$E275,$G275,$I275,$K275,$M275,$O275,$Q275)</f>
        <v>0</v>
      </c>
    </row>
    <row r="276" spans="1:23">
      <c r="A276" s="1" t="s">
        <v>273</v>
      </c>
      <c r="B276" s="1"/>
      <c r="C276" s="2"/>
      <c r="D276" s="1">
        <v>3.03</v>
      </c>
      <c r="E276" s="2">
        <v>0</v>
      </c>
      <c r="F276" s="1">
        <v>2.96</v>
      </c>
      <c r="G276" s="2">
        <v>0</v>
      </c>
      <c r="H276" s="1"/>
      <c r="I276" s="2"/>
      <c r="J276" s="1">
        <v>2.84</v>
      </c>
      <c r="K276" s="2">
        <v>0</v>
      </c>
      <c r="L276" s="1">
        <v>2.47</v>
      </c>
      <c r="M276" s="2">
        <v>0</v>
      </c>
      <c r="N276" s="1">
        <v>3</v>
      </c>
      <c r="O276" s="2">
        <v>0</v>
      </c>
      <c r="P276" s="1">
        <v>2.85</v>
      </c>
      <c r="Q276" s="2">
        <v>0</v>
      </c>
      <c r="R276" s="1">
        <f>MIN($B276,$D276,$F276,$H276,$J276,$L276,$N276,$P276)</f>
        <v>0</v>
      </c>
      <c r="S276" s="1">
        <f>MIN($C276,$E276,$G276,$I276,$K276,$M276,$O276,$Q276)</f>
        <v>0</v>
      </c>
      <c r="T276" s="1">
        <f>MEDIAN($B276,$D276,$F276,$H276,$J276,$L276,$N276,$P276)</f>
        <v>0</v>
      </c>
      <c r="U276" s="1">
        <f>MEDIAN($C276,$E276,$G276,$I276,$K276,$M276,$O276,$Q276)</f>
        <v>0</v>
      </c>
      <c r="V276" s="1">
        <f>MAX($B276,$D276,$F276,$H276,$J276,$L276,$N276,$P276)</f>
        <v>0</v>
      </c>
      <c r="W276" s="1">
        <f>MAX($C276,$E276,$G276,$I276,$K276,$M276,$O276,$Q276)</f>
        <v>0</v>
      </c>
    </row>
    <row r="277" spans="1:23">
      <c r="A277" s="1" t="s">
        <v>274</v>
      </c>
      <c r="B277" s="1"/>
      <c r="C277" s="2"/>
      <c r="D277" s="1">
        <v>2.73</v>
      </c>
      <c r="E277" s="2">
        <v>0</v>
      </c>
      <c r="F277" s="1">
        <v>2.85</v>
      </c>
      <c r="G277" s="2">
        <v>0</v>
      </c>
      <c r="H277" s="1"/>
      <c r="I277" s="2"/>
      <c r="J277" s="1">
        <v>2.55</v>
      </c>
      <c r="K277" s="2">
        <v>0</v>
      </c>
      <c r="L277" s="1">
        <v>2.64</v>
      </c>
      <c r="M277" s="2">
        <v>0</v>
      </c>
      <c r="N277" s="3">
        <v>0.24</v>
      </c>
      <c r="O277" s="2">
        <v>0</v>
      </c>
      <c r="P277" s="1">
        <v>2.97</v>
      </c>
      <c r="Q277" s="2">
        <v>0</v>
      </c>
      <c r="R277" s="1">
        <f>MIN($B277,$D277,$F277,$H277,$J277,$L277,$N277,$P277)</f>
        <v>0</v>
      </c>
      <c r="S277" s="1">
        <f>MIN($C277,$E277,$G277,$I277,$K277,$M277,$O277,$Q277)</f>
        <v>0</v>
      </c>
      <c r="T277" s="1">
        <f>MEDIAN($B277,$D277,$F277,$H277,$J277,$L277,$N277,$P277)</f>
        <v>0</v>
      </c>
      <c r="U277" s="1">
        <f>MEDIAN($C277,$E277,$G277,$I277,$K277,$M277,$O277,$Q277)</f>
        <v>0</v>
      </c>
      <c r="V277" s="1">
        <f>MAX($B277,$D277,$F277,$H277,$J277,$L277,$N277,$P277)</f>
        <v>0</v>
      </c>
      <c r="W277" s="1">
        <f>MAX($C277,$E277,$G277,$I277,$K277,$M277,$O277,$Q277)</f>
        <v>0</v>
      </c>
    </row>
    <row r="278" spans="1:23">
      <c r="A278" s="1" t="s">
        <v>275</v>
      </c>
      <c r="B278" s="1"/>
      <c r="C278" s="2"/>
      <c r="D278" s="1">
        <v>2.56</v>
      </c>
      <c r="E278" s="2">
        <v>0</v>
      </c>
      <c r="F278" s="1">
        <v>2.79</v>
      </c>
      <c r="G278" s="2">
        <v>0</v>
      </c>
      <c r="H278" s="1"/>
      <c r="I278" s="2"/>
      <c r="J278" s="1">
        <v>2.62</v>
      </c>
      <c r="K278" s="2">
        <v>0</v>
      </c>
      <c r="L278" s="1">
        <v>2.6</v>
      </c>
      <c r="M278" s="2">
        <v>0</v>
      </c>
      <c r="N278" s="1">
        <v>2.98</v>
      </c>
      <c r="O278" s="2">
        <v>0</v>
      </c>
      <c r="P278" s="1">
        <v>3.09</v>
      </c>
      <c r="Q278" s="2">
        <v>0</v>
      </c>
      <c r="R278" s="1">
        <f>MIN($B278,$D278,$F278,$H278,$J278,$L278,$N278,$P278)</f>
        <v>0</v>
      </c>
      <c r="S278" s="1">
        <f>MIN($C278,$E278,$G278,$I278,$K278,$M278,$O278,$Q278)</f>
        <v>0</v>
      </c>
      <c r="T278" s="1">
        <f>MEDIAN($B278,$D278,$F278,$H278,$J278,$L278,$N278,$P278)</f>
        <v>0</v>
      </c>
      <c r="U278" s="1">
        <f>MEDIAN($C278,$E278,$G278,$I278,$K278,$M278,$O278,$Q278)</f>
        <v>0</v>
      </c>
      <c r="V278" s="1">
        <f>MAX($B278,$D278,$F278,$H278,$J278,$L278,$N278,$P278)</f>
        <v>0</v>
      </c>
      <c r="W278" s="1">
        <f>MAX($C278,$E278,$G278,$I278,$K278,$M278,$O278,$Q278)</f>
        <v>0</v>
      </c>
    </row>
    <row r="279" spans="1:23">
      <c r="A279" s="1" t="s">
        <v>276</v>
      </c>
      <c r="B279" s="1"/>
      <c r="C279" s="2"/>
      <c r="D279" s="1">
        <v>2.75</v>
      </c>
      <c r="E279" s="2">
        <v>0</v>
      </c>
      <c r="F279" s="1">
        <v>2.87</v>
      </c>
      <c r="G279" s="2">
        <v>0</v>
      </c>
      <c r="H279" s="1"/>
      <c r="I279" s="2"/>
      <c r="J279" s="1">
        <v>2.48</v>
      </c>
      <c r="K279" s="2">
        <v>0</v>
      </c>
      <c r="L279" s="1">
        <v>2.67</v>
      </c>
      <c r="M279" s="2">
        <v>0</v>
      </c>
      <c r="N279" s="1">
        <v>2.8</v>
      </c>
      <c r="O279" s="2">
        <v>0</v>
      </c>
      <c r="P279" s="1">
        <v>2.71</v>
      </c>
      <c r="Q279" s="2">
        <v>0</v>
      </c>
      <c r="R279" s="1">
        <f>MIN($B279,$D279,$F279,$H279,$J279,$L279,$N279,$P279)</f>
        <v>0</v>
      </c>
      <c r="S279" s="1">
        <f>MIN($C279,$E279,$G279,$I279,$K279,$M279,$O279,$Q279)</f>
        <v>0</v>
      </c>
      <c r="T279" s="1">
        <f>MEDIAN($B279,$D279,$F279,$H279,$J279,$L279,$N279,$P279)</f>
        <v>0</v>
      </c>
      <c r="U279" s="1">
        <f>MEDIAN($C279,$E279,$G279,$I279,$K279,$M279,$O279,$Q279)</f>
        <v>0</v>
      </c>
      <c r="V279" s="1">
        <f>MAX($B279,$D279,$F279,$H279,$J279,$L279,$N279,$P279)</f>
        <v>0</v>
      </c>
      <c r="W279" s="1">
        <f>MAX($C279,$E279,$G279,$I279,$K279,$M279,$O279,$Q279)</f>
        <v>0</v>
      </c>
    </row>
    <row r="280" spans="1:23">
      <c r="A280" s="1" t="s">
        <v>277</v>
      </c>
      <c r="B280" s="1"/>
      <c r="C280" s="2"/>
      <c r="D280" s="1">
        <v>2.46</v>
      </c>
      <c r="E280" s="2">
        <v>0</v>
      </c>
      <c r="F280" s="1">
        <v>2.87</v>
      </c>
      <c r="G280" s="2">
        <v>0</v>
      </c>
      <c r="H280" s="1"/>
      <c r="I280" s="2"/>
      <c r="J280" s="1">
        <v>2.52</v>
      </c>
      <c r="K280" s="2">
        <v>0</v>
      </c>
      <c r="L280" s="1">
        <v>2.76</v>
      </c>
      <c r="M280" s="2">
        <v>0</v>
      </c>
      <c r="N280" s="1">
        <v>2.88</v>
      </c>
      <c r="O280" s="2">
        <v>0</v>
      </c>
      <c r="P280" s="1">
        <v>2.93</v>
      </c>
      <c r="Q280" s="2">
        <v>0</v>
      </c>
      <c r="R280" s="1">
        <f>MIN($B280,$D280,$F280,$H280,$J280,$L280,$N280,$P280)</f>
        <v>0</v>
      </c>
      <c r="S280" s="1">
        <f>MIN($C280,$E280,$G280,$I280,$K280,$M280,$O280,$Q280)</f>
        <v>0</v>
      </c>
      <c r="T280" s="1">
        <f>MEDIAN($B280,$D280,$F280,$H280,$J280,$L280,$N280,$P280)</f>
        <v>0</v>
      </c>
      <c r="U280" s="1">
        <f>MEDIAN($C280,$E280,$G280,$I280,$K280,$M280,$O280,$Q280)</f>
        <v>0</v>
      </c>
      <c r="V280" s="1">
        <f>MAX($B280,$D280,$F280,$H280,$J280,$L280,$N280,$P280)</f>
        <v>0</v>
      </c>
      <c r="W280" s="1">
        <f>MAX($C280,$E280,$G280,$I280,$K280,$M280,$O280,$Q280)</f>
        <v>0</v>
      </c>
    </row>
    <row r="281" spans="1:23">
      <c r="A281" s="1" t="s">
        <v>278</v>
      </c>
      <c r="B281" s="1"/>
      <c r="C281" s="2"/>
      <c r="D281" s="1">
        <v>2.72</v>
      </c>
      <c r="E281" s="2">
        <v>0</v>
      </c>
      <c r="F281" s="1">
        <v>2.63</v>
      </c>
      <c r="G281" s="2">
        <v>0</v>
      </c>
      <c r="H281" s="1"/>
      <c r="I281" s="2"/>
      <c r="J281" s="1">
        <v>2.66</v>
      </c>
      <c r="K281" s="2">
        <v>0</v>
      </c>
      <c r="L281" s="1">
        <v>2.77</v>
      </c>
      <c r="M281" s="2">
        <v>0</v>
      </c>
      <c r="N281" s="1">
        <v>2.81</v>
      </c>
      <c r="O281" s="2">
        <v>0</v>
      </c>
      <c r="P281" s="1">
        <v>2.72</v>
      </c>
      <c r="Q281" s="2">
        <v>0</v>
      </c>
      <c r="R281" s="1">
        <f>MIN($B281,$D281,$F281,$H281,$J281,$L281,$N281,$P281)</f>
        <v>0</v>
      </c>
      <c r="S281" s="1">
        <f>MIN($C281,$E281,$G281,$I281,$K281,$M281,$O281,$Q281)</f>
        <v>0</v>
      </c>
      <c r="T281" s="1">
        <f>MEDIAN($B281,$D281,$F281,$H281,$J281,$L281,$N281,$P281)</f>
        <v>0</v>
      </c>
      <c r="U281" s="1">
        <f>MEDIAN($C281,$E281,$G281,$I281,$K281,$M281,$O281,$Q281)</f>
        <v>0</v>
      </c>
      <c r="V281" s="1">
        <f>MAX($B281,$D281,$F281,$H281,$J281,$L281,$N281,$P281)</f>
        <v>0</v>
      </c>
      <c r="W281" s="1">
        <f>MAX($C281,$E281,$G281,$I281,$K281,$M281,$O281,$Q281)</f>
        <v>0</v>
      </c>
    </row>
    <row r="282" spans="1:23">
      <c r="A282" s="1" t="s">
        <v>279</v>
      </c>
      <c r="B282" s="1"/>
      <c r="C282" s="2"/>
      <c r="D282" s="1">
        <v>2.42</v>
      </c>
      <c r="E282" s="2">
        <v>0</v>
      </c>
      <c r="F282" s="1">
        <v>4.32</v>
      </c>
      <c r="G282" s="2">
        <v>0</v>
      </c>
      <c r="H282" s="1"/>
      <c r="I282" s="2"/>
      <c r="J282" s="1">
        <v>2.58</v>
      </c>
      <c r="K282" s="2">
        <v>0</v>
      </c>
      <c r="L282" s="1">
        <v>2.72</v>
      </c>
      <c r="M282" s="2">
        <v>0</v>
      </c>
      <c r="N282" s="1">
        <v>2.8</v>
      </c>
      <c r="O282" s="2">
        <v>0</v>
      </c>
      <c r="P282" s="1">
        <v>3</v>
      </c>
      <c r="Q282" s="2">
        <v>0</v>
      </c>
      <c r="R282" s="1">
        <f>MIN($B282,$D282,$F282,$H282,$J282,$L282,$N282,$P282)</f>
        <v>0</v>
      </c>
      <c r="S282" s="1">
        <f>MIN($C282,$E282,$G282,$I282,$K282,$M282,$O282,$Q282)</f>
        <v>0</v>
      </c>
      <c r="T282" s="1">
        <f>MEDIAN($B282,$D282,$F282,$H282,$J282,$L282,$N282,$P282)</f>
        <v>0</v>
      </c>
      <c r="U282" s="1">
        <f>MEDIAN($C282,$E282,$G282,$I282,$K282,$M282,$O282,$Q282)</f>
        <v>0</v>
      </c>
      <c r="V282" s="1">
        <f>MAX($B282,$D282,$F282,$H282,$J282,$L282,$N282,$P282)</f>
        <v>0</v>
      </c>
      <c r="W282" s="1">
        <f>MAX($C282,$E282,$G282,$I282,$K282,$M282,$O282,$Q282)</f>
        <v>0</v>
      </c>
    </row>
    <row r="283" spans="1:23">
      <c r="A283" s="1" t="s">
        <v>280</v>
      </c>
      <c r="B283" s="1"/>
      <c r="C283" s="2"/>
      <c r="D283" s="1">
        <v>4.18</v>
      </c>
      <c r="E283" s="2">
        <v>0</v>
      </c>
      <c r="F283" s="3">
        <v>0.45</v>
      </c>
      <c r="G283" s="2">
        <v>0</v>
      </c>
      <c r="H283" s="1"/>
      <c r="I283" s="2"/>
      <c r="J283" s="1">
        <v>2.76</v>
      </c>
      <c r="K283" s="2">
        <v>0</v>
      </c>
      <c r="L283" s="1">
        <v>2.79</v>
      </c>
      <c r="M283" s="2">
        <v>0</v>
      </c>
      <c r="N283" s="1">
        <v>3.12</v>
      </c>
      <c r="O283" s="2">
        <v>0</v>
      </c>
      <c r="P283" s="1">
        <v>2.79</v>
      </c>
      <c r="Q283" s="2">
        <v>0</v>
      </c>
      <c r="R283" s="1">
        <f>MIN($B283,$D283,$F283,$H283,$J283,$L283,$N283,$P283)</f>
        <v>0</v>
      </c>
      <c r="S283" s="1">
        <f>MIN($C283,$E283,$G283,$I283,$K283,$M283,$O283,$Q283)</f>
        <v>0</v>
      </c>
      <c r="T283" s="1">
        <f>MEDIAN($B283,$D283,$F283,$H283,$J283,$L283,$N283,$P283)</f>
        <v>0</v>
      </c>
      <c r="U283" s="1">
        <f>MEDIAN($C283,$E283,$G283,$I283,$K283,$M283,$O283,$Q283)</f>
        <v>0</v>
      </c>
      <c r="V283" s="1">
        <f>MAX($B283,$D283,$F283,$H283,$J283,$L283,$N283,$P283)</f>
        <v>0</v>
      </c>
      <c r="W283" s="1">
        <f>MAX($C283,$E283,$G283,$I283,$K283,$M283,$O283,$Q283)</f>
        <v>0</v>
      </c>
    </row>
    <row r="284" spans="1:23">
      <c r="A284" s="1" t="s">
        <v>281</v>
      </c>
      <c r="B284" s="1"/>
      <c r="C284" s="2"/>
      <c r="D284" s="1">
        <v>2.65</v>
      </c>
      <c r="E284" s="2">
        <v>0</v>
      </c>
      <c r="F284" s="1">
        <v>2.56</v>
      </c>
      <c r="G284" s="2">
        <v>0</v>
      </c>
      <c r="H284" s="1"/>
      <c r="I284" s="2"/>
      <c r="J284" s="1">
        <v>2.63</v>
      </c>
      <c r="K284" s="2">
        <v>0</v>
      </c>
      <c r="L284" s="1">
        <v>2.55</v>
      </c>
      <c r="M284" s="2">
        <v>0</v>
      </c>
      <c r="N284" s="1">
        <v>2.93</v>
      </c>
      <c r="O284" s="2">
        <v>0</v>
      </c>
      <c r="P284" s="1">
        <v>3.16</v>
      </c>
      <c r="Q284" s="2">
        <v>0</v>
      </c>
      <c r="R284" s="1">
        <f>MIN($B284,$D284,$F284,$H284,$J284,$L284,$N284,$P284)</f>
        <v>0</v>
      </c>
      <c r="S284" s="1">
        <f>MIN($C284,$E284,$G284,$I284,$K284,$M284,$O284,$Q284)</f>
        <v>0</v>
      </c>
      <c r="T284" s="1">
        <f>MEDIAN($B284,$D284,$F284,$H284,$J284,$L284,$N284,$P284)</f>
        <v>0</v>
      </c>
      <c r="U284" s="1">
        <f>MEDIAN($C284,$E284,$G284,$I284,$K284,$M284,$O284,$Q284)</f>
        <v>0</v>
      </c>
      <c r="V284" s="1">
        <f>MAX($B284,$D284,$F284,$H284,$J284,$L284,$N284,$P284)</f>
        <v>0</v>
      </c>
      <c r="W284" s="1">
        <f>MAX($C284,$E284,$G284,$I284,$K284,$M284,$O284,$Q284)</f>
        <v>0</v>
      </c>
    </row>
    <row r="285" spans="1:23">
      <c r="A285" s="1" t="s">
        <v>282</v>
      </c>
      <c r="B285" s="1"/>
      <c r="C285" s="2"/>
      <c r="D285" s="1">
        <v>2.56</v>
      </c>
      <c r="E285" s="2">
        <v>0</v>
      </c>
      <c r="F285" s="1">
        <v>2.92</v>
      </c>
      <c r="G285" s="2">
        <v>0</v>
      </c>
      <c r="H285" s="1"/>
      <c r="I285" s="2"/>
      <c r="J285" s="1">
        <v>2.71</v>
      </c>
      <c r="K285" s="2">
        <v>0</v>
      </c>
      <c r="L285" s="1">
        <v>2.93</v>
      </c>
      <c r="M285" s="2">
        <v>0</v>
      </c>
      <c r="N285" s="1">
        <v>2.94</v>
      </c>
      <c r="O285" s="2">
        <v>0</v>
      </c>
      <c r="P285" s="1">
        <v>3.07</v>
      </c>
      <c r="Q285" s="2">
        <v>0</v>
      </c>
      <c r="R285" s="1">
        <f>MIN($B285,$D285,$F285,$H285,$J285,$L285,$N285,$P285)</f>
        <v>0</v>
      </c>
      <c r="S285" s="1">
        <f>MIN($C285,$E285,$G285,$I285,$K285,$M285,$O285,$Q285)</f>
        <v>0</v>
      </c>
      <c r="T285" s="1">
        <f>MEDIAN($B285,$D285,$F285,$H285,$J285,$L285,$N285,$P285)</f>
        <v>0</v>
      </c>
      <c r="U285" s="1">
        <f>MEDIAN($C285,$E285,$G285,$I285,$K285,$M285,$O285,$Q285)</f>
        <v>0</v>
      </c>
      <c r="V285" s="1">
        <f>MAX($B285,$D285,$F285,$H285,$J285,$L285,$N285,$P285)</f>
        <v>0</v>
      </c>
      <c r="W285" s="1">
        <f>MAX($C285,$E285,$G285,$I285,$K285,$M285,$O285,$Q285)</f>
        <v>0</v>
      </c>
    </row>
    <row r="286" spans="1:23">
      <c r="A286" s="1" t="s">
        <v>283</v>
      </c>
      <c r="B286" s="1"/>
      <c r="C286" s="2"/>
      <c r="D286" s="1">
        <v>4.28</v>
      </c>
      <c r="E286" s="2">
        <v>0</v>
      </c>
      <c r="F286" s="1">
        <v>2.97</v>
      </c>
      <c r="G286" s="2">
        <v>0</v>
      </c>
      <c r="H286" s="1"/>
      <c r="I286" s="2"/>
      <c r="J286" s="1">
        <v>2.65</v>
      </c>
      <c r="K286" s="2">
        <v>0</v>
      </c>
      <c r="L286" s="1">
        <v>2.7</v>
      </c>
      <c r="M286" s="2">
        <v>0</v>
      </c>
      <c r="N286" s="1">
        <v>2.94</v>
      </c>
      <c r="O286" s="2">
        <v>0</v>
      </c>
      <c r="P286" s="1">
        <v>3.02</v>
      </c>
      <c r="Q286" s="2">
        <v>0</v>
      </c>
      <c r="R286" s="1">
        <f>MIN($B286,$D286,$F286,$H286,$J286,$L286,$N286,$P286)</f>
        <v>0</v>
      </c>
      <c r="S286" s="1">
        <f>MIN($C286,$E286,$G286,$I286,$K286,$M286,$O286,$Q286)</f>
        <v>0</v>
      </c>
      <c r="T286" s="1">
        <f>MEDIAN($B286,$D286,$F286,$H286,$J286,$L286,$N286,$P286)</f>
        <v>0</v>
      </c>
      <c r="U286" s="1">
        <f>MEDIAN($C286,$E286,$G286,$I286,$K286,$M286,$O286,$Q286)</f>
        <v>0</v>
      </c>
      <c r="V286" s="1">
        <f>MAX($B286,$D286,$F286,$H286,$J286,$L286,$N286,$P286)</f>
        <v>0</v>
      </c>
      <c r="W286" s="1">
        <f>MAX($C286,$E286,$G286,$I286,$K286,$M286,$O286,$Q286)</f>
        <v>0</v>
      </c>
    </row>
    <row r="287" spans="1:23">
      <c r="A287" s="1" t="s">
        <v>16</v>
      </c>
      <c r="B287" s="1"/>
      <c r="C287" s="2"/>
      <c r="D287" s="3">
        <v>76.41</v>
      </c>
      <c r="E287" s="5">
        <v>0</v>
      </c>
      <c r="F287" s="1">
        <v>667.92</v>
      </c>
      <c r="G287" s="5">
        <v>0</v>
      </c>
      <c r="H287" s="1"/>
      <c r="I287" s="2"/>
      <c r="J287" s="1">
        <v>475.35</v>
      </c>
      <c r="K287" s="5">
        <v>0</v>
      </c>
      <c r="L287" s="4">
        <v>1200</v>
      </c>
      <c r="M287" s="6">
        <v>1</v>
      </c>
      <c r="N287" s="4">
        <v>1200</v>
      </c>
      <c r="O287" s="6">
        <v>1</v>
      </c>
      <c r="P287" s="4">
        <v>1200</v>
      </c>
      <c r="Q287" s="6">
        <v>1</v>
      </c>
      <c r="R287" s="1">
        <f>MIN($B287,$D287,$F287,$H287,$J287,$L287,$N287,$P287)</f>
        <v>0</v>
      </c>
      <c r="S287" s="1">
        <f>MIN($C287,$E287,$G287,$I287,$K287,$M287,$O287,$Q287)</f>
        <v>0</v>
      </c>
      <c r="T287" s="1">
        <f>MEDIAN($B287,$D287,$F287,$H287,$J287,$L287,$N287,$P287)</f>
        <v>0</v>
      </c>
      <c r="U287" s="1">
        <f>MEDIAN($C287,$E287,$G287,$I287,$K287,$M287,$O287,$Q287)</f>
        <v>0</v>
      </c>
      <c r="V287" s="1">
        <f>MAX($B287,$D287,$F287,$H287,$J287,$L287,$N287,$P287)</f>
        <v>0</v>
      </c>
      <c r="W287" s="1">
        <f>MAX($C287,$E287,$G287,$I287,$K287,$M287,$O287,$Q287)</f>
        <v>0</v>
      </c>
    </row>
    <row r="288" spans="1:23">
      <c r="A288" s="1" t="s">
        <v>17</v>
      </c>
      <c r="B288" s="1"/>
      <c r="C288" s="2"/>
      <c r="D288" s="3">
        <v>394.45</v>
      </c>
      <c r="E288" s="5">
        <v>0</v>
      </c>
      <c r="F288" s="1">
        <v>1200</v>
      </c>
      <c r="G288" s="2">
        <v>1</v>
      </c>
      <c r="H288" s="1"/>
      <c r="I288" s="2"/>
      <c r="J288" s="1">
        <v>1200</v>
      </c>
      <c r="K288" s="2">
        <v>1</v>
      </c>
      <c r="L288" s="1">
        <v>1200</v>
      </c>
      <c r="M288" s="2">
        <v>1</v>
      </c>
      <c r="N288" s="1">
        <v>1200</v>
      </c>
      <c r="O288" s="2">
        <v>1</v>
      </c>
      <c r="P288" s="1">
        <v>1200</v>
      </c>
      <c r="Q288" s="2">
        <v>1</v>
      </c>
      <c r="R288" s="1">
        <f>MIN($B288,$D288,$F288,$H288,$J288,$L288,$N288,$P288)</f>
        <v>0</v>
      </c>
      <c r="S288" s="1">
        <f>MIN($C288,$E288,$G288,$I288,$K288,$M288,$O288,$Q288)</f>
        <v>0</v>
      </c>
      <c r="T288" s="1">
        <f>MEDIAN($B288,$D288,$F288,$H288,$J288,$L288,$N288,$P288)</f>
        <v>0</v>
      </c>
      <c r="U288" s="1">
        <f>MEDIAN($C288,$E288,$G288,$I288,$K288,$M288,$O288,$Q288)</f>
        <v>0</v>
      </c>
      <c r="V288" s="1">
        <f>MAX($B288,$D288,$F288,$H288,$J288,$L288,$N288,$P288)</f>
        <v>0</v>
      </c>
      <c r="W288" s="1">
        <f>MAX($C288,$E288,$G288,$I288,$K288,$M288,$O288,$Q288)</f>
        <v>0</v>
      </c>
    </row>
    <row r="289" spans="1:23">
      <c r="A289" s="1" t="s">
        <v>18</v>
      </c>
      <c r="B289" s="1"/>
      <c r="C289" s="2"/>
      <c r="D289" s="3">
        <v>569.91</v>
      </c>
      <c r="E289" s="5">
        <v>0</v>
      </c>
      <c r="F289" s="1">
        <v>1200</v>
      </c>
      <c r="G289" s="2">
        <v>1</v>
      </c>
      <c r="H289" s="1"/>
      <c r="I289" s="2"/>
      <c r="J289" s="1">
        <v>1200</v>
      </c>
      <c r="K289" s="2">
        <v>1</v>
      </c>
      <c r="L289" s="1">
        <v>1200</v>
      </c>
      <c r="M289" s="2">
        <v>1</v>
      </c>
      <c r="N289" s="1">
        <v>1200</v>
      </c>
      <c r="O289" s="2">
        <v>1</v>
      </c>
      <c r="P289" s="1">
        <v>1200</v>
      </c>
      <c r="Q289" s="2">
        <v>1</v>
      </c>
      <c r="R289" s="1">
        <f>MIN($B289,$D289,$F289,$H289,$J289,$L289,$N289,$P289)</f>
        <v>0</v>
      </c>
      <c r="S289" s="1">
        <f>MIN($C289,$E289,$G289,$I289,$K289,$M289,$O289,$Q289)</f>
        <v>0</v>
      </c>
      <c r="T289" s="1">
        <f>MEDIAN($B289,$D289,$F289,$H289,$J289,$L289,$N289,$P289)</f>
        <v>0</v>
      </c>
      <c r="U289" s="1">
        <f>MEDIAN($C289,$E289,$G289,$I289,$K289,$M289,$O289,$Q289)</f>
        <v>0</v>
      </c>
      <c r="V289" s="1">
        <f>MAX($B289,$D289,$F289,$H289,$J289,$L289,$N289,$P289)</f>
        <v>0</v>
      </c>
      <c r="W289" s="1">
        <f>MAX($C289,$E289,$G289,$I289,$K289,$M289,$O289,$Q289)</f>
        <v>0</v>
      </c>
    </row>
    <row r="290" spans="1:23">
      <c r="A290" s="1" t="s">
        <v>19</v>
      </c>
      <c r="B290" s="1"/>
      <c r="C290" s="2"/>
      <c r="D290" s="3">
        <v>6.36</v>
      </c>
      <c r="E290" s="2">
        <v>0</v>
      </c>
      <c r="F290" s="1">
        <v>12.82</v>
      </c>
      <c r="G290" s="2">
        <v>0</v>
      </c>
      <c r="H290" s="1"/>
      <c r="I290" s="2"/>
      <c r="J290" s="1">
        <v>11.02</v>
      </c>
      <c r="K290" s="2">
        <v>0</v>
      </c>
      <c r="L290" s="4">
        <v>21.83</v>
      </c>
      <c r="M290" s="2">
        <v>0</v>
      </c>
      <c r="N290" s="1">
        <v>13.11</v>
      </c>
      <c r="O290" s="2">
        <v>0</v>
      </c>
      <c r="P290" s="1">
        <v>8.74</v>
      </c>
      <c r="Q290" s="2">
        <v>0</v>
      </c>
      <c r="R290" s="1">
        <f>MIN($B290,$D290,$F290,$H290,$J290,$L290,$N290,$P290)</f>
        <v>0</v>
      </c>
      <c r="S290" s="1">
        <f>MIN($C290,$E290,$G290,$I290,$K290,$M290,$O290,$Q290)</f>
        <v>0</v>
      </c>
      <c r="T290" s="1">
        <f>MEDIAN($B290,$D290,$F290,$H290,$J290,$L290,$N290,$P290)</f>
        <v>0</v>
      </c>
      <c r="U290" s="1">
        <f>MEDIAN($C290,$E290,$G290,$I290,$K290,$M290,$O290,$Q290)</f>
        <v>0</v>
      </c>
      <c r="V290" s="1">
        <f>MAX($B290,$D290,$F290,$H290,$J290,$L290,$N290,$P290)</f>
        <v>0</v>
      </c>
      <c r="W290" s="1">
        <f>MAX($C290,$E290,$G290,$I290,$K290,$M290,$O290,$Q290)</f>
        <v>0</v>
      </c>
    </row>
    <row r="291" spans="1:23">
      <c r="A291" s="1" t="s">
        <v>20</v>
      </c>
      <c r="B291" s="1"/>
      <c r="C291" s="2"/>
      <c r="D291" s="3">
        <v>7.76</v>
      </c>
      <c r="E291" s="2">
        <v>0</v>
      </c>
      <c r="F291" s="1">
        <v>37.29</v>
      </c>
      <c r="G291" s="2">
        <v>0</v>
      </c>
      <c r="H291" s="1"/>
      <c r="I291" s="2"/>
      <c r="J291" s="1">
        <v>16.34</v>
      </c>
      <c r="K291" s="2">
        <v>0</v>
      </c>
      <c r="L291" s="4">
        <v>60.76</v>
      </c>
      <c r="M291" s="2">
        <v>0</v>
      </c>
      <c r="N291" s="1">
        <v>58.91</v>
      </c>
      <c r="O291" s="2">
        <v>0</v>
      </c>
      <c r="P291" s="1">
        <v>28.27</v>
      </c>
      <c r="Q291" s="2">
        <v>0</v>
      </c>
      <c r="R291" s="1">
        <f>MIN($B291,$D291,$F291,$H291,$J291,$L291,$N291,$P291)</f>
        <v>0</v>
      </c>
      <c r="S291" s="1">
        <f>MIN($C291,$E291,$G291,$I291,$K291,$M291,$O291,$Q291)</f>
        <v>0</v>
      </c>
      <c r="T291" s="1">
        <f>MEDIAN($B291,$D291,$F291,$H291,$J291,$L291,$N291,$P291)</f>
        <v>0</v>
      </c>
      <c r="U291" s="1">
        <f>MEDIAN($C291,$E291,$G291,$I291,$K291,$M291,$O291,$Q291)</f>
        <v>0</v>
      </c>
      <c r="V291" s="1">
        <f>MAX($B291,$D291,$F291,$H291,$J291,$L291,$N291,$P291)</f>
        <v>0</v>
      </c>
      <c r="W291" s="1">
        <f>MAX($C291,$E291,$G291,$I291,$K291,$M291,$O291,$Q291)</f>
        <v>0</v>
      </c>
    </row>
    <row r="292" spans="1:23">
      <c r="A292" s="1" t="s">
        <v>21</v>
      </c>
      <c r="B292" s="1"/>
      <c r="C292" s="2"/>
      <c r="D292" s="3">
        <v>11.4</v>
      </c>
      <c r="E292" s="2">
        <v>0</v>
      </c>
      <c r="F292" s="1">
        <v>48.41</v>
      </c>
      <c r="G292" s="2">
        <v>0</v>
      </c>
      <c r="H292" s="1"/>
      <c r="I292" s="2"/>
      <c r="J292" s="1">
        <v>29.28</v>
      </c>
      <c r="K292" s="2">
        <v>0</v>
      </c>
      <c r="L292" s="1">
        <v>125.83</v>
      </c>
      <c r="M292" s="2">
        <v>0</v>
      </c>
      <c r="N292" s="4">
        <v>709.26</v>
      </c>
      <c r="O292" s="2">
        <v>0</v>
      </c>
      <c r="P292" s="1">
        <v>84.90000000000001</v>
      </c>
      <c r="Q292" s="2">
        <v>0</v>
      </c>
      <c r="R292" s="1">
        <f>MIN($B292,$D292,$F292,$H292,$J292,$L292,$N292,$P292)</f>
        <v>0</v>
      </c>
      <c r="S292" s="1">
        <f>MIN($C292,$E292,$G292,$I292,$K292,$M292,$O292,$Q292)</f>
        <v>0</v>
      </c>
      <c r="T292" s="1">
        <f>MEDIAN($B292,$D292,$F292,$H292,$J292,$L292,$N292,$P292)</f>
        <v>0</v>
      </c>
      <c r="U292" s="1">
        <f>MEDIAN($C292,$E292,$G292,$I292,$K292,$M292,$O292,$Q292)</f>
        <v>0</v>
      </c>
      <c r="V292" s="1">
        <f>MAX($B292,$D292,$F292,$H292,$J292,$L292,$N292,$P292)</f>
        <v>0</v>
      </c>
      <c r="W292" s="1">
        <f>MAX($C292,$E292,$G292,$I292,$K292,$M292,$O292,$Q292)</f>
        <v>0</v>
      </c>
    </row>
    <row r="293" spans="1:23">
      <c r="A293" s="1" t="s">
        <v>22</v>
      </c>
      <c r="B293" s="1"/>
      <c r="C293" s="2"/>
      <c r="D293" s="3">
        <v>217.71</v>
      </c>
      <c r="E293" s="5">
        <v>0</v>
      </c>
      <c r="F293" s="1">
        <v>1200</v>
      </c>
      <c r="G293" s="2">
        <v>1</v>
      </c>
      <c r="H293" s="1"/>
      <c r="I293" s="2"/>
      <c r="J293" s="1">
        <v>1200</v>
      </c>
      <c r="K293" s="2">
        <v>1</v>
      </c>
      <c r="L293" s="1">
        <v>1200</v>
      </c>
      <c r="M293" s="2">
        <v>1</v>
      </c>
      <c r="N293" s="1">
        <v>1200</v>
      </c>
      <c r="O293" s="2">
        <v>1</v>
      </c>
      <c r="P293" s="1">
        <v>1200</v>
      </c>
      <c r="Q293" s="2">
        <v>1</v>
      </c>
      <c r="R293" s="1">
        <f>MIN($B293,$D293,$F293,$H293,$J293,$L293,$N293,$P293)</f>
        <v>0</v>
      </c>
      <c r="S293" s="1">
        <f>MIN($C293,$E293,$G293,$I293,$K293,$M293,$O293,$Q293)</f>
        <v>0</v>
      </c>
      <c r="T293" s="1">
        <f>MEDIAN($B293,$D293,$F293,$H293,$J293,$L293,$N293,$P293)</f>
        <v>0</v>
      </c>
      <c r="U293" s="1">
        <f>MEDIAN($C293,$E293,$G293,$I293,$K293,$M293,$O293,$Q293)</f>
        <v>0</v>
      </c>
      <c r="V293" s="1">
        <f>MAX($B293,$D293,$F293,$H293,$J293,$L293,$N293,$P293)</f>
        <v>0</v>
      </c>
      <c r="W293" s="1">
        <f>MAX($C293,$E293,$G293,$I293,$K293,$M293,$O293,$Q293)</f>
        <v>0</v>
      </c>
    </row>
    <row r="294" spans="1:23">
      <c r="A294" s="1" t="s">
        <v>23</v>
      </c>
      <c r="B294" s="1"/>
      <c r="C294" s="2"/>
      <c r="D294" s="3">
        <v>567.1799999999999</v>
      </c>
      <c r="E294" s="5">
        <v>0</v>
      </c>
      <c r="F294" s="1">
        <v>1200</v>
      </c>
      <c r="G294" s="2">
        <v>1</v>
      </c>
      <c r="H294" s="1"/>
      <c r="I294" s="2"/>
      <c r="J294" s="1">
        <v>1200</v>
      </c>
      <c r="K294" s="2">
        <v>1</v>
      </c>
      <c r="L294" s="1">
        <v>1200</v>
      </c>
      <c r="M294" s="2">
        <v>1</v>
      </c>
      <c r="N294" s="1">
        <v>1200</v>
      </c>
      <c r="O294" s="2">
        <v>1</v>
      </c>
      <c r="P294" s="1">
        <v>1200</v>
      </c>
      <c r="Q294" s="2">
        <v>1</v>
      </c>
      <c r="R294" s="1">
        <f>MIN($B294,$D294,$F294,$H294,$J294,$L294,$N294,$P294)</f>
        <v>0</v>
      </c>
      <c r="S294" s="1">
        <f>MIN($C294,$E294,$G294,$I294,$K294,$M294,$O294,$Q294)</f>
        <v>0</v>
      </c>
      <c r="T294" s="1">
        <f>MEDIAN($B294,$D294,$F294,$H294,$J294,$L294,$N294,$P294)</f>
        <v>0</v>
      </c>
      <c r="U294" s="1">
        <f>MEDIAN($C294,$E294,$G294,$I294,$K294,$M294,$O294,$Q294)</f>
        <v>0</v>
      </c>
      <c r="V294" s="1">
        <f>MAX($B294,$D294,$F294,$H294,$J294,$L294,$N294,$P294)</f>
        <v>0</v>
      </c>
      <c r="W294" s="1">
        <f>MAX($C294,$E294,$G294,$I294,$K294,$M294,$O294,$Q294)</f>
        <v>0</v>
      </c>
    </row>
    <row r="295" spans="1:23">
      <c r="A295" s="1" t="s">
        <v>24</v>
      </c>
      <c r="B295" s="1"/>
      <c r="C295" s="2"/>
      <c r="D295" s="1">
        <v>1200</v>
      </c>
      <c r="E295" s="2">
        <v>1</v>
      </c>
      <c r="F295" s="1">
        <v>1200</v>
      </c>
      <c r="G295" s="2">
        <v>1</v>
      </c>
      <c r="H295" s="1"/>
      <c r="I295" s="2"/>
      <c r="J295" s="1">
        <v>1200</v>
      </c>
      <c r="K295" s="2">
        <v>1</v>
      </c>
      <c r="L295" s="1">
        <v>1200</v>
      </c>
      <c r="M295" s="2">
        <v>1</v>
      </c>
      <c r="N295" s="1">
        <v>1200</v>
      </c>
      <c r="O295" s="2">
        <v>1</v>
      </c>
      <c r="P295" s="1">
        <v>1200</v>
      </c>
      <c r="Q295" s="2">
        <v>1</v>
      </c>
      <c r="R295" s="1">
        <f>MIN($B295,$D295,$F295,$H295,$J295,$L295,$N295,$P295)</f>
        <v>0</v>
      </c>
      <c r="S295" s="1">
        <f>MIN($C295,$E295,$G295,$I295,$K295,$M295,$O295,$Q295)</f>
        <v>0</v>
      </c>
      <c r="T295" s="1">
        <f>MEDIAN($B295,$D295,$F295,$H295,$J295,$L295,$N295,$P295)</f>
        <v>0</v>
      </c>
      <c r="U295" s="1">
        <f>MEDIAN($C295,$E295,$G295,$I295,$K295,$M295,$O295,$Q295)</f>
        <v>0</v>
      </c>
      <c r="V295" s="1">
        <f>MAX($B295,$D295,$F295,$H295,$J295,$L295,$N295,$P295)</f>
        <v>0</v>
      </c>
      <c r="W295" s="1">
        <f>MAX($C295,$E295,$G295,$I295,$K295,$M295,$O295,$Q295)</f>
        <v>0</v>
      </c>
    </row>
    <row r="296" spans="1:23">
      <c r="A296" s="1" t="s">
        <v>25</v>
      </c>
      <c r="B296" s="1"/>
      <c r="C296" s="2"/>
      <c r="D296" s="1">
        <v>1200</v>
      </c>
      <c r="E296" s="2">
        <v>1</v>
      </c>
      <c r="F296" s="1">
        <v>1200</v>
      </c>
      <c r="G296" s="2">
        <v>1</v>
      </c>
      <c r="H296" s="1"/>
      <c r="I296" s="2"/>
      <c r="J296" s="1">
        <v>1200</v>
      </c>
      <c r="K296" s="2">
        <v>1</v>
      </c>
      <c r="L296" s="1">
        <v>1200</v>
      </c>
      <c r="M296" s="2">
        <v>1</v>
      </c>
      <c r="N296" s="1">
        <v>1200</v>
      </c>
      <c r="O296" s="2">
        <v>1</v>
      </c>
      <c r="P296" s="1">
        <v>1200</v>
      </c>
      <c r="Q296" s="2">
        <v>1</v>
      </c>
      <c r="R296" s="1">
        <f>MIN($B296,$D296,$F296,$H296,$J296,$L296,$N296,$P296)</f>
        <v>0</v>
      </c>
      <c r="S296" s="1">
        <f>MIN($C296,$E296,$G296,$I296,$K296,$M296,$O296,$Q296)</f>
        <v>0</v>
      </c>
      <c r="T296" s="1">
        <f>MEDIAN($B296,$D296,$F296,$H296,$J296,$L296,$N296,$P296)</f>
        <v>0</v>
      </c>
      <c r="U296" s="1">
        <f>MEDIAN($C296,$E296,$G296,$I296,$K296,$M296,$O296,$Q296)</f>
        <v>0</v>
      </c>
      <c r="V296" s="1">
        <f>MAX($B296,$D296,$F296,$H296,$J296,$L296,$N296,$P296)</f>
        <v>0</v>
      </c>
      <c r="W296" s="1">
        <f>MAX($C296,$E296,$G296,$I296,$K296,$M296,$O296,$Q296)</f>
        <v>0</v>
      </c>
    </row>
    <row r="297" spans="1:23">
      <c r="A297" s="1" t="s">
        <v>26</v>
      </c>
      <c r="B297" s="1"/>
      <c r="C297" s="2"/>
      <c r="D297" s="3">
        <v>342.33</v>
      </c>
      <c r="E297" s="5">
        <v>0</v>
      </c>
      <c r="F297" s="1">
        <v>1200</v>
      </c>
      <c r="G297" s="2">
        <v>1</v>
      </c>
      <c r="H297" s="1"/>
      <c r="I297" s="2"/>
      <c r="J297" s="1">
        <v>1200</v>
      </c>
      <c r="K297" s="2">
        <v>1</v>
      </c>
      <c r="L297" s="1">
        <v>1200</v>
      </c>
      <c r="M297" s="2">
        <v>1</v>
      </c>
      <c r="N297" s="1">
        <v>1200</v>
      </c>
      <c r="O297" s="2">
        <v>1</v>
      </c>
      <c r="P297" s="1">
        <v>1200</v>
      </c>
      <c r="Q297" s="2">
        <v>1</v>
      </c>
      <c r="R297" s="1">
        <f>MIN($B297,$D297,$F297,$H297,$J297,$L297,$N297,$P297)</f>
        <v>0</v>
      </c>
      <c r="S297" s="1">
        <f>MIN($C297,$E297,$G297,$I297,$K297,$M297,$O297,$Q297)</f>
        <v>0</v>
      </c>
      <c r="T297" s="1">
        <f>MEDIAN($B297,$D297,$F297,$H297,$J297,$L297,$N297,$P297)</f>
        <v>0</v>
      </c>
      <c r="U297" s="1">
        <f>MEDIAN($C297,$E297,$G297,$I297,$K297,$M297,$O297,$Q297)</f>
        <v>0</v>
      </c>
      <c r="V297" s="1">
        <f>MAX($B297,$D297,$F297,$H297,$J297,$L297,$N297,$P297)</f>
        <v>0</v>
      </c>
      <c r="W297" s="1">
        <f>MAX($C297,$E297,$G297,$I297,$K297,$M297,$O297,$Q297)</f>
        <v>0</v>
      </c>
    </row>
    <row r="298" spans="1:23">
      <c r="A298" s="1" t="s">
        <v>27</v>
      </c>
      <c r="B298" s="1"/>
      <c r="C298" s="2"/>
      <c r="D298" s="1">
        <v>1200</v>
      </c>
      <c r="E298" s="2">
        <v>1</v>
      </c>
      <c r="F298" s="1">
        <v>1200</v>
      </c>
      <c r="G298" s="2">
        <v>1</v>
      </c>
      <c r="H298" s="1"/>
      <c r="I298" s="2"/>
      <c r="J298" s="1">
        <v>1200</v>
      </c>
      <c r="K298" s="2">
        <v>1</v>
      </c>
      <c r="L298" s="1">
        <v>1200</v>
      </c>
      <c r="M298" s="2">
        <v>1</v>
      </c>
      <c r="N298" s="1">
        <v>1200</v>
      </c>
      <c r="O298" s="2">
        <v>1</v>
      </c>
      <c r="P298" s="1">
        <v>1200</v>
      </c>
      <c r="Q298" s="2">
        <v>1</v>
      </c>
      <c r="R298" s="1">
        <f>MIN($B298,$D298,$F298,$H298,$J298,$L298,$N298,$P298)</f>
        <v>0</v>
      </c>
      <c r="S298" s="1">
        <f>MIN($C298,$E298,$G298,$I298,$K298,$M298,$O298,$Q298)</f>
        <v>0</v>
      </c>
      <c r="T298" s="1">
        <f>MEDIAN($B298,$D298,$F298,$H298,$J298,$L298,$N298,$P298)</f>
        <v>0</v>
      </c>
      <c r="U298" s="1">
        <f>MEDIAN($C298,$E298,$G298,$I298,$K298,$M298,$O298,$Q298)</f>
        <v>0</v>
      </c>
      <c r="V298" s="1">
        <f>MAX($B298,$D298,$F298,$H298,$J298,$L298,$N298,$P298)</f>
        <v>0</v>
      </c>
      <c r="W298" s="1">
        <f>MAX($C298,$E298,$G298,$I298,$K298,$M298,$O298,$Q298)</f>
        <v>0</v>
      </c>
    </row>
    <row r="299" spans="1:23">
      <c r="A299" s="1" t="s">
        <v>28</v>
      </c>
      <c r="B299" s="1"/>
      <c r="C299" s="2"/>
      <c r="D299" s="3">
        <v>24.35</v>
      </c>
      <c r="E299" s="2">
        <v>0</v>
      </c>
      <c r="F299" s="1">
        <v>130.41</v>
      </c>
      <c r="G299" s="2">
        <v>0</v>
      </c>
      <c r="H299" s="1"/>
      <c r="I299" s="2"/>
      <c r="J299" s="1">
        <v>83.19</v>
      </c>
      <c r="K299" s="2">
        <v>0</v>
      </c>
      <c r="L299" s="1">
        <v>398.59</v>
      </c>
      <c r="M299" s="2">
        <v>0</v>
      </c>
      <c r="N299" s="4">
        <v>1200</v>
      </c>
      <c r="O299" s="6">
        <v>1</v>
      </c>
      <c r="P299" s="4">
        <v>1200</v>
      </c>
      <c r="Q299" s="6">
        <v>1</v>
      </c>
      <c r="R299" s="1">
        <f>MIN($B299,$D299,$F299,$H299,$J299,$L299,$N299,$P299)</f>
        <v>0</v>
      </c>
      <c r="S299" s="1">
        <f>MIN($C299,$E299,$G299,$I299,$K299,$M299,$O299,$Q299)</f>
        <v>0</v>
      </c>
      <c r="T299" s="1">
        <f>MEDIAN($B299,$D299,$F299,$H299,$J299,$L299,$N299,$P299)</f>
        <v>0</v>
      </c>
      <c r="U299" s="1">
        <f>MEDIAN($C299,$E299,$G299,$I299,$K299,$M299,$O299,$Q299)</f>
        <v>0</v>
      </c>
      <c r="V299" s="1">
        <f>MAX($B299,$D299,$F299,$H299,$J299,$L299,$N299,$P299)</f>
        <v>0</v>
      </c>
      <c r="W299" s="1">
        <f>MAX($C299,$E299,$G299,$I299,$K299,$M299,$O299,$Q299)</f>
        <v>0</v>
      </c>
    </row>
    <row r="300" spans="1:23">
      <c r="A300" s="1" t="s">
        <v>29</v>
      </c>
      <c r="B300" s="1"/>
      <c r="C300" s="2"/>
      <c r="D300" s="3">
        <v>73.79000000000001</v>
      </c>
      <c r="E300" s="5">
        <v>0</v>
      </c>
      <c r="F300" s="1">
        <v>749.17</v>
      </c>
      <c r="G300" s="5">
        <v>0</v>
      </c>
      <c r="H300" s="1"/>
      <c r="I300" s="2"/>
      <c r="J300" s="1">
        <v>465.23</v>
      </c>
      <c r="K300" s="5">
        <v>0</v>
      </c>
      <c r="L300" s="4">
        <v>1200</v>
      </c>
      <c r="M300" s="6">
        <v>1</v>
      </c>
      <c r="N300" s="4">
        <v>1200</v>
      </c>
      <c r="O300" s="6">
        <v>1</v>
      </c>
      <c r="P300" s="4">
        <v>1200</v>
      </c>
      <c r="Q300" s="6">
        <v>1</v>
      </c>
      <c r="R300" s="1">
        <f>MIN($B300,$D300,$F300,$H300,$J300,$L300,$N300,$P300)</f>
        <v>0</v>
      </c>
      <c r="S300" s="1">
        <f>MIN($C300,$E300,$G300,$I300,$K300,$M300,$O300,$Q300)</f>
        <v>0</v>
      </c>
      <c r="T300" s="1">
        <f>MEDIAN($B300,$D300,$F300,$H300,$J300,$L300,$N300,$P300)</f>
        <v>0</v>
      </c>
      <c r="U300" s="1">
        <f>MEDIAN($C300,$E300,$G300,$I300,$K300,$M300,$O300,$Q300)</f>
        <v>0</v>
      </c>
      <c r="V300" s="1">
        <f>MAX($B300,$D300,$F300,$H300,$J300,$L300,$N300,$P300)</f>
        <v>0</v>
      </c>
      <c r="W300" s="1">
        <f>MAX($C300,$E300,$G300,$I300,$K300,$M300,$O300,$Q300)</f>
        <v>0</v>
      </c>
    </row>
    <row r="301" spans="1:23">
      <c r="A301" s="1" t="s">
        <v>30</v>
      </c>
      <c r="B301" s="1"/>
      <c r="C301" s="2"/>
      <c r="D301" s="3">
        <v>189.36</v>
      </c>
      <c r="E301" s="5">
        <v>0</v>
      </c>
      <c r="F301" s="1">
        <v>1200</v>
      </c>
      <c r="G301" s="2">
        <v>1</v>
      </c>
      <c r="H301" s="1"/>
      <c r="I301" s="2"/>
      <c r="J301" s="1">
        <v>1200</v>
      </c>
      <c r="K301" s="2">
        <v>1</v>
      </c>
      <c r="L301" s="1">
        <v>1200</v>
      </c>
      <c r="M301" s="2">
        <v>1</v>
      </c>
      <c r="N301" s="1">
        <v>1200</v>
      </c>
      <c r="O301" s="2">
        <v>1</v>
      </c>
      <c r="P301" s="1">
        <v>1200</v>
      </c>
      <c r="Q301" s="2">
        <v>1</v>
      </c>
      <c r="R301" s="1">
        <f>MIN($B301,$D301,$F301,$H301,$J301,$L301,$N301,$P301)</f>
        <v>0</v>
      </c>
      <c r="S301" s="1">
        <f>MIN($C301,$E301,$G301,$I301,$K301,$M301,$O301,$Q301)</f>
        <v>0</v>
      </c>
      <c r="T301" s="1">
        <f>MEDIAN($B301,$D301,$F301,$H301,$J301,$L301,$N301,$P301)</f>
        <v>0</v>
      </c>
      <c r="U301" s="1">
        <f>MEDIAN($C301,$E301,$G301,$I301,$K301,$M301,$O301,$Q301)</f>
        <v>0</v>
      </c>
      <c r="V301" s="1">
        <f>MAX($B301,$D301,$F301,$H301,$J301,$L301,$N301,$P301)</f>
        <v>0</v>
      </c>
      <c r="W301" s="1">
        <f>MAX($C301,$E301,$G301,$I301,$K301,$M301,$O301,$Q301)</f>
        <v>0</v>
      </c>
    </row>
    <row r="302" spans="1:23">
      <c r="A302" s="1" t="s">
        <v>31</v>
      </c>
      <c r="B302" s="1"/>
      <c r="C302" s="2"/>
      <c r="D302" s="1">
        <v>1200</v>
      </c>
      <c r="E302" s="2">
        <v>1</v>
      </c>
      <c r="F302" s="1">
        <v>1200</v>
      </c>
      <c r="G302" s="2">
        <v>1</v>
      </c>
      <c r="H302" s="1"/>
      <c r="I302" s="2"/>
      <c r="J302" s="1">
        <v>1200</v>
      </c>
      <c r="K302" s="2">
        <v>1</v>
      </c>
      <c r="L302" s="1">
        <v>1200</v>
      </c>
      <c r="M302" s="2">
        <v>1</v>
      </c>
      <c r="N302" s="1">
        <v>1200</v>
      </c>
      <c r="O302" s="2">
        <v>1</v>
      </c>
      <c r="P302" s="1">
        <v>1200</v>
      </c>
      <c r="Q302" s="2">
        <v>1</v>
      </c>
      <c r="R302" s="1">
        <f>MIN($B302,$D302,$F302,$H302,$J302,$L302,$N302,$P302)</f>
        <v>0</v>
      </c>
      <c r="S302" s="1">
        <f>MIN($C302,$E302,$G302,$I302,$K302,$M302,$O302,$Q302)</f>
        <v>0</v>
      </c>
      <c r="T302" s="1">
        <f>MEDIAN($B302,$D302,$F302,$H302,$J302,$L302,$N302,$P302)</f>
        <v>0</v>
      </c>
      <c r="U302" s="1">
        <f>MEDIAN($C302,$E302,$G302,$I302,$K302,$M302,$O302,$Q302)</f>
        <v>0</v>
      </c>
      <c r="V302" s="1">
        <f>MAX($B302,$D302,$F302,$H302,$J302,$L302,$N302,$P302)</f>
        <v>0</v>
      </c>
      <c r="W302" s="1">
        <f>MAX($C302,$E302,$G302,$I302,$K302,$M302,$O302,$Q302)</f>
        <v>0</v>
      </c>
    </row>
    <row r="303" spans="1:23">
      <c r="A303" s="1" t="s">
        <v>32</v>
      </c>
      <c r="B303" s="1"/>
      <c r="C303" s="2"/>
      <c r="D303" s="1">
        <v>1200</v>
      </c>
      <c r="E303" s="2">
        <v>1</v>
      </c>
      <c r="F303" s="1">
        <v>1200</v>
      </c>
      <c r="G303" s="2">
        <v>1</v>
      </c>
      <c r="H303" s="1"/>
      <c r="I303" s="2"/>
      <c r="J303" s="1">
        <v>1200</v>
      </c>
      <c r="K303" s="2">
        <v>1</v>
      </c>
      <c r="L303" s="1">
        <v>1200</v>
      </c>
      <c r="M303" s="2">
        <v>1</v>
      </c>
      <c r="N303" s="1">
        <v>1200</v>
      </c>
      <c r="O303" s="2">
        <v>1</v>
      </c>
      <c r="P303" s="1">
        <v>1200</v>
      </c>
      <c r="Q303" s="2">
        <v>1</v>
      </c>
      <c r="R303" s="1">
        <f>MIN($B303,$D303,$F303,$H303,$J303,$L303,$N303,$P303)</f>
        <v>0</v>
      </c>
      <c r="S303" s="1">
        <f>MIN($C303,$E303,$G303,$I303,$K303,$M303,$O303,$Q303)</f>
        <v>0</v>
      </c>
      <c r="T303" s="1">
        <f>MEDIAN($B303,$D303,$F303,$H303,$J303,$L303,$N303,$P303)</f>
        <v>0</v>
      </c>
      <c r="U303" s="1">
        <f>MEDIAN($C303,$E303,$G303,$I303,$K303,$M303,$O303,$Q303)</f>
        <v>0</v>
      </c>
      <c r="V303" s="1">
        <f>MAX($B303,$D303,$F303,$H303,$J303,$L303,$N303,$P303)</f>
        <v>0</v>
      </c>
      <c r="W303" s="1">
        <f>MAX($C303,$E303,$G303,$I303,$K303,$M303,$O303,$Q303)</f>
        <v>0</v>
      </c>
    </row>
    <row r="304" spans="1:23">
      <c r="A304" s="1" t="s">
        <v>33</v>
      </c>
      <c r="B304" s="1"/>
      <c r="C304" s="2"/>
      <c r="D304" s="1">
        <v>1200</v>
      </c>
      <c r="E304" s="2">
        <v>1</v>
      </c>
      <c r="F304" s="1">
        <v>1200</v>
      </c>
      <c r="G304" s="2">
        <v>1</v>
      </c>
      <c r="H304" s="1"/>
      <c r="I304" s="2"/>
      <c r="J304" s="1">
        <v>1200</v>
      </c>
      <c r="K304" s="2">
        <v>1</v>
      </c>
      <c r="L304" s="1">
        <v>1200</v>
      </c>
      <c r="M304" s="2">
        <v>1</v>
      </c>
      <c r="N304" s="1">
        <v>1200</v>
      </c>
      <c r="O304" s="2">
        <v>1</v>
      </c>
      <c r="P304" s="1">
        <v>1200</v>
      </c>
      <c r="Q304" s="2">
        <v>1</v>
      </c>
      <c r="R304" s="1">
        <f>MIN($B304,$D304,$F304,$H304,$J304,$L304,$N304,$P304)</f>
        <v>0</v>
      </c>
      <c r="S304" s="1">
        <f>MIN($C304,$E304,$G304,$I304,$K304,$M304,$O304,$Q304)</f>
        <v>0</v>
      </c>
      <c r="T304" s="1">
        <f>MEDIAN($B304,$D304,$F304,$H304,$J304,$L304,$N304,$P304)</f>
        <v>0</v>
      </c>
      <c r="U304" s="1">
        <f>MEDIAN($C304,$E304,$G304,$I304,$K304,$M304,$O304,$Q304)</f>
        <v>0</v>
      </c>
      <c r="V304" s="1">
        <f>MAX($B304,$D304,$F304,$H304,$J304,$L304,$N304,$P304)</f>
        <v>0</v>
      </c>
      <c r="W304" s="1">
        <f>MAX($C304,$E304,$G304,$I304,$K304,$M304,$O304,$Q304)</f>
        <v>0</v>
      </c>
    </row>
    <row r="305" spans="1:23">
      <c r="A305" s="1" t="s">
        <v>34</v>
      </c>
      <c r="B305" s="1"/>
      <c r="C305" s="2"/>
      <c r="D305" s="1">
        <v>1200</v>
      </c>
      <c r="E305" s="2">
        <v>1</v>
      </c>
      <c r="F305" s="1">
        <v>1200</v>
      </c>
      <c r="G305" s="2">
        <v>1</v>
      </c>
      <c r="H305" s="1"/>
      <c r="I305" s="2"/>
      <c r="J305" s="1">
        <v>1200</v>
      </c>
      <c r="K305" s="2">
        <v>1</v>
      </c>
      <c r="L305" s="1">
        <v>1200</v>
      </c>
      <c r="M305" s="2">
        <v>1</v>
      </c>
      <c r="N305" s="1">
        <v>1200</v>
      </c>
      <c r="O305" s="2">
        <v>1</v>
      </c>
      <c r="P305" s="1">
        <v>1200</v>
      </c>
      <c r="Q305" s="2">
        <v>1</v>
      </c>
      <c r="R305" s="1">
        <f>MIN($B305,$D305,$F305,$H305,$J305,$L305,$N305,$P305)</f>
        <v>0</v>
      </c>
      <c r="S305" s="1">
        <f>MIN($C305,$E305,$G305,$I305,$K305,$M305,$O305,$Q305)</f>
        <v>0</v>
      </c>
      <c r="T305" s="1">
        <f>MEDIAN($B305,$D305,$F305,$H305,$J305,$L305,$N305,$P305)</f>
        <v>0</v>
      </c>
      <c r="U305" s="1">
        <f>MEDIAN($C305,$E305,$G305,$I305,$K305,$M305,$O305,$Q305)</f>
        <v>0</v>
      </c>
      <c r="V305" s="1">
        <f>MAX($B305,$D305,$F305,$H305,$J305,$L305,$N305,$P305)</f>
        <v>0</v>
      </c>
      <c r="W305" s="1">
        <f>MAX($C305,$E305,$G305,$I305,$K305,$M305,$O305,$Q305)</f>
        <v>0</v>
      </c>
    </row>
    <row r="306" spans="1:23">
      <c r="A306" s="1" t="s">
        <v>35</v>
      </c>
      <c r="B306" s="1"/>
      <c r="C306" s="2"/>
      <c r="D306" s="1">
        <v>1200</v>
      </c>
      <c r="E306" s="2">
        <v>1</v>
      </c>
      <c r="F306" s="1">
        <v>1200</v>
      </c>
      <c r="G306" s="2">
        <v>1</v>
      </c>
      <c r="H306" s="1"/>
      <c r="I306" s="2"/>
      <c r="J306" s="1">
        <v>1200</v>
      </c>
      <c r="K306" s="2">
        <v>1</v>
      </c>
      <c r="L306" s="1">
        <v>1200</v>
      </c>
      <c r="M306" s="2">
        <v>1</v>
      </c>
      <c r="N306" s="1">
        <v>1200</v>
      </c>
      <c r="O306" s="2">
        <v>1</v>
      </c>
      <c r="P306" s="1">
        <v>1200</v>
      </c>
      <c r="Q306" s="2">
        <v>1</v>
      </c>
      <c r="R306" s="1">
        <f>MIN($B306,$D306,$F306,$H306,$J306,$L306,$N306,$P306)</f>
        <v>0</v>
      </c>
      <c r="S306" s="1">
        <f>MIN($C306,$E306,$G306,$I306,$K306,$M306,$O306,$Q306)</f>
        <v>0</v>
      </c>
      <c r="T306" s="1">
        <f>MEDIAN($B306,$D306,$F306,$H306,$J306,$L306,$N306,$P306)</f>
        <v>0</v>
      </c>
      <c r="U306" s="1">
        <f>MEDIAN($C306,$E306,$G306,$I306,$K306,$M306,$O306,$Q306)</f>
        <v>0</v>
      </c>
      <c r="V306" s="1">
        <f>MAX($B306,$D306,$F306,$H306,$J306,$L306,$N306,$P306)</f>
        <v>0</v>
      </c>
      <c r="W306" s="1">
        <f>MAX($C306,$E306,$G306,$I306,$K306,$M306,$O306,$Q306)</f>
        <v>0</v>
      </c>
    </row>
    <row r="307" spans="1:23">
      <c r="A307" s="1" t="s">
        <v>36</v>
      </c>
      <c r="B307" s="1"/>
      <c r="C307" s="2"/>
      <c r="D307" s="1">
        <v>1200</v>
      </c>
      <c r="E307" s="2">
        <v>1</v>
      </c>
      <c r="F307" s="1">
        <v>1200</v>
      </c>
      <c r="G307" s="2">
        <v>1</v>
      </c>
      <c r="H307" s="1"/>
      <c r="I307" s="2"/>
      <c r="J307" s="1">
        <v>1200</v>
      </c>
      <c r="K307" s="2">
        <v>1</v>
      </c>
      <c r="L307" s="1">
        <v>1200</v>
      </c>
      <c r="M307" s="2">
        <v>1</v>
      </c>
      <c r="N307" s="1">
        <v>1200</v>
      </c>
      <c r="O307" s="2">
        <v>1</v>
      </c>
      <c r="P307" s="1">
        <v>1200</v>
      </c>
      <c r="Q307" s="2">
        <v>1</v>
      </c>
      <c r="R307" s="1">
        <f>MIN($B307,$D307,$F307,$H307,$J307,$L307,$N307,$P307)</f>
        <v>0</v>
      </c>
      <c r="S307" s="1">
        <f>MIN($C307,$E307,$G307,$I307,$K307,$M307,$O307,$Q307)</f>
        <v>0</v>
      </c>
      <c r="T307" s="1">
        <f>MEDIAN($B307,$D307,$F307,$H307,$J307,$L307,$N307,$P307)</f>
        <v>0</v>
      </c>
      <c r="U307" s="1">
        <f>MEDIAN($C307,$E307,$G307,$I307,$K307,$M307,$O307,$Q307)</f>
        <v>0</v>
      </c>
      <c r="V307" s="1">
        <f>MAX($B307,$D307,$F307,$H307,$J307,$L307,$N307,$P307)</f>
        <v>0</v>
      </c>
      <c r="W307" s="1">
        <f>MAX($C307,$E307,$G307,$I307,$K307,$M307,$O307,$Q307)</f>
        <v>0</v>
      </c>
    </row>
    <row r="308" spans="1:23">
      <c r="A308" s="1" t="s">
        <v>37</v>
      </c>
      <c r="B308" s="1"/>
      <c r="C308" s="2"/>
      <c r="D308" s="1">
        <v>1200</v>
      </c>
      <c r="E308" s="2">
        <v>1</v>
      </c>
      <c r="F308" s="1">
        <v>1200</v>
      </c>
      <c r="G308" s="2">
        <v>1</v>
      </c>
      <c r="H308" s="1"/>
      <c r="I308" s="2"/>
      <c r="J308" s="1">
        <v>1200</v>
      </c>
      <c r="K308" s="2">
        <v>1</v>
      </c>
      <c r="L308" s="1">
        <v>1200</v>
      </c>
      <c r="M308" s="2">
        <v>1</v>
      </c>
      <c r="N308" s="1">
        <v>1200</v>
      </c>
      <c r="O308" s="2">
        <v>1</v>
      </c>
      <c r="P308" s="1">
        <v>1200</v>
      </c>
      <c r="Q308" s="2">
        <v>1</v>
      </c>
      <c r="R308" s="1">
        <f>MIN($B308,$D308,$F308,$H308,$J308,$L308,$N308,$P308)</f>
        <v>0</v>
      </c>
      <c r="S308" s="1">
        <f>MIN($C308,$E308,$G308,$I308,$K308,$M308,$O308,$Q308)</f>
        <v>0</v>
      </c>
      <c r="T308" s="1">
        <f>MEDIAN($B308,$D308,$F308,$H308,$J308,$L308,$N308,$P308)</f>
        <v>0</v>
      </c>
      <c r="U308" s="1">
        <f>MEDIAN($C308,$E308,$G308,$I308,$K308,$M308,$O308,$Q308)</f>
        <v>0</v>
      </c>
      <c r="V308" s="1">
        <f>MAX($B308,$D308,$F308,$H308,$J308,$L308,$N308,$P308)</f>
        <v>0</v>
      </c>
      <c r="W308" s="1">
        <f>MAX($C308,$E308,$G308,$I308,$K308,$M308,$O308,$Q308)</f>
        <v>0</v>
      </c>
    </row>
    <row r="309" spans="1:23">
      <c r="A309" s="1" t="s">
        <v>38</v>
      </c>
      <c r="B309" s="1"/>
      <c r="C309" s="2"/>
      <c r="D309" s="1">
        <v>1200</v>
      </c>
      <c r="E309" s="2">
        <v>1</v>
      </c>
      <c r="F309" s="1">
        <v>1200</v>
      </c>
      <c r="G309" s="2">
        <v>1</v>
      </c>
      <c r="H309" s="1"/>
      <c r="I309" s="2"/>
      <c r="J309" s="1">
        <v>1200</v>
      </c>
      <c r="K309" s="2">
        <v>1</v>
      </c>
      <c r="L309" s="1">
        <v>1200</v>
      </c>
      <c r="M309" s="2">
        <v>1</v>
      </c>
      <c r="N309" s="1">
        <v>1200</v>
      </c>
      <c r="O309" s="2">
        <v>1</v>
      </c>
      <c r="P309" s="1">
        <v>1200</v>
      </c>
      <c r="Q309" s="2">
        <v>1</v>
      </c>
      <c r="R309" s="1">
        <f>MIN($B309,$D309,$F309,$H309,$J309,$L309,$N309,$P309)</f>
        <v>0</v>
      </c>
      <c r="S309" s="1">
        <f>MIN($C309,$E309,$G309,$I309,$K309,$M309,$O309,$Q309)</f>
        <v>0</v>
      </c>
      <c r="T309" s="1">
        <f>MEDIAN($B309,$D309,$F309,$H309,$J309,$L309,$N309,$P309)</f>
        <v>0</v>
      </c>
      <c r="U309" s="1">
        <f>MEDIAN($C309,$E309,$G309,$I309,$K309,$M309,$O309,$Q309)</f>
        <v>0</v>
      </c>
      <c r="V309" s="1">
        <f>MAX($B309,$D309,$F309,$H309,$J309,$L309,$N309,$P309)</f>
        <v>0</v>
      </c>
      <c r="W309" s="1">
        <f>MAX($C309,$E309,$G309,$I309,$K309,$M309,$O309,$Q309)</f>
        <v>0</v>
      </c>
    </row>
    <row r="310" spans="1:23">
      <c r="A310" s="1" t="s">
        <v>39</v>
      </c>
      <c r="B310" s="1"/>
      <c r="C310" s="2"/>
      <c r="D310" s="1">
        <v>1200</v>
      </c>
      <c r="E310" s="2">
        <v>1</v>
      </c>
      <c r="F310" s="1">
        <v>1200</v>
      </c>
      <c r="G310" s="2">
        <v>1</v>
      </c>
      <c r="H310" s="1"/>
      <c r="I310" s="2"/>
      <c r="J310" s="1">
        <v>1200</v>
      </c>
      <c r="K310" s="2">
        <v>1</v>
      </c>
      <c r="L310" s="1">
        <v>1200</v>
      </c>
      <c r="M310" s="2">
        <v>1</v>
      </c>
      <c r="N310" s="1">
        <v>1200</v>
      </c>
      <c r="O310" s="2">
        <v>1</v>
      </c>
      <c r="P310" s="1">
        <v>1200</v>
      </c>
      <c r="Q310" s="2">
        <v>1</v>
      </c>
      <c r="R310" s="1">
        <f>MIN($B310,$D310,$F310,$H310,$J310,$L310,$N310,$P310)</f>
        <v>0</v>
      </c>
      <c r="S310" s="1">
        <f>MIN($C310,$E310,$G310,$I310,$K310,$M310,$O310,$Q310)</f>
        <v>0</v>
      </c>
      <c r="T310" s="1">
        <f>MEDIAN($B310,$D310,$F310,$H310,$J310,$L310,$N310,$P310)</f>
        <v>0</v>
      </c>
      <c r="U310" s="1">
        <f>MEDIAN($C310,$E310,$G310,$I310,$K310,$M310,$O310,$Q310)</f>
        <v>0</v>
      </c>
      <c r="V310" s="1">
        <f>MAX($B310,$D310,$F310,$H310,$J310,$L310,$N310,$P310)</f>
        <v>0</v>
      </c>
      <c r="W310" s="1">
        <f>MAX($C310,$E310,$G310,$I310,$K310,$M310,$O310,$Q310)</f>
        <v>0</v>
      </c>
    </row>
    <row r="311" spans="1:23">
      <c r="A311" s="1" t="s">
        <v>40</v>
      </c>
      <c r="B311" s="1"/>
      <c r="C311" s="2"/>
      <c r="D311" s="1">
        <v>1200</v>
      </c>
      <c r="E311" s="2">
        <v>1</v>
      </c>
      <c r="F311" s="1">
        <v>1200</v>
      </c>
      <c r="G311" s="2">
        <v>1</v>
      </c>
      <c r="H311" s="1"/>
      <c r="I311" s="2"/>
      <c r="J311" s="1">
        <v>1200</v>
      </c>
      <c r="K311" s="2">
        <v>1</v>
      </c>
      <c r="L311" s="1">
        <v>1200</v>
      </c>
      <c r="M311" s="2">
        <v>1</v>
      </c>
      <c r="N311" s="1">
        <v>1200</v>
      </c>
      <c r="O311" s="2">
        <v>1</v>
      </c>
      <c r="P311" s="1">
        <v>1200</v>
      </c>
      <c r="Q311" s="2">
        <v>1</v>
      </c>
      <c r="R311" s="1">
        <f>MIN($B311,$D311,$F311,$H311,$J311,$L311,$N311,$P311)</f>
        <v>0</v>
      </c>
      <c r="S311" s="1">
        <f>MIN($C311,$E311,$G311,$I311,$K311,$M311,$O311,$Q311)</f>
        <v>0</v>
      </c>
      <c r="T311" s="1">
        <f>MEDIAN($B311,$D311,$F311,$H311,$J311,$L311,$N311,$P311)</f>
        <v>0</v>
      </c>
      <c r="U311" s="1">
        <f>MEDIAN($C311,$E311,$G311,$I311,$K311,$M311,$O311,$Q311)</f>
        <v>0</v>
      </c>
      <c r="V311" s="1">
        <f>MAX($B311,$D311,$F311,$H311,$J311,$L311,$N311,$P311)</f>
        <v>0</v>
      </c>
      <c r="W311" s="1">
        <f>MAX($C311,$E311,$G311,$I311,$K311,$M311,$O311,$Q311)</f>
        <v>0</v>
      </c>
    </row>
    <row r="312" spans="1:23">
      <c r="A312" s="1" t="s">
        <v>41</v>
      </c>
      <c r="B312" s="1"/>
      <c r="C312" s="2"/>
      <c r="D312" s="1">
        <v>1200</v>
      </c>
      <c r="E312" s="2">
        <v>1</v>
      </c>
      <c r="F312" s="1">
        <v>1200</v>
      </c>
      <c r="G312" s="2">
        <v>1</v>
      </c>
      <c r="H312" s="1"/>
      <c r="I312" s="2"/>
      <c r="J312" s="1">
        <v>1200</v>
      </c>
      <c r="K312" s="2">
        <v>1</v>
      </c>
      <c r="L312" s="1">
        <v>1200</v>
      </c>
      <c r="M312" s="2">
        <v>1</v>
      </c>
      <c r="N312" s="1">
        <v>1200</v>
      </c>
      <c r="O312" s="2">
        <v>1</v>
      </c>
      <c r="P312" s="1">
        <v>1200</v>
      </c>
      <c r="Q312" s="2">
        <v>1</v>
      </c>
      <c r="R312" s="1">
        <f>MIN($B312,$D312,$F312,$H312,$J312,$L312,$N312,$P312)</f>
        <v>0</v>
      </c>
      <c r="S312" s="1">
        <f>MIN($C312,$E312,$G312,$I312,$K312,$M312,$O312,$Q312)</f>
        <v>0</v>
      </c>
      <c r="T312" s="1">
        <f>MEDIAN($B312,$D312,$F312,$H312,$J312,$L312,$N312,$P312)</f>
        <v>0</v>
      </c>
      <c r="U312" s="1">
        <f>MEDIAN($C312,$E312,$G312,$I312,$K312,$M312,$O312,$Q312)</f>
        <v>0</v>
      </c>
      <c r="V312" s="1">
        <f>MAX($B312,$D312,$F312,$H312,$J312,$L312,$N312,$P312)</f>
        <v>0</v>
      </c>
      <c r="W312" s="1">
        <f>MAX($C312,$E312,$G312,$I312,$K312,$M312,$O312,$Q312)</f>
        <v>0</v>
      </c>
    </row>
    <row r="313" spans="1:23">
      <c r="A313" s="1" t="s">
        <v>42</v>
      </c>
      <c r="B313" s="1"/>
      <c r="C313" s="2"/>
      <c r="D313" s="1">
        <v>1200</v>
      </c>
      <c r="E313" s="2">
        <v>1</v>
      </c>
      <c r="F313" s="1">
        <v>1200</v>
      </c>
      <c r="G313" s="2">
        <v>1</v>
      </c>
      <c r="H313" s="1"/>
      <c r="I313" s="2"/>
      <c r="J313" s="1">
        <v>1200</v>
      </c>
      <c r="K313" s="2">
        <v>1</v>
      </c>
      <c r="L313" s="1">
        <v>1200</v>
      </c>
      <c r="M313" s="2">
        <v>1</v>
      </c>
      <c r="N313" s="1">
        <v>1200</v>
      </c>
      <c r="O313" s="2">
        <v>1</v>
      </c>
      <c r="P313" s="1">
        <v>1200</v>
      </c>
      <c r="Q313" s="2">
        <v>1</v>
      </c>
      <c r="R313" s="1">
        <f>MIN($B313,$D313,$F313,$H313,$J313,$L313,$N313,$P313)</f>
        <v>0</v>
      </c>
      <c r="S313" s="1">
        <f>MIN($C313,$E313,$G313,$I313,$K313,$M313,$O313,$Q313)</f>
        <v>0</v>
      </c>
      <c r="T313" s="1">
        <f>MEDIAN($B313,$D313,$F313,$H313,$J313,$L313,$N313,$P313)</f>
        <v>0</v>
      </c>
      <c r="U313" s="1">
        <f>MEDIAN($C313,$E313,$G313,$I313,$K313,$M313,$O313,$Q313)</f>
        <v>0</v>
      </c>
      <c r="V313" s="1">
        <f>MAX($B313,$D313,$F313,$H313,$J313,$L313,$N313,$P313)</f>
        <v>0</v>
      </c>
      <c r="W313" s="1">
        <f>MAX($C313,$E313,$G313,$I313,$K313,$M313,$O313,$Q313)</f>
        <v>0</v>
      </c>
    </row>
    <row r="314" spans="1:23">
      <c r="A314" s="1" t="s">
        <v>43</v>
      </c>
      <c r="B314" s="1"/>
      <c r="C314" s="2"/>
      <c r="D314" s="1">
        <v>1200</v>
      </c>
      <c r="E314" s="2">
        <v>1</v>
      </c>
      <c r="F314" s="1">
        <v>1200</v>
      </c>
      <c r="G314" s="2">
        <v>1</v>
      </c>
      <c r="H314" s="1"/>
      <c r="I314" s="2"/>
      <c r="J314" s="1">
        <v>1200</v>
      </c>
      <c r="K314" s="2">
        <v>1</v>
      </c>
      <c r="L314" s="1">
        <v>1200</v>
      </c>
      <c r="M314" s="2">
        <v>1</v>
      </c>
      <c r="N314" s="1">
        <v>1200</v>
      </c>
      <c r="O314" s="2">
        <v>1</v>
      </c>
      <c r="P314" s="1">
        <v>1200</v>
      </c>
      <c r="Q314" s="2">
        <v>1</v>
      </c>
      <c r="R314" s="1">
        <f>MIN($B314,$D314,$F314,$H314,$J314,$L314,$N314,$P314)</f>
        <v>0</v>
      </c>
      <c r="S314" s="1">
        <f>MIN($C314,$E314,$G314,$I314,$K314,$M314,$O314,$Q314)</f>
        <v>0</v>
      </c>
      <c r="T314" s="1">
        <f>MEDIAN($B314,$D314,$F314,$H314,$J314,$L314,$N314,$P314)</f>
        <v>0</v>
      </c>
      <c r="U314" s="1">
        <f>MEDIAN($C314,$E314,$G314,$I314,$K314,$M314,$O314,$Q314)</f>
        <v>0</v>
      </c>
      <c r="V314" s="1">
        <f>MAX($B314,$D314,$F314,$H314,$J314,$L314,$N314,$P314)</f>
        <v>0</v>
      </c>
      <c r="W314" s="1">
        <f>MAX($C314,$E314,$G314,$I314,$K314,$M314,$O314,$Q314)</f>
        <v>0</v>
      </c>
    </row>
    <row r="315" spans="1:23">
      <c r="A315" s="1" t="s">
        <v>44</v>
      </c>
      <c r="B315" s="1"/>
      <c r="C315" s="2"/>
      <c r="D315" s="1">
        <v>1200</v>
      </c>
      <c r="E315" s="2">
        <v>1</v>
      </c>
      <c r="F315" s="1">
        <v>1200</v>
      </c>
      <c r="G315" s="2">
        <v>1</v>
      </c>
      <c r="H315" s="1"/>
      <c r="I315" s="2"/>
      <c r="J315" s="1">
        <v>1200</v>
      </c>
      <c r="K315" s="2">
        <v>1</v>
      </c>
      <c r="L315" s="1">
        <v>1200</v>
      </c>
      <c r="M315" s="2">
        <v>1</v>
      </c>
      <c r="N315" s="1">
        <v>1200</v>
      </c>
      <c r="O315" s="2">
        <v>1</v>
      </c>
      <c r="P315" s="1">
        <v>1200</v>
      </c>
      <c r="Q315" s="2">
        <v>1</v>
      </c>
      <c r="R315" s="1">
        <f>MIN($B315,$D315,$F315,$H315,$J315,$L315,$N315,$P315)</f>
        <v>0</v>
      </c>
      <c r="S315" s="1">
        <f>MIN($C315,$E315,$G315,$I315,$K315,$M315,$O315,$Q315)</f>
        <v>0</v>
      </c>
      <c r="T315" s="1">
        <f>MEDIAN($B315,$D315,$F315,$H315,$J315,$L315,$N315,$P315)</f>
        <v>0</v>
      </c>
      <c r="U315" s="1">
        <f>MEDIAN($C315,$E315,$G315,$I315,$K315,$M315,$O315,$Q315)</f>
        <v>0</v>
      </c>
      <c r="V315" s="1">
        <f>MAX($B315,$D315,$F315,$H315,$J315,$L315,$N315,$P315)</f>
        <v>0</v>
      </c>
      <c r="W315" s="1">
        <f>MAX($C315,$E315,$G315,$I315,$K315,$M315,$O315,$Q315)</f>
        <v>0</v>
      </c>
    </row>
    <row r="316" spans="1:23">
      <c r="A316" s="1" t="s">
        <v>45</v>
      </c>
      <c r="B316" s="1"/>
      <c r="C316" s="2"/>
      <c r="D316" s="1">
        <v>1200</v>
      </c>
      <c r="E316" s="2">
        <v>1</v>
      </c>
      <c r="F316" s="1">
        <v>1200</v>
      </c>
      <c r="G316" s="2">
        <v>1</v>
      </c>
      <c r="H316" s="1"/>
      <c r="I316" s="2"/>
      <c r="J316" s="1">
        <v>1200</v>
      </c>
      <c r="K316" s="2">
        <v>1</v>
      </c>
      <c r="L316" s="1">
        <v>1200</v>
      </c>
      <c r="M316" s="2">
        <v>1</v>
      </c>
      <c r="N316" s="1">
        <v>1200</v>
      </c>
      <c r="O316" s="2">
        <v>1</v>
      </c>
      <c r="P316" s="1">
        <v>1200</v>
      </c>
      <c r="Q316" s="2">
        <v>1</v>
      </c>
      <c r="R316" s="1">
        <f>MIN($B316,$D316,$F316,$H316,$J316,$L316,$N316,$P316)</f>
        <v>0</v>
      </c>
      <c r="S316" s="1">
        <f>MIN($C316,$E316,$G316,$I316,$K316,$M316,$O316,$Q316)</f>
        <v>0</v>
      </c>
      <c r="T316" s="1">
        <f>MEDIAN($B316,$D316,$F316,$H316,$J316,$L316,$N316,$P316)</f>
        <v>0</v>
      </c>
      <c r="U316" s="1">
        <f>MEDIAN($C316,$E316,$G316,$I316,$K316,$M316,$O316,$Q316)</f>
        <v>0</v>
      </c>
      <c r="V316" s="1">
        <f>MAX($B316,$D316,$F316,$H316,$J316,$L316,$N316,$P316)</f>
        <v>0</v>
      </c>
      <c r="W316" s="1">
        <f>MAX($C316,$E316,$G316,$I316,$K316,$M316,$O316,$Q316)</f>
        <v>0</v>
      </c>
    </row>
    <row r="317" spans="1:23">
      <c r="A317" s="1" t="s">
        <v>46</v>
      </c>
      <c r="B317" s="1"/>
      <c r="C317" s="2"/>
      <c r="D317" s="1">
        <v>1200</v>
      </c>
      <c r="E317" s="2">
        <v>1</v>
      </c>
      <c r="F317" s="1">
        <v>1200</v>
      </c>
      <c r="G317" s="2">
        <v>1</v>
      </c>
      <c r="H317" s="1"/>
      <c r="I317" s="2"/>
      <c r="J317" s="1">
        <v>1200</v>
      </c>
      <c r="K317" s="2">
        <v>1</v>
      </c>
      <c r="L317" s="1">
        <v>1200</v>
      </c>
      <c r="M317" s="2">
        <v>1</v>
      </c>
      <c r="N317" s="1">
        <v>1200</v>
      </c>
      <c r="O317" s="2">
        <v>1</v>
      </c>
      <c r="P317" s="1">
        <v>1200</v>
      </c>
      <c r="Q317" s="2">
        <v>1</v>
      </c>
      <c r="R317" s="1">
        <f>MIN($B317,$D317,$F317,$H317,$J317,$L317,$N317,$P317)</f>
        <v>0</v>
      </c>
      <c r="S317" s="1">
        <f>MIN($C317,$E317,$G317,$I317,$K317,$M317,$O317,$Q317)</f>
        <v>0</v>
      </c>
      <c r="T317" s="1">
        <f>MEDIAN($B317,$D317,$F317,$H317,$J317,$L317,$N317,$P317)</f>
        <v>0</v>
      </c>
      <c r="U317" s="1">
        <f>MEDIAN($C317,$E317,$G317,$I317,$K317,$M317,$O317,$Q317)</f>
        <v>0</v>
      </c>
      <c r="V317" s="1">
        <f>MAX($B317,$D317,$F317,$H317,$J317,$L317,$N317,$P317)</f>
        <v>0</v>
      </c>
      <c r="W317" s="1">
        <f>MAX($C317,$E317,$G317,$I317,$K317,$M317,$O317,$Q317)</f>
        <v>0</v>
      </c>
    </row>
    <row r="318" spans="1:23">
      <c r="A318" s="1" t="s">
        <v>47</v>
      </c>
      <c r="B318" s="1"/>
      <c r="C318" s="2"/>
      <c r="D318" s="1">
        <v>1200</v>
      </c>
      <c r="E318" s="2">
        <v>1</v>
      </c>
      <c r="F318" s="1">
        <v>1200</v>
      </c>
      <c r="G318" s="2">
        <v>1</v>
      </c>
      <c r="H318" s="1"/>
      <c r="I318" s="2"/>
      <c r="J318" s="1">
        <v>1200</v>
      </c>
      <c r="K318" s="2">
        <v>1</v>
      </c>
      <c r="L318" s="1">
        <v>1200</v>
      </c>
      <c r="M318" s="2">
        <v>1</v>
      </c>
      <c r="N318" s="1">
        <v>1200</v>
      </c>
      <c r="O318" s="2">
        <v>1</v>
      </c>
      <c r="P318" s="1">
        <v>1200</v>
      </c>
      <c r="Q318" s="2">
        <v>1</v>
      </c>
      <c r="R318" s="1">
        <f>MIN($B318,$D318,$F318,$H318,$J318,$L318,$N318,$P318)</f>
        <v>0</v>
      </c>
      <c r="S318" s="1">
        <f>MIN($C318,$E318,$G318,$I318,$K318,$M318,$O318,$Q318)</f>
        <v>0</v>
      </c>
      <c r="T318" s="1">
        <f>MEDIAN($B318,$D318,$F318,$H318,$J318,$L318,$N318,$P318)</f>
        <v>0</v>
      </c>
      <c r="U318" s="1">
        <f>MEDIAN($C318,$E318,$G318,$I318,$K318,$M318,$O318,$Q318)</f>
        <v>0</v>
      </c>
      <c r="V318" s="1">
        <f>MAX($B318,$D318,$F318,$H318,$J318,$L318,$N318,$P318)</f>
        <v>0</v>
      </c>
      <c r="W318" s="1">
        <f>MAX($C318,$E318,$G318,$I318,$K318,$M318,$O318,$Q318)</f>
        <v>0</v>
      </c>
    </row>
    <row r="319" spans="1:23">
      <c r="A319" s="1" t="s">
        <v>48</v>
      </c>
      <c r="B319" s="1"/>
      <c r="C319" s="2"/>
      <c r="D319" s="1">
        <v>1200</v>
      </c>
      <c r="E319" s="2">
        <v>1</v>
      </c>
      <c r="F319" s="1">
        <v>1200</v>
      </c>
      <c r="G319" s="2">
        <v>1</v>
      </c>
      <c r="H319" s="1"/>
      <c r="I319" s="2"/>
      <c r="J319" s="1">
        <v>1200</v>
      </c>
      <c r="K319" s="2">
        <v>1</v>
      </c>
      <c r="L319" s="1">
        <v>1200</v>
      </c>
      <c r="M319" s="2">
        <v>1</v>
      </c>
      <c r="N319" s="1">
        <v>1200</v>
      </c>
      <c r="O319" s="2">
        <v>1</v>
      </c>
      <c r="P319" s="1">
        <v>1200</v>
      </c>
      <c r="Q319" s="2">
        <v>1</v>
      </c>
      <c r="R319" s="1">
        <f>MIN($B319,$D319,$F319,$H319,$J319,$L319,$N319,$P319)</f>
        <v>0</v>
      </c>
      <c r="S319" s="1">
        <f>MIN($C319,$E319,$G319,$I319,$K319,$M319,$O319,$Q319)</f>
        <v>0</v>
      </c>
      <c r="T319" s="1">
        <f>MEDIAN($B319,$D319,$F319,$H319,$J319,$L319,$N319,$P319)</f>
        <v>0</v>
      </c>
      <c r="U319" s="1">
        <f>MEDIAN($C319,$E319,$G319,$I319,$K319,$M319,$O319,$Q319)</f>
        <v>0</v>
      </c>
      <c r="V319" s="1">
        <f>MAX($B319,$D319,$F319,$H319,$J319,$L319,$N319,$P319)</f>
        <v>0</v>
      </c>
      <c r="W319" s="1">
        <f>MAX($C319,$E319,$G319,$I319,$K319,$M319,$O319,$Q319)</f>
        <v>0</v>
      </c>
    </row>
    <row r="320" spans="1:23">
      <c r="A320" s="1" t="s">
        <v>49</v>
      </c>
      <c r="B320" s="1"/>
      <c r="C320" s="2"/>
      <c r="D320" s="1">
        <v>1200</v>
      </c>
      <c r="E320" s="2">
        <v>1</v>
      </c>
      <c r="F320" s="1">
        <v>1200</v>
      </c>
      <c r="G320" s="2">
        <v>1</v>
      </c>
      <c r="H320" s="1"/>
      <c r="I320" s="2"/>
      <c r="J320" s="1">
        <v>1200</v>
      </c>
      <c r="K320" s="2">
        <v>1</v>
      </c>
      <c r="L320" s="1">
        <v>1200</v>
      </c>
      <c r="M320" s="2">
        <v>1</v>
      </c>
      <c r="N320" s="1">
        <v>1200</v>
      </c>
      <c r="O320" s="2">
        <v>1</v>
      </c>
      <c r="P320" s="1">
        <v>1200</v>
      </c>
      <c r="Q320" s="2">
        <v>1</v>
      </c>
      <c r="R320" s="1">
        <f>MIN($B320,$D320,$F320,$H320,$J320,$L320,$N320,$P320)</f>
        <v>0</v>
      </c>
      <c r="S320" s="1">
        <f>MIN($C320,$E320,$G320,$I320,$K320,$M320,$O320,$Q320)</f>
        <v>0</v>
      </c>
      <c r="T320" s="1">
        <f>MEDIAN($B320,$D320,$F320,$H320,$J320,$L320,$N320,$P320)</f>
        <v>0</v>
      </c>
      <c r="U320" s="1">
        <f>MEDIAN($C320,$E320,$G320,$I320,$K320,$M320,$O320,$Q320)</f>
        <v>0</v>
      </c>
      <c r="V320" s="1">
        <f>MAX($B320,$D320,$F320,$H320,$J320,$L320,$N320,$P320)</f>
        <v>0</v>
      </c>
      <c r="W320" s="1">
        <f>MAX($C320,$E320,$G320,$I320,$K320,$M320,$O320,$Q320)</f>
        <v>0</v>
      </c>
    </row>
    <row r="321" spans="1:23">
      <c r="A321" s="1" t="s">
        <v>50</v>
      </c>
      <c r="B321" s="1"/>
      <c r="C321" s="2"/>
      <c r="D321" s="1">
        <v>1200</v>
      </c>
      <c r="E321" s="2">
        <v>1</v>
      </c>
      <c r="F321" s="1">
        <v>1200</v>
      </c>
      <c r="G321" s="2">
        <v>1</v>
      </c>
      <c r="H321" s="1"/>
      <c r="I321" s="2"/>
      <c r="J321" s="1">
        <v>1200</v>
      </c>
      <c r="K321" s="2">
        <v>1</v>
      </c>
      <c r="L321" s="1">
        <v>1200</v>
      </c>
      <c r="M321" s="2">
        <v>1</v>
      </c>
      <c r="N321" s="1">
        <v>1200</v>
      </c>
      <c r="O321" s="2">
        <v>1</v>
      </c>
      <c r="P321" s="1">
        <v>1200</v>
      </c>
      <c r="Q321" s="2">
        <v>1</v>
      </c>
      <c r="R321" s="1">
        <f>MIN($B321,$D321,$F321,$H321,$J321,$L321,$N321,$P321)</f>
        <v>0</v>
      </c>
      <c r="S321" s="1">
        <f>MIN($C321,$E321,$G321,$I321,$K321,$M321,$O321,$Q321)</f>
        <v>0</v>
      </c>
      <c r="T321" s="1">
        <f>MEDIAN($B321,$D321,$F321,$H321,$J321,$L321,$N321,$P321)</f>
        <v>0</v>
      </c>
      <c r="U321" s="1">
        <f>MEDIAN($C321,$E321,$G321,$I321,$K321,$M321,$O321,$Q321)</f>
        <v>0</v>
      </c>
      <c r="V321" s="1">
        <f>MAX($B321,$D321,$F321,$H321,$J321,$L321,$N321,$P321)</f>
        <v>0</v>
      </c>
      <c r="W321" s="1">
        <f>MAX($C321,$E321,$G321,$I321,$K321,$M321,$O321,$Q321)</f>
        <v>0</v>
      </c>
    </row>
    <row r="322" spans="1:23">
      <c r="A322" s="1" t="s">
        <v>51</v>
      </c>
      <c r="B322" s="1"/>
      <c r="C322" s="2"/>
      <c r="D322" s="1">
        <v>1200</v>
      </c>
      <c r="E322" s="2">
        <v>1</v>
      </c>
      <c r="F322" s="1">
        <v>1200</v>
      </c>
      <c r="G322" s="2">
        <v>1</v>
      </c>
      <c r="H322" s="1"/>
      <c r="I322" s="2"/>
      <c r="J322" s="1">
        <v>1200</v>
      </c>
      <c r="K322" s="2">
        <v>1</v>
      </c>
      <c r="L322" s="1">
        <v>1200</v>
      </c>
      <c r="M322" s="2">
        <v>1</v>
      </c>
      <c r="N322" s="1">
        <v>1200</v>
      </c>
      <c r="O322" s="2">
        <v>1</v>
      </c>
      <c r="P322" s="1">
        <v>1200</v>
      </c>
      <c r="Q322" s="2">
        <v>1</v>
      </c>
      <c r="R322" s="1">
        <f>MIN($B322,$D322,$F322,$H322,$J322,$L322,$N322,$P322)</f>
        <v>0</v>
      </c>
      <c r="S322" s="1">
        <f>MIN($C322,$E322,$G322,$I322,$K322,$M322,$O322,$Q322)</f>
        <v>0</v>
      </c>
      <c r="T322" s="1">
        <f>MEDIAN($B322,$D322,$F322,$H322,$J322,$L322,$N322,$P322)</f>
        <v>0</v>
      </c>
      <c r="U322" s="1">
        <f>MEDIAN($C322,$E322,$G322,$I322,$K322,$M322,$O322,$Q322)</f>
        <v>0</v>
      </c>
      <c r="V322" s="1">
        <f>MAX($B322,$D322,$F322,$H322,$J322,$L322,$N322,$P322)</f>
        <v>0</v>
      </c>
      <c r="W322" s="1">
        <f>MAX($C322,$E322,$G322,$I322,$K322,$M322,$O322,$Q322)</f>
        <v>0</v>
      </c>
    </row>
    <row r="323" spans="1:23">
      <c r="A323" s="1" t="s">
        <v>52</v>
      </c>
      <c r="B323" s="1"/>
      <c r="C323" s="2"/>
      <c r="D323" s="1">
        <v>1200</v>
      </c>
      <c r="E323" s="2">
        <v>1</v>
      </c>
      <c r="F323" s="1">
        <v>1200</v>
      </c>
      <c r="G323" s="2">
        <v>1</v>
      </c>
      <c r="H323" s="1"/>
      <c r="I323" s="2"/>
      <c r="J323" s="1">
        <v>1200</v>
      </c>
      <c r="K323" s="2">
        <v>1</v>
      </c>
      <c r="L323" s="1">
        <v>1200</v>
      </c>
      <c r="M323" s="2">
        <v>1</v>
      </c>
      <c r="N323" s="1">
        <v>1200</v>
      </c>
      <c r="O323" s="2">
        <v>1</v>
      </c>
      <c r="P323" s="1">
        <v>1200</v>
      </c>
      <c r="Q323" s="2">
        <v>1</v>
      </c>
      <c r="R323" s="1">
        <f>MIN($B323,$D323,$F323,$H323,$J323,$L323,$N323,$P323)</f>
        <v>0</v>
      </c>
      <c r="S323" s="1">
        <f>MIN($C323,$E323,$G323,$I323,$K323,$M323,$O323,$Q323)</f>
        <v>0</v>
      </c>
      <c r="T323" s="1">
        <f>MEDIAN($B323,$D323,$F323,$H323,$J323,$L323,$N323,$P323)</f>
        <v>0</v>
      </c>
      <c r="U323" s="1">
        <f>MEDIAN($C323,$E323,$G323,$I323,$K323,$M323,$O323,$Q323)</f>
        <v>0</v>
      </c>
      <c r="V323" s="1">
        <f>MAX($B323,$D323,$F323,$H323,$J323,$L323,$N323,$P323)</f>
        <v>0</v>
      </c>
      <c r="W323" s="1">
        <f>MAX($C323,$E323,$G323,$I323,$K323,$M323,$O323,$Q323)</f>
        <v>0</v>
      </c>
    </row>
    <row r="324" spans="1:23">
      <c r="A324" s="1" t="s">
        <v>53</v>
      </c>
      <c r="B324" s="1"/>
      <c r="C324" s="2"/>
      <c r="D324" s="1">
        <v>1200</v>
      </c>
      <c r="E324" s="2">
        <v>1</v>
      </c>
      <c r="F324" s="1">
        <v>1200</v>
      </c>
      <c r="G324" s="2">
        <v>1</v>
      </c>
      <c r="H324" s="1"/>
      <c r="I324" s="2"/>
      <c r="J324" s="1">
        <v>1200</v>
      </c>
      <c r="K324" s="2">
        <v>1</v>
      </c>
      <c r="L324" s="1">
        <v>1200</v>
      </c>
      <c r="M324" s="2">
        <v>1</v>
      </c>
      <c r="N324" s="1">
        <v>1200</v>
      </c>
      <c r="O324" s="2">
        <v>1</v>
      </c>
      <c r="P324" s="1">
        <v>1200</v>
      </c>
      <c r="Q324" s="2">
        <v>1</v>
      </c>
      <c r="R324" s="1">
        <f>MIN($B324,$D324,$F324,$H324,$J324,$L324,$N324,$P324)</f>
        <v>0</v>
      </c>
      <c r="S324" s="1">
        <f>MIN($C324,$E324,$G324,$I324,$K324,$M324,$O324,$Q324)</f>
        <v>0</v>
      </c>
      <c r="T324" s="1">
        <f>MEDIAN($B324,$D324,$F324,$H324,$J324,$L324,$N324,$P324)</f>
        <v>0</v>
      </c>
      <c r="U324" s="1">
        <f>MEDIAN($C324,$E324,$G324,$I324,$K324,$M324,$O324,$Q324)</f>
        <v>0</v>
      </c>
      <c r="V324" s="1">
        <f>MAX($B324,$D324,$F324,$H324,$J324,$L324,$N324,$P324)</f>
        <v>0</v>
      </c>
      <c r="W324" s="1">
        <f>MAX($C324,$E324,$G324,$I324,$K324,$M324,$O324,$Q324)</f>
        <v>0</v>
      </c>
    </row>
    <row r="325" spans="1:23">
      <c r="A325" s="1" t="s">
        <v>54</v>
      </c>
      <c r="B325" s="1"/>
      <c r="C325" s="2"/>
      <c r="D325" s="1">
        <v>1200</v>
      </c>
      <c r="E325" s="2">
        <v>1</v>
      </c>
      <c r="F325" s="1">
        <v>1200</v>
      </c>
      <c r="G325" s="2">
        <v>1</v>
      </c>
      <c r="H325" s="1"/>
      <c r="I325" s="2"/>
      <c r="J325" s="1">
        <v>1200</v>
      </c>
      <c r="K325" s="2">
        <v>1</v>
      </c>
      <c r="L325" s="1">
        <v>1200</v>
      </c>
      <c r="M325" s="2">
        <v>1</v>
      </c>
      <c r="N325" s="1">
        <v>1200</v>
      </c>
      <c r="O325" s="2">
        <v>1</v>
      </c>
      <c r="P325" s="1">
        <v>1200</v>
      </c>
      <c r="Q325" s="2">
        <v>1</v>
      </c>
      <c r="R325" s="1">
        <f>MIN($B325,$D325,$F325,$H325,$J325,$L325,$N325,$P325)</f>
        <v>0</v>
      </c>
      <c r="S325" s="1">
        <f>MIN($C325,$E325,$G325,$I325,$K325,$M325,$O325,$Q325)</f>
        <v>0</v>
      </c>
      <c r="T325" s="1">
        <f>MEDIAN($B325,$D325,$F325,$H325,$J325,$L325,$N325,$P325)</f>
        <v>0</v>
      </c>
      <c r="U325" s="1">
        <f>MEDIAN($C325,$E325,$G325,$I325,$K325,$M325,$O325,$Q325)</f>
        <v>0</v>
      </c>
      <c r="V325" s="1">
        <f>MAX($B325,$D325,$F325,$H325,$J325,$L325,$N325,$P325)</f>
        <v>0</v>
      </c>
      <c r="W325" s="1">
        <f>MAX($C325,$E325,$G325,$I325,$K325,$M325,$O325,$Q325)</f>
        <v>0</v>
      </c>
    </row>
    <row r="326" spans="1:23">
      <c r="A326" s="1" t="s">
        <v>55</v>
      </c>
      <c r="B326" s="1"/>
      <c r="C326" s="2"/>
      <c r="D326" s="1">
        <v>1200</v>
      </c>
      <c r="E326" s="2">
        <v>1</v>
      </c>
      <c r="F326" s="1">
        <v>1200</v>
      </c>
      <c r="G326" s="2">
        <v>1</v>
      </c>
      <c r="H326" s="1"/>
      <c r="I326" s="2"/>
      <c r="J326" s="1">
        <v>1200</v>
      </c>
      <c r="K326" s="2">
        <v>1</v>
      </c>
      <c r="L326" s="1">
        <v>1200</v>
      </c>
      <c r="M326" s="2">
        <v>1</v>
      </c>
      <c r="N326" s="1">
        <v>1200</v>
      </c>
      <c r="O326" s="2">
        <v>1</v>
      </c>
      <c r="P326" s="1">
        <v>1200</v>
      </c>
      <c r="Q326" s="2">
        <v>1</v>
      </c>
      <c r="R326" s="1">
        <f>MIN($B326,$D326,$F326,$H326,$J326,$L326,$N326,$P326)</f>
        <v>0</v>
      </c>
      <c r="S326" s="1">
        <f>MIN($C326,$E326,$G326,$I326,$K326,$M326,$O326,$Q326)</f>
        <v>0</v>
      </c>
      <c r="T326" s="1">
        <f>MEDIAN($B326,$D326,$F326,$H326,$J326,$L326,$N326,$P326)</f>
        <v>0</v>
      </c>
      <c r="U326" s="1">
        <f>MEDIAN($C326,$E326,$G326,$I326,$K326,$M326,$O326,$Q326)</f>
        <v>0</v>
      </c>
      <c r="V326" s="1">
        <f>MAX($B326,$D326,$F326,$H326,$J326,$L326,$N326,$P326)</f>
        <v>0</v>
      </c>
      <c r="W326" s="1">
        <f>MAX($C326,$E326,$G326,$I326,$K326,$M326,$O326,$Q326)</f>
        <v>0</v>
      </c>
    </row>
    <row r="327" spans="1:23">
      <c r="A327" s="1" t="s">
        <v>56</v>
      </c>
      <c r="B327" s="1"/>
      <c r="C327" s="2"/>
      <c r="D327" s="1">
        <v>1200</v>
      </c>
      <c r="E327" s="2">
        <v>1</v>
      </c>
      <c r="F327" s="1">
        <v>1200</v>
      </c>
      <c r="G327" s="2">
        <v>1</v>
      </c>
      <c r="H327" s="1"/>
      <c r="I327" s="2"/>
      <c r="J327" s="1">
        <v>1200</v>
      </c>
      <c r="K327" s="2">
        <v>1</v>
      </c>
      <c r="L327" s="1">
        <v>1200</v>
      </c>
      <c r="M327" s="2">
        <v>1</v>
      </c>
      <c r="N327" s="1">
        <v>1200</v>
      </c>
      <c r="O327" s="2">
        <v>1</v>
      </c>
      <c r="P327" s="1">
        <v>1200</v>
      </c>
      <c r="Q327" s="2">
        <v>1</v>
      </c>
      <c r="R327" s="1">
        <f>MIN($B327,$D327,$F327,$H327,$J327,$L327,$N327,$P327)</f>
        <v>0</v>
      </c>
      <c r="S327" s="1">
        <f>MIN($C327,$E327,$G327,$I327,$K327,$M327,$O327,$Q327)</f>
        <v>0</v>
      </c>
      <c r="T327" s="1">
        <f>MEDIAN($B327,$D327,$F327,$H327,$J327,$L327,$N327,$P327)</f>
        <v>0</v>
      </c>
      <c r="U327" s="1">
        <f>MEDIAN($C327,$E327,$G327,$I327,$K327,$M327,$O327,$Q327)</f>
        <v>0</v>
      </c>
      <c r="V327" s="1">
        <f>MAX($B327,$D327,$F327,$H327,$J327,$L327,$N327,$P327)</f>
        <v>0</v>
      </c>
      <c r="W327" s="1">
        <f>MAX($C327,$E327,$G327,$I327,$K327,$M327,$O327,$Q327)</f>
        <v>0</v>
      </c>
    </row>
    <row r="328" spans="1:23">
      <c r="A328" s="1" t="s">
        <v>57</v>
      </c>
      <c r="B328" s="1"/>
      <c r="C328" s="2"/>
      <c r="D328" s="1">
        <v>1200</v>
      </c>
      <c r="E328" s="2">
        <v>1</v>
      </c>
      <c r="F328" s="1">
        <v>1200</v>
      </c>
      <c r="G328" s="2">
        <v>1</v>
      </c>
      <c r="H328" s="1"/>
      <c r="I328" s="2"/>
      <c r="J328" s="1">
        <v>1200</v>
      </c>
      <c r="K328" s="2">
        <v>1</v>
      </c>
      <c r="L328" s="1">
        <v>1200</v>
      </c>
      <c r="M328" s="2">
        <v>1</v>
      </c>
      <c r="N328" s="1">
        <v>1200</v>
      </c>
      <c r="O328" s="2">
        <v>1</v>
      </c>
      <c r="P328" s="1">
        <v>1200</v>
      </c>
      <c r="Q328" s="2">
        <v>1</v>
      </c>
      <c r="R328" s="1">
        <f>MIN($B328,$D328,$F328,$H328,$J328,$L328,$N328,$P328)</f>
        <v>0</v>
      </c>
      <c r="S328" s="1">
        <f>MIN($C328,$E328,$G328,$I328,$K328,$M328,$O328,$Q328)</f>
        <v>0</v>
      </c>
      <c r="T328" s="1">
        <f>MEDIAN($B328,$D328,$F328,$H328,$J328,$L328,$N328,$P328)</f>
        <v>0</v>
      </c>
      <c r="U328" s="1">
        <f>MEDIAN($C328,$E328,$G328,$I328,$K328,$M328,$O328,$Q328)</f>
        <v>0</v>
      </c>
      <c r="V328" s="1">
        <f>MAX($B328,$D328,$F328,$H328,$J328,$L328,$N328,$P328)</f>
        <v>0</v>
      </c>
      <c r="W328" s="1">
        <f>MAX($C328,$E328,$G328,$I328,$K328,$M328,$O328,$Q328)</f>
        <v>0</v>
      </c>
    </row>
    <row r="329" spans="1:23">
      <c r="A329" s="1" t="s">
        <v>58</v>
      </c>
      <c r="B329" s="1"/>
      <c r="C329" s="2"/>
      <c r="D329" s="1">
        <v>1200</v>
      </c>
      <c r="E329" s="2">
        <v>1</v>
      </c>
      <c r="F329" s="1">
        <v>1200</v>
      </c>
      <c r="G329" s="2">
        <v>1</v>
      </c>
      <c r="H329" s="1"/>
      <c r="I329" s="2"/>
      <c r="J329" s="1">
        <v>1200</v>
      </c>
      <c r="K329" s="2">
        <v>1</v>
      </c>
      <c r="L329" s="1">
        <v>1200</v>
      </c>
      <c r="M329" s="2">
        <v>1</v>
      </c>
      <c r="N329" s="1">
        <v>1200</v>
      </c>
      <c r="O329" s="2">
        <v>1</v>
      </c>
      <c r="P329" s="1">
        <v>1200</v>
      </c>
      <c r="Q329" s="2">
        <v>1</v>
      </c>
      <c r="R329" s="1">
        <f>MIN($B329,$D329,$F329,$H329,$J329,$L329,$N329,$P329)</f>
        <v>0</v>
      </c>
      <c r="S329" s="1">
        <f>MIN($C329,$E329,$G329,$I329,$K329,$M329,$O329,$Q329)</f>
        <v>0</v>
      </c>
      <c r="T329" s="1">
        <f>MEDIAN($B329,$D329,$F329,$H329,$J329,$L329,$N329,$P329)</f>
        <v>0</v>
      </c>
      <c r="U329" s="1">
        <f>MEDIAN($C329,$E329,$G329,$I329,$K329,$M329,$O329,$Q329)</f>
        <v>0</v>
      </c>
      <c r="V329" s="1">
        <f>MAX($B329,$D329,$F329,$H329,$J329,$L329,$N329,$P329)</f>
        <v>0</v>
      </c>
      <c r="W329" s="1">
        <f>MAX($C329,$E329,$G329,$I329,$K329,$M329,$O329,$Q329)</f>
        <v>0</v>
      </c>
    </row>
    <row r="330" spans="1:23">
      <c r="A330" s="1" t="s">
        <v>59</v>
      </c>
      <c r="B330" s="1"/>
      <c r="C330" s="2"/>
      <c r="D330" s="1">
        <v>1200</v>
      </c>
      <c r="E330" s="2">
        <v>1</v>
      </c>
      <c r="F330" s="1">
        <v>1200</v>
      </c>
      <c r="G330" s="2">
        <v>1</v>
      </c>
      <c r="H330" s="1"/>
      <c r="I330" s="2"/>
      <c r="J330" s="1">
        <v>1200</v>
      </c>
      <c r="K330" s="2">
        <v>1</v>
      </c>
      <c r="L330" s="1">
        <v>1200</v>
      </c>
      <c r="M330" s="2">
        <v>1</v>
      </c>
      <c r="N330" s="1">
        <v>1200</v>
      </c>
      <c r="O330" s="2">
        <v>1</v>
      </c>
      <c r="P330" s="1">
        <v>1200</v>
      </c>
      <c r="Q330" s="2">
        <v>1</v>
      </c>
      <c r="R330" s="1">
        <f>MIN($B330,$D330,$F330,$H330,$J330,$L330,$N330,$P330)</f>
        <v>0</v>
      </c>
      <c r="S330" s="1">
        <f>MIN($C330,$E330,$G330,$I330,$K330,$M330,$O330,$Q330)</f>
        <v>0</v>
      </c>
      <c r="T330" s="1">
        <f>MEDIAN($B330,$D330,$F330,$H330,$J330,$L330,$N330,$P330)</f>
        <v>0</v>
      </c>
      <c r="U330" s="1">
        <f>MEDIAN($C330,$E330,$G330,$I330,$K330,$M330,$O330,$Q330)</f>
        <v>0</v>
      </c>
      <c r="V330" s="1">
        <f>MAX($B330,$D330,$F330,$H330,$J330,$L330,$N330,$P330)</f>
        <v>0</v>
      </c>
      <c r="W330" s="1">
        <f>MAX($C330,$E330,$G330,$I330,$K330,$M330,$O330,$Q330)</f>
        <v>0</v>
      </c>
    </row>
    <row r="331" spans="1:23">
      <c r="A331" s="1" t="s">
        <v>60</v>
      </c>
      <c r="B331" s="1"/>
      <c r="C331" s="2"/>
      <c r="D331" s="1">
        <v>1200</v>
      </c>
      <c r="E331" s="2">
        <v>1</v>
      </c>
      <c r="F331" s="1">
        <v>1200</v>
      </c>
      <c r="G331" s="2">
        <v>1</v>
      </c>
      <c r="H331" s="1"/>
      <c r="I331" s="2"/>
      <c r="J331" s="1">
        <v>1200</v>
      </c>
      <c r="K331" s="2">
        <v>1</v>
      </c>
      <c r="L331" s="1">
        <v>1200</v>
      </c>
      <c r="M331" s="2">
        <v>1</v>
      </c>
      <c r="N331" s="1">
        <v>1200</v>
      </c>
      <c r="O331" s="2">
        <v>1</v>
      </c>
      <c r="P331" s="1">
        <v>1200</v>
      </c>
      <c r="Q331" s="2">
        <v>1</v>
      </c>
      <c r="R331" s="1">
        <f>MIN($B331,$D331,$F331,$H331,$J331,$L331,$N331,$P331)</f>
        <v>0</v>
      </c>
      <c r="S331" s="1">
        <f>MIN($C331,$E331,$G331,$I331,$K331,$M331,$O331,$Q331)</f>
        <v>0</v>
      </c>
      <c r="T331" s="1">
        <f>MEDIAN($B331,$D331,$F331,$H331,$J331,$L331,$N331,$P331)</f>
        <v>0</v>
      </c>
      <c r="U331" s="1">
        <f>MEDIAN($C331,$E331,$G331,$I331,$K331,$M331,$O331,$Q331)</f>
        <v>0</v>
      </c>
      <c r="V331" s="1">
        <f>MAX($B331,$D331,$F331,$H331,$J331,$L331,$N331,$P331)</f>
        <v>0</v>
      </c>
      <c r="W331" s="1">
        <f>MAX($C331,$E331,$G331,$I331,$K331,$M331,$O331,$Q331)</f>
        <v>0</v>
      </c>
    </row>
    <row r="332" spans="1:23">
      <c r="A332" s="1" t="s">
        <v>61</v>
      </c>
      <c r="B332" s="1"/>
      <c r="C332" s="2"/>
      <c r="D332" s="1">
        <v>1200</v>
      </c>
      <c r="E332" s="2">
        <v>1</v>
      </c>
      <c r="F332" s="1">
        <v>1200</v>
      </c>
      <c r="G332" s="2">
        <v>1</v>
      </c>
      <c r="H332" s="1"/>
      <c r="I332" s="2"/>
      <c r="J332" s="1">
        <v>1200</v>
      </c>
      <c r="K332" s="2">
        <v>1</v>
      </c>
      <c r="L332" s="1">
        <v>1200</v>
      </c>
      <c r="M332" s="2">
        <v>1</v>
      </c>
      <c r="N332" s="1">
        <v>1200</v>
      </c>
      <c r="O332" s="2">
        <v>1</v>
      </c>
      <c r="P332" s="1">
        <v>1200</v>
      </c>
      <c r="Q332" s="2">
        <v>1</v>
      </c>
      <c r="R332" s="1">
        <f>MIN($B332,$D332,$F332,$H332,$J332,$L332,$N332,$P332)</f>
        <v>0</v>
      </c>
      <c r="S332" s="1">
        <f>MIN($C332,$E332,$G332,$I332,$K332,$M332,$O332,$Q332)</f>
        <v>0</v>
      </c>
      <c r="T332" s="1">
        <f>MEDIAN($B332,$D332,$F332,$H332,$J332,$L332,$N332,$P332)</f>
        <v>0</v>
      </c>
      <c r="U332" s="1">
        <f>MEDIAN($C332,$E332,$G332,$I332,$K332,$M332,$O332,$Q332)</f>
        <v>0</v>
      </c>
      <c r="V332" s="1">
        <f>MAX($B332,$D332,$F332,$H332,$J332,$L332,$N332,$P332)</f>
        <v>0</v>
      </c>
      <c r="W332" s="1">
        <f>MAX($C332,$E332,$G332,$I332,$K332,$M332,$O332,$Q332)</f>
        <v>0</v>
      </c>
    </row>
    <row r="333" spans="1:23">
      <c r="A333" s="1" t="s">
        <v>62</v>
      </c>
      <c r="B333" s="1"/>
      <c r="C333" s="2"/>
      <c r="D333" s="1">
        <v>1200</v>
      </c>
      <c r="E333" s="2">
        <v>1</v>
      </c>
      <c r="F333" s="1">
        <v>1200</v>
      </c>
      <c r="G333" s="2">
        <v>1</v>
      </c>
      <c r="H333" s="1"/>
      <c r="I333" s="2"/>
      <c r="J333" s="1">
        <v>1200</v>
      </c>
      <c r="K333" s="2">
        <v>1</v>
      </c>
      <c r="L333" s="1">
        <v>1200</v>
      </c>
      <c r="M333" s="2">
        <v>1</v>
      </c>
      <c r="N333" s="1">
        <v>1200</v>
      </c>
      <c r="O333" s="2">
        <v>1</v>
      </c>
      <c r="P333" s="1">
        <v>1200</v>
      </c>
      <c r="Q333" s="2">
        <v>1</v>
      </c>
      <c r="R333" s="1">
        <f>MIN($B333,$D333,$F333,$H333,$J333,$L333,$N333,$P333)</f>
        <v>0</v>
      </c>
      <c r="S333" s="1">
        <f>MIN($C333,$E333,$G333,$I333,$K333,$M333,$O333,$Q333)</f>
        <v>0</v>
      </c>
      <c r="T333" s="1">
        <f>MEDIAN($B333,$D333,$F333,$H333,$J333,$L333,$N333,$P333)</f>
        <v>0</v>
      </c>
      <c r="U333" s="1">
        <f>MEDIAN($C333,$E333,$G333,$I333,$K333,$M333,$O333,$Q333)</f>
        <v>0</v>
      </c>
      <c r="V333" s="1">
        <f>MAX($B333,$D333,$F333,$H333,$J333,$L333,$N333,$P333)</f>
        <v>0</v>
      </c>
      <c r="W333" s="1">
        <f>MAX($C333,$E333,$G333,$I333,$K333,$M333,$O333,$Q333)</f>
        <v>0</v>
      </c>
    </row>
    <row r="334" spans="1:23">
      <c r="A334" s="1" t="s">
        <v>63</v>
      </c>
      <c r="B334" s="1"/>
      <c r="C334" s="2"/>
      <c r="D334" s="1">
        <v>1200</v>
      </c>
      <c r="E334" s="2">
        <v>1</v>
      </c>
      <c r="F334" s="1">
        <v>1200</v>
      </c>
      <c r="G334" s="2">
        <v>1</v>
      </c>
      <c r="H334" s="1"/>
      <c r="I334" s="2"/>
      <c r="J334" s="1">
        <v>1200</v>
      </c>
      <c r="K334" s="2">
        <v>1</v>
      </c>
      <c r="L334" s="1">
        <v>1200</v>
      </c>
      <c r="M334" s="2">
        <v>1</v>
      </c>
      <c r="N334" s="1">
        <v>1200</v>
      </c>
      <c r="O334" s="2">
        <v>1</v>
      </c>
      <c r="P334" s="1">
        <v>1200</v>
      </c>
      <c r="Q334" s="2">
        <v>1</v>
      </c>
      <c r="R334" s="1">
        <f>MIN($B334,$D334,$F334,$H334,$J334,$L334,$N334,$P334)</f>
        <v>0</v>
      </c>
      <c r="S334" s="1">
        <f>MIN($C334,$E334,$G334,$I334,$K334,$M334,$O334,$Q334)</f>
        <v>0</v>
      </c>
      <c r="T334" s="1">
        <f>MEDIAN($B334,$D334,$F334,$H334,$J334,$L334,$N334,$P334)</f>
        <v>0</v>
      </c>
      <c r="U334" s="1">
        <f>MEDIAN($C334,$E334,$G334,$I334,$K334,$M334,$O334,$Q334)</f>
        <v>0</v>
      </c>
      <c r="V334" s="1">
        <f>MAX($B334,$D334,$F334,$H334,$J334,$L334,$N334,$P334)</f>
        <v>0</v>
      </c>
      <c r="W334" s="1">
        <f>MAX($C334,$E334,$G334,$I334,$K334,$M334,$O334,$Q334)</f>
        <v>0</v>
      </c>
    </row>
    <row r="335" spans="1:23">
      <c r="A335" s="1" t="s">
        <v>64</v>
      </c>
      <c r="B335" s="1"/>
      <c r="C335" s="2"/>
      <c r="D335" s="1">
        <v>1200</v>
      </c>
      <c r="E335" s="2">
        <v>1</v>
      </c>
      <c r="F335" s="1">
        <v>1200</v>
      </c>
      <c r="G335" s="2">
        <v>1</v>
      </c>
      <c r="H335" s="1"/>
      <c r="I335" s="2"/>
      <c r="J335" s="1">
        <v>1200</v>
      </c>
      <c r="K335" s="2">
        <v>1</v>
      </c>
      <c r="L335" s="1">
        <v>1200</v>
      </c>
      <c r="M335" s="2">
        <v>1</v>
      </c>
      <c r="N335" s="1">
        <v>1200</v>
      </c>
      <c r="O335" s="2">
        <v>1</v>
      </c>
      <c r="P335" s="1">
        <v>1200</v>
      </c>
      <c r="Q335" s="2">
        <v>1</v>
      </c>
      <c r="R335" s="1">
        <f>MIN($B335,$D335,$F335,$H335,$J335,$L335,$N335,$P335)</f>
        <v>0</v>
      </c>
      <c r="S335" s="1">
        <f>MIN($C335,$E335,$G335,$I335,$K335,$M335,$O335,$Q335)</f>
        <v>0</v>
      </c>
      <c r="T335" s="1">
        <f>MEDIAN($B335,$D335,$F335,$H335,$J335,$L335,$N335,$P335)</f>
        <v>0</v>
      </c>
      <c r="U335" s="1">
        <f>MEDIAN($C335,$E335,$G335,$I335,$K335,$M335,$O335,$Q335)</f>
        <v>0</v>
      </c>
      <c r="V335" s="1">
        <f>MAX($B335,$D335,$F335,$H335,$J335,$L335,$N335,$P335)</f>
        <v>0</v>
      </c>
      <c r="W335" s="1">
        <f>MAX($C335,$E335,$G335,$I335,$K335,$M335,$O335,$Q335)</f>
        <v>0</v>
      </c>
    </row>
    <row r="336" spans="1:23">
      <c r="A336" s="1" t="s">
        <v>65</v>
      </c>
      <c r="B336" s="1"/>
      <c r="C336" s="2"/>
      <c r="D336" s="1">
        <v>1200</v>
      </c>
      <c r="E336" s="2">
        <v>1</v>
      </c>
      <c r="F336" s="1">
        <v>1200</v>
      </c>
      <c r="G336" s="2">
        <v>1</v>
      </c>
      <c r="H336" s="1"/>
      <c r="I336" s="2"/>
      <c r="J336" s="1">
        <v>1200</v>
      </c>
      <c r="K336" s="2">
        <v>1</v>
      </c>
      <c r="L336" s="1">
        <v>1200</v>
      </c>
      <c r="M336" s="2">
        <v>1</v>
      </c>
      <c r="N336" s="1">
        <v>1200</v>
      </c>
      <c r="O336" s="2">
        <v>1</v>
      </c>
      <c r="P336" s="1">
        <v>1200</v>
      </c>
      <c r="Q336" s="2">
        <v>1</v>
      </c>
      <c r="R336" s="1">
        <f>MIN($B336,$D336,$F336,$H336,$J336,$L336,$N336,$P336)</f>
        <v>0</v>
      </c>
      <c r="S336" s="1">
        <f>MIN($C336,$E336,$G336,$I336,$K336,$M336,$O336,$Q336)</f>
        <v>0</v>
      </c>
      <c r="T336" s="1">
        <f>MEDIAN($B336,$D336,$F336,$H336,$J336,$L336,$N336,$P336)</f>
        <v>0</v>
      </c>
      <c r="U336" s="1">
        <f>MEDIAN($C336,$E336,$G336,$I336,$K336,$M336,$O336,$Q336)</f>
        <v>0</v>
      </c>
      <c r="V336" s="1">
        <f>MAX($B336,$D336,$F336,$H336,$J336,$L336,$N336,$P336)</f>
        <v>0</v>
      </c>
      <c r="W336" s="1">
        <f>MAX($C336,$E336,$G336,$I336,$K336,$M336,$O336,$Q336)</f>
        <v>0</v>
      </c>
    </row>
    <row r="337" spans="1:23">
      <c r="A337" s="1" t="s">
        <v>66</v>
      </c>
      <c r="B337" s="1"/>
      <c r="C337" s="2"/>
      <c r="D337" s="1">
        <v>1200</v>
      </c>
      <c r="E337" s="2">
        <v>1</v>
      </c>
      <c r="F337" s="1">
        <v>1200</v>
      </c>
      <c r="G337" s="2">
        <v>1</v>
      </c>
      <c r="H337" s="1"/>
      <c r="I337" s="2"/>
      <c r="J337" s="1">
        <v>1200</v>
      </c>
      <c r="K337" s="2">
        <v>1</v>
      </c>
      <c r="L337" s="1">
        <v>1200</v>
      </c>
      <c r="M337" s="2">
        <v>1</v>
      </c>
      <c r="N337" s="1">
        <v>1200</v>
      </c>
      <c r="O337" s="2">
        <v>1</v>
      </c>
      <c r="P337" s="1">
        <v>1200</v>
      </c>
      <c r="Q337" s="2">
        <v>1</v>
      </c>
      <c r="R337" s="1">
        <f>MIN($B337,$D337,$F337,$H337,$J337,$L337,$N337,$P337)</f>
        <v>0</v>
      </c>
      <c r="S337" s="1">
        <f>MIN($C337,$E337,$G337,$I337,$K337,$M337,$O337,$Q337)</f>
        <v>0</v>
      </c>
      <c r="T337" s="1">
        <f>MEDIAN($B337,$D337,$F337,$H337,$J337,$L337,$N337,$P337)</f>
        <v>0</v>
      </c>
      <c r="U337" s="1">
        <f>MEDIAN($C337,$E337,$G337,$I337,$K337,$M337,$O337,$Q337)</f>
        <v>0</v>
      </c>
      <c r="V337" s="1">
        <f>MAX($B337,$D337,$F337,$H337,$J337,$L337,$N337,$P337)</f>
        <v>0</v>
      </c>
      <c r="W337" s="1">
        <f>MAX($C337,$E337,$G337,$I337,$K337,$M337,$O337,$Q337)</f>
        <v>0</v>
      </c>
    </row>
    <row r="338" spans="1:23">
      <c r="A338" s="1" t="s">
        <v>67</v>
      </c>
      <c r="B338" s="1"/>
      <c r="C338" s="2"/>
      <c r="D338" s="1">
        <v>1200</v>
      </c>
      <c r="E338" s="2">
        <v>1</v>
      </c>
      <c r="F338" s="1">
        <v>1200</v>
      </c>
      <c r="G338" s="2">
        <v>1</v>
      </c>
      <c r="H338" s="1"/>
      <c r="I338" s="2"/>
      <c r="J338" s="1">
        <v>1200</v>
      </c>
      <c r="K338" s="2">
        <v>1</v>
      </c>
      <c r="L338" s="1">
        <v>1200</v>
      </c>
      <c r="M338" s="2">
        <v>1</v>
      </c>
      <c r="N338" s="1">
        <v>1200</v>
      </c>
      <c r="O338" s="2">
        <v>1</v>
      </c>
      <c r="P338" s="1">
        <v>1200</v>
      </c>
      <c r="Q338" s="2">
        <v>1</v>
      </c>
      <c r="R338" s="1">
        <f>MIN($B338,$D338,$F338,$H338,$J338,$L338,$N338,$P338)</f>
        <v>0</v>
      </c>
      <c r="S338" s="1">
        <f>MIN($C338,$E338,$G338,$I338,$K338,$M338,$O338,$Q338)</f>
        <v>0</v>
      </c>
      <c r="T338" s="1">
        <f>MEDIAN($B338,$D338,$F338,$H338,$J338,$L338,$N338,$P338)</f>
        <v>0</v>
      </c>
      <c r="U338" s="1">
        <f>MEDIAN($C338,$E338,$G338,$I338,$K338,$M338,$O338,$Q338)</f>
        <v>0</v>
      </c>
      <c r="V338" s="1">
        <f>MAX($B338,$D338,$F338,$H338,$J338,$L338,$N338,$P338)</f>
        <v>0</v>
      </c>
      <c r="W338" s="1">
        <f>MAX($C338,$E338,$G338,$I338,$K338,$M338,$O338,$Q338)</f>
        <v>0</v>
      </c>
    </row>
    <row r="339" spans="1:23">
      <c r="A339" s="1" t="s">
        <v>68</v>
      </c>
      <c r="B339" s="1"/>
      <c r="C339" s="2"/>
      <c r="D339" s="1">
        <v>1200</v>
      </c>
      <c r="E339" s="2">
        <v>1</v>
      </c>
      <c r="F339" s="1">
        <v>1200</v>
      </c>
      <c r="G339" s="2">
        <v>1</v>
      </c>
      <c r="H339" s="1"/>
      <c r="I339" s="2"/>
      <c r="J339" s="1">
        <v>1200</v>
      </c>
      <c r="K339" s="2">
        <v>1</v>
      </c>
      <c r="L339" s="1">
        <v>1200</v>
      </c>
      <c r="M339" s="2">
        <v>1</v>
      </c>
      <c r="N339" s="1">
        <v>1200</v>
      </c>
      <c r="O339" s="2">
        <v>1</v>
      </c>
      <c r="P339" s="1">
        <v>1200</v>
      </c>
      <c r="Q339" s="2">
        <v>1</v>
      </c>
      <c r="R339" s="1">
        <f>MIN($B339,$D339,$F339,$H339,$J339,$L339,$N339,$P339)</f>
        <v>0</v>
      </c>
      <c r="S339" s="1">
        <f>MIN($C339,$E339,$G339,$I339,$K339,$M339,$O339,$Q339)</f>
        <v>0</v>
      </c>
      <c r="T339" s="1">
        <f>MEDIAN($B339,$D339,$F339,$H339,$J339,$L339,$N339,$P339)</f>
        <v>0</v>
      </c>
      <c r="U339" s="1">
        <f>MEDIAN($C339,$E339,$G339,$I339,$K339,$M339,$O339,$Q339)</f>
        <v>0</v>
      </c>
      <c r="V339" s="1">
        <f>MAX($B339,$D339,$F339,$H339,$J339,$L339,$N339,$P339)</f>
        <v>0</v>
      </c>
      <c r="W339" s="1">
        <f>MAX($C339,$E339,$G339,$I339,$K339,$M339,$O339,$Q339)</f>
        <v>0</v>
      </c>
    </row>
    <row r="340" spans="1:23">
      <c r="A340" s="1" t="s">
        <v>69</v>
      </c>
      <c r="B340" s="1"/>
      <c r="C340" s="2"/>
      <c r="D340" s="1">
        <v>1200</v>
      </c>
      <c r="E340" s="2">
        <v>1</v>
      </c>
      <c r="F340" s="1">
        <v>1200</v>
      </c>
      <c r="G340" s="2">
        <v>1</v>
      </c>
      <c r="H340" s="1"/>
      <c r="I340" s="2"/>
      <c r="J340" s="1">
        <v>1200</v>
      </c>
      <c r="K340" s="2">
        <v>1</v>
      </c>
      <c r="L340" s="1">
        <v>1200</v>
      </c>
      <c r="M340" s="2">
        <v>1</v>
      </c>
      <c r="N340" s="1">
        <v>1200</v>
      </c>
      <c r="O340" s="2">
        <v>1</v>
      </c>
      <c r="P340" s="1">
        <v>1200</v>
      </c>
      <c r="Q340" s="2">
        <v>1</v>
      </c>
      <c r="R340" s="1">
        <f>MIN($B340,$D340,$F340,$H340,$J340,$L340,$N340,$P340)</f>
        <v>0</v>
      </c>
      <c r="S340" s="1">
        <f>MIN($C340,$E340,$G340,$I340,$K340,$M340,$O340,$Q340)</f>
        <v>0</v>
      </c>
      <c r="T340" s="1">
        <f>MEDIAN($B340,$D340,$F340,$H340,$J340,$L340,$N340,$P340)</f>
        <v>0</v>
      </c>
      <c r="U340" s="1">
        <f>MEDIAN($C340,$E340,$G340,$I340,$K340,$M340,$O340,$Q340)</f>
        <v>0</v>
      </c>
      <c r="V340" s="1">
        <f>MAX($B340,$D340,$F340,$H340,$J340,$L340,$N340,$P340)</f>
        <v>0</v>
      </c>
      <c r="W340" s="1">
        <f>MAX($C340,$E340,$G340,$I340,$K340,$M340,$O340,$Q340)</f>
        <v>0</v>
      </c>
    </row>
    <row r="341" spans="1:23">
      <c r="A341" s="1" t="s">
        <v>70</v>
      </c>
      <c r="B341" s="1"/>
      <c r="C341" s="2"/>
      <c r="D341" s="1">
        <v>1200</v>
      </c>
      <c r="E341" s="2">
        <v>1</v>
      </c>
      <c r="F341" s="1">
        <v>1200</v>
      </c>
      <c r="G341" s="2">
        <v>1</v>
      </c>
      <c r="H341" s="1"/>
      <c r="I341" s="2"/>
      <c r="J341" s="1">
        <v>1200</v>
      </c>
      <c r="K341" s="2">
        <v>1</v>
      </c>
      <c r="L341" s="1">
        <v>1200</v>
      </c>
      <c r="M341" s="2">
        <v>1</v>
      </c>
      <c r="N341" s="1">
        <v>1200</v>
      </c>
      <c r="O341" s="2">
        <v>1</v>
      </c>
      <c r="P341" s="1">
        <v>1200</v>
      </c>
      <c r="Q341" s="2">
        <v>1</v>
      </c>
      <c r="R341" s="1">
        <f>MIN($B341,$D341,$F341,$H341,$J341,$L341,$N341,$P341)</f>
        <v>0</v>
      </c>
      <c r="S341" s="1">
        <f>MIN($C341,$E341,$G341,$I341,$K341,$M341,$O341,$Q341)</f>
        <v>0</v>
      </c>
      <c r="T341" s="1">
        <f>MEDIAN($B341,$D341,$F341,$H341,$J341,$L341,$N341,$P341)</f>
        <v>0</v>
      </c>
      <c r="U341" s="1">
        <f>MEDIAN($C341,$E341,$G341,$I341,$K341,$M341,$O341,$Q341)</f>
        <v>0</v>
      </c>
      <c r="V341" s="1">
        <f>MAX($B341,$D341,$F341,$H341,$J341,$L341,$N341,$P341)</f>
        <v>0</v>
      </c>
      <c r="W341" s="1">
        <f>MAX($C341,$E341,$G341,$I341,$K341,$M341,$O341,$Q341)</f>
        <v>0</v>
      </c>
    </row>
    <row r="342" spans="1:23">
      <c r="A342" s="1"/>
      <c r="B342" s="1"/>
      <c r="C342" s="2"/>
      <c r="D342" s="1"/>
      <c r="E342" s="2"/>
      <c r="F342" s="1"/>
      <c r="G342" s="2"/>
      <c r="H342" s="1"/>
      <c r="I342" s="2"/>
      <c r="J342" s="1"/>
      <c r="K342" s="2"/>
      <c r="L342" s="1"/>
      <c r="M342" s="2"/>
      <c r="N342" s="1"/>
      <c r="O342" s="2"/>
      <c r="P342" s="1"/>
      <c r="Q342" s="2"/>
      <c r="R342" s="1"/>
      <c r="S342" s="1"/>
      <c r="T342" s="1"/>
      <c r="U342" s="1"/>
      <c r="V342" s="1"/>
      <c r="W342" s="1"/>
    </row>
    <row r="343" spans="1:23">
      <c r="A343" s="1" t="s">
        <v>284</v>
      </c>
      <c r="B343" s="1">
        <f>SUM(B$3:B$341)</f>
        <v>0</v>
      </c>
      <c r="C343" s="1">
        <f>SUM(C$3:C$341)</f>
        <v>0</v>
      </c>
      <c r="D343" s="1">
        <f>SUM(D$3:D$341)</f>
        <v>0</v>
      </c>
      <c r="E343" s="1">
        <f>SUM(E$3:E$341)</f>
        <v>0</v>
      </c>
      <c r="F343" s="4">
        <f>SUM(F$3:F$341)</f>
        <v>0</v>
      </c>
      <c r="G343" s="4">
        <f>SUM(G$3:G$341)</f>
        <v>0</v>
      </c>
      <c r="H343" s="3">
        <f>SUM(H$3:H$341)</f>
        <v>0</v>
      </c>
      <c r="I343" s="3">
        <f>SUM(I$3:I$341)</f>
        <v>0</v>
      </c>
      <c r="J343" s="1">
        <f>SUM(J$3:J$341)</f>
        <v>0</v>
      </c>
      <c r="K343" s="1">
        <f>SUM(K$3:K$341)</f>
        <v>0</v>
      </c>
      <c r="L343" s="1">
        <f>SUM(L$3:L$341)</f>
        <v>0</v>
      </c>
      <c r="M343" s="1">
        <f>SUM(M$3:M$341)</f>
        <v>0</v>
      </c>
      <c r="N343" s="1">
        <f>SUM(N$3:N$341)</f>
        <v>0</v>
      </c>
      <c r="O343" s="1">
        <f>SUM(O$3:O$341)</f>
        <v>0</v>
      </c>
      <c r="P343" s="1">
        <f>SUM(P$3:P$341)</f>
        <v>0</v>
      </c>
      <c r="Q343" s="1">
        <f>SUM(Q$3:Q$341)</f>
        <v>0</v>
      </c>
      <c r="R343" s="1">
        <f>SUM(R$3:R$341)</f>
        <v>0</v>
      </c>
      <c r="S343" s="1">
        <f>SUM(S$3:S$341)</f>
        <v>0</v>
      </c>
      <c r="T343" s="1">
        <f>SUM(T$3:T$341)</f>
        <v>0</v>
      </c>
      <c r="U343" s="1">
        <f>SUM(U$3:U$341)</f>
        <v>0</v>
      </c>
      <c r="V343" s="1">
        <f>SUM(V$3:V$341)</f>
        <v>0</v>
      </c>
      <c r="W343" s="1">
        <f>SUM(W$3:W$341)</f>
        <v>0</v>
      </c>
    </row>
    <row r="344" spans="1:23">
      <c r="A344" s="1" t="s">
        <v>285</v>
      </c>
      <c r="B344" s="1">
        <f>AVERAGE(B$3:B$341)</f>
        <v>0</v>
      </c>
      <c r="C344" s="1">
        <f>AVERAGE(C$3:C$341)</f>
        <v>0</v>
      </c>
      <c r="D344" s="1">
        <f>AVERAGE(D$3:D$341)</f>
        <v>0</v>
      </c>
      <c r="E344" s="1">
        <f>AVERAGE(E$3:E$341)</f>
        <v>0</v>
      </c>
      <c r="F344" s="4">
        <f>AVERAGE(F$3:F$341)</f>
        <v>0</v>
      </c>
      <c r="G344" s="4">
        <f>AVERAGE(G$3:G$341)</f>
        <v>0</v>
      </c>
      <c r="H344" s="3">
        <f>AVERAGE(H$3:H$341)</f>
        <v>0</v>
      </c>
      <c r="I344" s="3">
        <f>AVERAGE(I$3:I$341)</f>
        <v>0</v>
      </c>
      <c r="J344" s="1">
        <f>AVERAGE(J$3:J$341)</f>
        <v>0</v>
      </c>
      <c r="K344" s="1">
        <f>AVERAGE(K$3:K$341)</f>
        <v>0</v>
      </c>
      <c r="L344" s="1">
        <f>AVERAGE(L$3:L$341)</f>
        <v>0</v>
      </c>
      <c r="M344" s="1">
        <f>AVERAGE(M$3:M$341)</f>
        <v>0</v>
      </c>
      <c r="N344" s="1">
        <f>AVERAGE(N$3:N$341)</f>
        <v>0</v>
      </c>
      <c r="O344" s="1">
        <f>AVERAGE(O$3:O$341)</f>
        <v>0</v>
      </c>
      <c r="P344" s="1">
        <f>AVERAGE(P$3:P$341)</f>
        <v>0</v>
      </c>
      <c r="Q344" s="1">
        <f>AVERAGE(Q$3:Q$341)</f>
        <v>0</v>
      </c>
      <c r="R344" s="1">
        <f>AVERAGE(R$3:R$341)</f>
        <v>0</v>
      </c>
      <c r="S344" s="1">
        <f>AVERAGE(S$3:S$341)</f>
        <v>0</v>
      </c>
      <c r="T344" s="1">
        <f>AVERAGE(T$3:T$341)</f>
        <v>0</v>
      </c>
      <c r="U344" s="1">
        <f>AVERAGE(U$3:U$341)</f>
        <v>0</v>
      </c>
      <c r="V344" s="1">
        <f>AVERAGE(V$3:V$341)</f>
        <v>0</v>
      </c>
      <c r="W344" s="1">
        <f>AVERAGE(W$3:W$341)</f>
        <v>0</v>
      </c>
    </row>
    <row r="345" spans="1:23">
      <c r="A345" s="1" t="s">
        <v>286</v>
      </c>
      <c r="B345" s="1">
        <f>STDEV(B$3:B$341)</f>
        <v>0</v>
      </c>
      <c r="C345" s="1">
        <f>STDEV(C$3:C$341)</f>
        <v>0</v>
      </c>
      <c r="D345" s="1">
        <f>STDEV(D$3:D$341)</f>
        <v>0</v>
      </c>
      <c r="E345" s="1">
        <f>STDEV(E$3:E$341)</f>
        <v>0</v>
      </c>
      <c r="F345" s="4">
        <f>STDEV(F$3:F$341)</f>
        <v>0</v>
      </c>
      <c r="G345" s="4">
        <f>STDEV(G$3:G$341)</f>
        <v>0</v>
      </c>
      <c r="H345" s="3">
        <f>STDEV(H$3:H$341)</f>
        <v>0</v>
      </c>
      <c r="I345" s="3">
        <f>STDEV(I$3:I$341)</f>
        <v>0</v>
      </c>
      <c r="J345" s="1">
        <f>STDEV(J$3:J$341)</f>
        <v>0</v>
      </c>
      <c r="K345" s="1">
        <f>STDEV(K$3:K$341)</f>
        <v>0</v>
      </c>
      <c r="L345" s="1">
        <f>STDEV(L$3:L$341)</f>
        <v>0</v>
      </c>
      <c r="M345" s="1">
        <f>STDEV(M$3:M$341)</f>
        <v>0</v>
      </c>
      <c r="N345" s="1">
        <f>STDEV(N$3:N$341)</f>
        <v>0</v>
      </c>
      <c r="O345" s="1">
        <f>STDEV(O$3:O$341)</f>
        <v>0</v>
      </c>
      <c r="P345" s="1">
        <f>STDEV(P$3:P$341)</f>
        <v>0</v>
      </c>
      <c r="Q345" s="1">
        <f>STDEV(Q$3:Q$341)</f>
        <v>0</v>
      </c>
      <c r="R345" s="1">
        <f>STDEV(R$3:R$341)</f>
        <v>0</v>
      </c>
      <c r="S345" s="1">
        <f>STDEV(S$3:S$341)</f>
        <v>0</v>
      </c>
      <c r="T345" s="1">
        <f>STDEV(T$3:T$341)</f>
        <v>0</v>
      </c>
      <c r="U345" s="1">
        <f>STDEV(U$3:U$341)</f>
        <v>0</v>
      </c>
      <c r="V345" s="1">
        <f>STDEV(V$3:V$341)</f>
        <v>0</v>
      </c>
      <c r="W345" s="1">
        <f>STDEV(W$3:W$341)</f>
        <v>0</v>
      </c>
    </row>
    <row r="346" spans="1:23">
      <c r="A346" s="1" t="s">
        <v>287</v>
      </c>
      <c r="B346" s="1">
        <f>SUMPRODUCT(--(B$3:B$341-$R$3:$R$341)^2)^0.5</f>
        <v>0</v>
      </c>
      <c r="C346" s="1">
        <f>SUMPRODUCT(--(C$3:C$341-$S$3:$S$341)^2)^0.5</f>
        <v>0</v>
      </c>
      <c r="D346" s="1">
        <f>SUMPRODUCT(--(D$3:D$341-$R$3:$R$341)^2)^0.5</f>
        <v>0</v>
      </c>
      <c r="E346" s="1">
        <f>SUMPRODUCT(--(E$3:E$341-$S$3:$S$341)^2)^0.5</f>
        <v>0</v>
      </c>
      <c r="F346" s="4">
        <f>SUMPRODUCT(--(F$3:F$341-$R$3:$R$341)^2)^0.5</f>
        <v>0</v>
      </c>
      <c r="G346" s="4">
        <f>SUMPRODUCT(--(G$3:G$341-$S$3:$S$341)^2)^0.5</f>
        <v>0</v>
      </c>
      <c r="H346" s="1">
        <f>SUMPRODUCT(--(H$3:H$341-$R$3:$R$341)^2)^0.5</f>
        <v>0</v>
      </c>
      <c r="I346" s="3">
        <f>SUMPRODUCT(--(I$3:I$341-$S$3:$S$341)^2)^0.5</f>
        <v>0</v>
      </c>
      <c r="J346" s="3">
        <f>SUMPRODUCT(--(J$3:J$341-$R$3:$R$341)^2)^0.5</f>
        <v>0</v>
      </c>
      <c r="K346" s="1">
        <f>SUMPRODUCT(--(K$3:K$341-$S$3:$S$341)^2)^0.5</f>
        <v>0</v>
      </c>
      <c r="L346" s="1">
        <f>SUMPRODUCT(--(L$3:L$341-$R$3:$R$341)^2)^0.5</f>
        <v>0</v>
      </c>
      <c r="M346" s="1">
        <f>SUMPRODUCT(--(M$3:M$341-$S$3:$S$341)^2)^0.5</f>
        <v>0</v>
      </c>
      <c r="N346" s="1">
        <f>SUMPRODUCT(--(N$3:N$341-$R$3:$R$341)^2)^0.5</f>
        <v>0</v>
      </c>
      <c r="O346" s="1">
        <f>SUMPRODUCT(--(O$3:O$341-$S$3:$S$341)^2)^0.5</f>
        <v>0</v>
      </c>
      <c r="P346" s="1">
        <f>SUMPRODUCT(--(P$3:P$341-$R$3:$R$341)^2)^0.5</f>
        <v>0</v>
      </c>
      <c r="Q346" s="1">
        <f>SUMPRODUCT(--(Q$3:Q$341-$S$3:$S$341)^2)^0.5</f>
        <v>0</v>
      </c>
      <c r="R346" s="1"/>
      <c r="S346" s="1"/>
      <c r="T346" s="1"/>
      <c r="U346" s="1"/>
      <c r="V346" s="1"/>
      <c r="W346" s="1"/>
    </row>
    <row r="347" spans="1:23">
      <c r="A347" s="1" t="s">
        <v>288</v>
      </c>
      <c r="B347" s="4">
        <f>SUMPRODUCT(NOT(ISBLANK(B$3:B$341))*(B$3:B$341=$R$3:$R$341))</f>
        <v>0</v>
      </c>
      <c r="C347" s="4">
        <f>SUMPRODUCT(NOT(ISBLANK(C$3:C$341))*(C$3:C$341=$S$3:$S$341))</f>
        <v>0</v>
      </c>
      <c r="D347" s="1">
        <f>SUMPRODUCT(NOT(ISBLANK(D$3:D$341))*(D$3:D$341=$R$3:$R$341))</f>
        <v>0</v>
      </c>
      <c r="E347" s="1">
        <f>SUMPRODUCT(NOT(ISBLANK(E$3:E$341))*(E$3:E$341=$S$3:$S$341))</f>
        <v>0</v>
      </c>
      <c r="F347" s="1">
        <f>SUMPRODUCT(NOT(ISBLANK(F$3:F$341))*(F$3:F$341=$R$3:$R$341))</f>
        <v>0</v>
      </c>
      <c r="G347" s="1">
        <f>SUMPRODUCT(NOT(ISBLANK(G$3:G$341))*(G$3:G$341=$S$3:$S$341))</f>
        <v>0</v>
      </c>
      <c r="H347" s="1">
        <f>SUMPRODUCT(NOT(ISBLANK(H$3:H$341))*(H$3:H$341=$R$3:$R$341))</f>
        <v>0</v>
      </c>
      <c r="I347" s="1">
        <f>SUMPRODUCT(NOT(ISBLANK(I$3:I$341))*(I$3:I$341=$S$3:$S$341))</f>
        <v>0</v>
      </c>
      <c r="J347" s="1">
        <f>SUMPRODUCT(NOT(ISBLANK(J$3:J$341))*(J$3:J$341=$R$3:$R$341))</f>
        <v>0</v>
      </c>
      <c r="K347" s="3">
        <f>SUMPRODUCT(NOT(ISBLANK(K$3:K$341))*(K$3:K$341=$S$3:$S$341))</f>
        <v>0</v>
      </c>
      <c r="L347" s="1">
        <f>SUMPRODUCT(NOT(ISBLANK(L$3:L$341))*(L$3:L$341=$R$3:$R$341))</f>
        <v>0</v>
      </c>
      <c r="M347" s="1">
        <f>SUMPRODUCT(NOT(ISBLANK(M$3:M$341))*(M$3:M$341=$S$3:$S$341))</f>
        <v>0</v>
      </c>
      <c r="N347" s="1">
        <f>SUMPRODUCT(NOT(ISBLANK(N$3:N$341))*(N$3:N$341=$R$3:$R$341))</f>
        <v>0</v>
      </c>
      <c r="O347" s="1">
        <f>SUMPRODUCT(NOT(ISBLANK(O$3:O$341))*(O$3:O$341=$S$3:$S$341))</f>
        <v>0</v>
      </c>
      <c r="P347" s="3">
        <f>SUMPRODUCT(NOT(ISBLANK(P$3:P$341))*(P$3:P$341=$R$3:$R$341))</f>
        <v>0</v>
      </c>
      <c r="Q347" s="1">
        <f>SUMPRODUCT(NOT(ISBLANK(Q$3:Q$341))*(Q$3:Q$341=$S$3:$S$341))</f>
        <v>0</v>
      </c>
      <c r="R347" s="1"/>
      <c r="S347" s="1"/>
      <c r="T347" s="1"/>
      <c r="U347" s="1"/>
      <c r="V347" s="1"/>
      <c r="W347" s="1"/>
    </row>
    <row r="348" spans="1:23">
      <c r="A348" s="1" t="s">
        <v>289</v>
      </c>
      <c r="B348" s="4">
        <f>SUMPRODUCT(NOT(ISBLANK(B$3:B$341))*(B$3:B$341&lt;$T$3:$T$341))</f>
        <v>0</v>
      </c>
      <c r="C348" s="1">
        <f>SUMPRODUCT(NOT(ISBLANK(C$3:C$341))*(C$3:C$341&lt;$U$3:$U$341))</f>
        <v>0</v>
      </c>
      <c r="D348" s="1">
        <f>SUMPRODUCT(NOT(ISBLANK(D$3:D$341))*(D$3:D$341&lt;$T$3:$T$341))</f>
        <v>0</v>
      </c>
      <c r="E348" s="1">
        <f>SUMPRODUCT(NOT(ISBLANK(E$3:E$341))*(E$3:E$341&lt;$U$3:$U$341))</f>
        <v>0</v>
      </c>
      <c r="F348" s="1">
        <f>SUMPRODUCT(NOT(ISBLANK(F$3:F$341))*(F$3:F$341&lt;$T$3:$T$341))</f>
        <v>0</v>
      </c>
      <c r="G348" s="1">
        <f>SUMPRODUCT(NOT(ISBLANK(G$3:G$341))*(G$3:G$341&lt;$U$3:$U$341))</f>
        <v>0</v>
      </c>
      <c r="H348" s="1">
        <f>SUMPRODUCT(NOT(ISBLANK(H$3:H$341))*(H$3:H$341&lt;$T$3:$T$341))</f>
        <v>0</v>
      </c>
      <c r="I348" s="3">
        <f>SUMPRODUCT(NOT(ISBLANK(I$3:I$341))*(I$3:I$341&lt;$U$3:$U$341))</f>
        <v>0</v>
      </c>
      <c r="J348" s="1">
        <f>SUMPRODUCT(NOT(ISBLANK(J$3:J$341))*(J$3:J$341&lt;$T$3:$T$341))</f>
        <v>0</v>
      </c>
      <c r="K348" s="1">
        <f>SUMPRODUCT(NOT(ISBLANK(K$3:K$341))*(K$3:K$341&lt;$U$3:$U$341))</f>
        <v>0</v>
      </c>
      <c r="L348" s="1">
        <f>SUMPRODUCT(NOT(ISBLANK(L$3:L$341))*(L$3:L$341&lt;$T$3:$T$341))</f>
        <v>0</v>
      </c>
      <c r="M348" s="4">
        <f>SUMPRODUCT(NOT(ISBLANK(M$3:M$341))*(M$3:M$341&lt;$U$3:$U$341))</f>
        <v>0</v>
      </c>
      <c r="N348" s="1">
        <f>SUMPRODUCT(NOT(ISBLANK(N$3:N$341))*(N$3:N$341&lt;$T$3:$T$341))</f>
        <v>0</v>
      </c>
      <c r="O348" s="4">
        <f>SUMPRODUCT(NOT(ISBLANK(O$3:O$341))*(O$3:O$341&lt;$U$3:$U$341))</f>
        <v>0</v>
      </c>
      <c r="P348" s="3">
        <f>SUMPRODUCT(NOT(ISBLANK(P$3:P$341))*(P$3:P$341&lt;$T$3:$T$341))</f>
        <v>0</v>
      </c>
      <c r="Q348" s="4">
        <f>SUMPRODUCT(NOT(ISBLANK(Q$3:Q$341))*(Q$3:Q$341&lt;$U$3:$U$341))</f>
        <v>0</v>
      </c>
      <c r="R348" s="1"/>
      <c r="S348" s="1"/>
      <c r="T348" s="1"/>
      <c r="U348" s="1"/>
      <c r="V348" s="1"/>
      <c r="W348" s="1"/>
    </row>
    <row r="349" spans="1:23">
      <c r="A349" s="1" t="s">
        <v>290</v>
      </c>
      <c r="B349" s="4">
        <f>SUMPRODUCT((NOT(ISBLANK(B$3:B$341))*(B$3:B$341&gt;$T$3:$T$341))+ISBLANK(B$3:B$341))</f>
        <v>0</v>
      </c>
      <c r="C349" s="4">
        <f>SUMPRODUCT((NOT(ISBLANK(C$3:C$341))*(C$3:C$341&gt;$U$3:$U$341))+ISBLANK(C$3:C$341))</f>
        <v>0</v>
      </c>
      <c r="D349" s="1">
        <f>SUMPRODUCT((NOT(ISBLANK(D$3:D$341))*(D$3:D$341&gt;$T$3:$T$341))+ISBLANK(D$3:D$341))</f>
        <v>0</v>
      </c>
      <c r="E349" s="1">
        <f>SUMPRODUCT((NOT(ISBLANK(E$3:E$341))*(E$3:E$341&gt;$U$3:$U$341))+ISBLANK(E$3:E$341))</f>
        <v>0</v>
      </c>
      <c r="F349" s="1">
        <f>SUMPRODUCT((NOT(ISBLANK(F$3:F$341))*(F$3:F$341&gt;$T$3:$T$341))+ISBLANK(F$3:F$341))</f>
        <v>0</v>
      </c>
      <c r="G349" s="1">
        <f>SUMPRODUCT((NOT(ISBLANK(G$3:G$341))*(G$3:G$341&gt;$U$3:$U$341))+ISBLANK(G$3:G$341))</f>
        <v>0</v>
      </c>
      <c r="H349" s="1">
        <f>SUMPRODUCT((NOT(ISBLANK(H$3:H$341))*(H$3:H$341&gt;$T$3:$T$341))+ISBLANK(H$3:H$341))</f>
        <v>0</v>
      </c>
      <c r="I349" s="1">
        <f>SUMPRODUCT((NOT(ISBLANK(I$3:I$341))*(I$3:I$341&gt;$U$3:$U$341))+ISBLANK(I$3:I$341))</f>
        <v>0</v>
      </c>
      <c r="J349" s="1">
        <f>SUMPRODUCT((NOT(ISBLANK(J$3:J$341))*(J$3:J$341&gt;$T$3:$T$341))+ISBLANK(J$3:J$341))</f>
        <v>0</v>
      </c>
      <c r="K349" s="3">
        <f>SUMPRODUCT((NOT(ISBLANK(K$3:K$341))*(K$3:K$341&gt;$U$3:$U$341))+ISBLANK(K$3:K$341))</f>
        <v>0</v>
      </c>
      <c r="L349" s="1">
        <f>SUMPRODUCT((NOT(ISBLANK(L$3:L$341))*(L$3:L$341&gt;$T$3:$T$341))+ISBLANK(L$3:L$341))</f>
        <v>0</v>
      </c>
      <c r="M349" s="1">
        <f>SUMPRODUCT((NOT(ISBLANK(M$3:M$341))*(M$3:M$341&gt;$U$3:$U$341))+ISBLANK(M$3:M$341))</f>
        <v>0</v>
      </c>
      <c r="N349" s="1">
        <f>SUMPRODUCT((NOT(ISBLANK(N$3:N$341))*(N$3:N$341&gt;$T$3:$T$341))+ISBLANK(N$3:N$341))</f>
        <v>0</v>
      </c>
      <c r="O349" s="1">
        <f>SUMPRODUCT((NOT(ISBLANK(O$3:O$341))*(O$3:O$341&gt;$U$3:$U$341))+ISBLANK(O$3:O$341))</f>
        <v>0</v>
      </c>
      <c r="P349" s="3">
        <f>SUMPRODUCT((NOT(ISBLANK(P$3:P$341))*(P$3:P$341&gt;$T$3:$T$341))+ISBLANK(P$3:P$341))</f>
        <v>0</v>
      </c>
      <c r="Q349" s="1">
        <f>SUMPRODUCT((NOT(ISBLANK(Q$3:Q$341))*(Q$3:Q$341&gt;$U$3:$U$341))+ISBLANK(Q$3:Q$341))</f>
        <v>0</v>
      </c>
      <c r="R349" s="1"/>
      <c r="S349" s="1"/>
      <c r="T349" s="1"/>
      <c r="U349" s="1"/>
      <c r="V349" s="1"/>
      <c r="W349" s="1"/>
    </row>
    <row r="350" spans="1:23">
      <c r="A350" s="1" t="s">
        <v>291</v>
      </c>
      <c r="B350" s="4">
        <f>SUMPRODUCT((NOT(ISBLANK(B$3:B$341))*(B$3:B$341=$V$3:$V$341))+ISBLANK(B$3:B$341))</f>
        <v>0</v>
      </c>
      <c r="C350" s="1">
        <f>SUMPRODUCT((NOT(ISBLANK(C$3:C$341))*(C$3:C$341=$W$3:$W$341))+ISBLANK(C$3:C$341))</f>
        <v>0</v>
      </c>
      <c r="D350" s="1">
        <f>SUMPRODUCT((NOT(ISBLANK(D$3:D$341))*(D$3:D$341=$V$3:$V$341))+ISBLANK(D$3:D$341))</f>
        <v>0</v>
      </c>
      <c r="E350" s="1">
        <f>SUMPRODUCT((NOT(ISBLANK(E$3:E$341))*(E$3:E$341=$W$3:$W$341))+ISBLANK(E$3:E$341))</f>
        <v>0</v>
      </c>
      <c r="F350" s="1">
        <f>SUMPRODUCT((NOT(ISBLANK(F$3:F$341))*(F$3:F$341=$V$3:$V$341))+ISBLANK(F$3:F$341))</f>
        <v>0</v>
      </c>
      <c r="G350" s="4">
        <f>SUMPRODUCT((NOT(ISBLANK(G$3:G$341))*(G$3:G$341=$W$3:$W$341))+ISBLANK(G$3:G$341))</f>
        <v>0</v>
      </c>
      <c r="H350" s="1">
        <f>SUMPRODUCT((NOT(ISBLANK(H$3:H$341))*(H$3:H$341=$V$3:$V$341))+ISBLANK(H$3:H$341))</f>
        <v>0</v>
      </c>
      <c r="I350" s="1">
        <f>SUMPRODUCT((NOT(ISBLANK(I$3:I$341))*(I$3:I$341=$W$3:$W$341))+ISBLANK(I$3:I$341))</f>
        <v>0</v>
      </c>
      <c r="J350" s="1">
        <f>SUMPRODUCT((NOT(ISBLANK(J$3:J$341))*(J$3:J$341=$V$3:$V$341))+ISBLANK(J$3:J$341))</f>
        <v>0</v>
      </c>
      <c r="K350" s="3">
        <f>SUMPRODUCT((NOT(ISBLANK(K$3:K$341))*(K$3:K$341=$W$3:$W$341))+ISBLANK(K$3:K$341))</f>
        <v>0</v>
      </c>
      <c r="L350" s="1">
        <f>SUMPRODUCT((NOT(ISBLANK(L$3:L$341))*(L$3:L$341=$V$3:$V$341))+ISBLANK(L$3:L$341))</f>
        <v>0</v>
      </c>
      <c r="M350" s="1">
        <f>SUMPRODUCT((NOT(ISBLANK(M$3:M$341))*(M$3:M$341=$W$3:$W$341))+ISBLANK(M$3:M$341))</f>
        <v>0</v>
      </c>
      <c r="N350" s="3">
        <f>SUMPRODUCT((NOT(ISBLANK(N$3:N$341))*(N$3:N$341=$V$3:$V$341))+ISBLANK(N$3:N$341))</f>
        <v>0</v>
      </c>
      <c r="O350" s="1">
        <f>SUMPRODUCT((NOT(ISBLANK(O$3:O$341))*(O$3:O$341=$W$3:$W$341))+ISBLANK(O$3:O$341))</f>
        <v>0</v>
      </c>
      <c r="P350" s="1">
        <f>SUMPRODUCT((NOT(ISBLANK(P$3:P$341))*(P$3:P$341=$V$3:$V$341))+ISBLANK(P$3:P$341))</f>
        <v>0</v>
      </c>
      <c r="Q350" s="1">
        <f>SUMPRODUCT((NOT(ISBLANK(Q$3:Q$341))*(Q$3:Q$341=$W$3:$W$341))+ISBLANK(Q$3:Q$341))</f>
        <v>0</v>
      </c>
      <c r="R350" s="1"/>
      <c r="S350" s="1"/>
      <c r="T350" s="1"/>
      <c r="U350" s="1"/>
      <c r="V350" s="1"/>
      <c r="W35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W3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9.7109375" customWidth="1"/>
    <col min="2" max="3" width="13" customWidth="1"/>
    <col min="4" max="5" width="20" customWidth="1"/>
    <col min="6" max="7" width="17.140625" customWidth="1"/>
    <col min="8" max="9" width="13" customWidth="1"/>
    <col min="10" max="11" width="19.85546875" customWidth="1"/>
    <col min="12" max="13" width="17.140625" customWidth="1"/>
    <col min="14" max="15" width="18" customWidth="1"/>
    <col min="16" max="17" width="15.140625" customWidth="1"/>
    <col min="18" max="23" width="11.42578125" customWidth="1"/>
  </cols>
  <sheetData>
    <row r="1" spans="1:23">
      <c r="A1" s="1" t="s">
        <v>305</v>
      </c>
      <c r="B1" s="1" t="s">
        <v>292</v>
      </c>
      <c r="C1" s="2"/>
      <c r="D1" s="1" t="s">
        <v>295</v>
      </c>
      <c r="E1" s="2"/>
      <c r="F1" s="1" t="s">
        <v>296</v>
      </c>
      <c r="G1" s="2"/>
      <c r="H1" s="1" t="s">
        <v>297</v>
      </c>
      <c r="I1" s="2"/>
      <c r="J1" s="1" t="s">
        <v>298</v>
      </c>
      <c r="K1" s="2"/>
      <c r="L1" s="1" t="s">
        <v>299</v>
      </c>
      <c r="M1" s="2"/>
      <c r="N1" s="1" t="s">
        <v>300</v>
      </c>
      <c r="O1" s="2"/>
      <c r="P1" s="1" t="s">
        <v>301</v>
      </c>
      <c r="Q1" s="2"/>
      <c r="R1" s="1" t="s">
        <v>302</v>
      </c>
      <c r="S1" s="1"/>
      <c r="T1" s="1" t="s">
        <v>303</v>
      </c>
      <c r="U1" s="1"/>
      <c r="V1" s="1" t="s">
        <v>304</v>
      </c>
      <c r="W1" s="1"/>
    </row>
    <row r="2" spans="1:23">
      <c r="A2" s="7" t="s">
        <v>303</v>
      </c>
      <c r="B2" s="1" t="s">
        <v>293</v>
      </c>
      <c r="C2" s="2" t="s">
        <v>294</v>
      </c>
      <c r="D2" s="1" t="s">
        <v>293</v>
      </c>
      <c r="E2" s="2" t="s">
        <v>294</v>
      </c>
      <c r="F2" s="1" t="s">
        <v>293</v>
      </c>
      <c r="G2" s="2" t="s">
        <v>294</v>
      </c>
      <c r="H2" s="1" t="s">
        <v>293</v>
      </c>
      <c r="I2" s="2" t="s">
        <v>294</v>
      </c>
      <c r="J2" s="1" t="s">
        <v>293</v>
      </c>
      <c r="K2" s="2" t="s">
        <v>294</v>
      </c>
      <c r="L2" s="1" t="s">
        <v>293</v>
      </c>
      <c r="M2" s="2" t="s">
        <v>294</v>
      </c>
      <c r="N2" s="1" t="s">
        <v>293</v>
      </c>
      <c r="O2" s="2" t="s">
        <v>294</v>
      </c>
      <c r="P2" s="1" t="s">
        <v>293</v>
      </c>
      <c r="Q2" s="2" t="s">
        <v>294</v>
      </c>
      <c r="R2" s="1" t="s">
        <v>293</v>
      </c>
      <c r="S2" s="1" t="s">
        <v>294</v>
      </c>
      <c r="T2" s="1" t="s">
        <v>293</v>
      </c>
      <c r="U2" s="1" t="s">
        <v>294</v>
      </c>
      <c r="V2" s="1" t="s">
        <v>293</v>
      </c>
      <c r="W2" s="1" t="s">
        <v>294</v>
      </c>
    </row>
    <row r="3" spans="1:23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/>
      <c r="E3" s="2"/>
      <c r="F3" s="1"/>
      <c r="G3" s="2"/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/>
      <c r="K3" s="2"/>
      <c r="L3" s="1"/>
      <c r="M3" s="2"/>
      <c r="N3" s="1"/>
      <c r="O3" s="2"/>
      <c r="P3" s="1"/>
      <c r="Q3" s="2"/>
      <c r="R3" s="1">
        <f>MIN($B3,$D3,$F3,$H3,$J3,$L3,$N3,$P3)</f>
        <v>0</v>
      </c>
      <c r="S3" s="1">
        <f>MIN($C3,$E3,$G3,$I3,$K3,$M3,$O3,$Q3)</f>
        <v>0</v>
      </c>
      <c r="T3" s="1">
        <f>MEDIAN($B3,$D3,$F3,$H3,$J3,$L3,$N3,$P3)</f>
        <v>0</v>
      </c>
      <c r="U3" s="1">
        <f>MEDIAN($C3,$E3,$G3,$I3,$K3,$M3,$O3,$Q3)</f>
        <v>0</v>
      </c>
      <c r="V3" s="1">
        <f>MAX($B3,$D3,$F3,$H3,$J3,$L3,$N3,$P3)</f>
        <v>0</v>
      </c>
      <c r="W3" s="1">
        <f>MAX($C3,$E3,$G3,$I3,$K3,$M3,$O3,$Q3)</f>
        <v>0</v>
      </c>
    </row>
    <row r="4" spans="1:23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/>
      <c r="E4" s="2"/>
      <c r="F4" s="1"/>
      <c r="G4" s="2"/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/>
      <c r="K4" s="2"/>
      <c r="L4" s="1"/>
      <c r="M4" s="2"/>
      <c r="N4" s="1"/>
      <c r="O4" s="2"/>
      <c r="P4" s="1"/>
      <c r="Q4" s="2"/>
      <c r="R4" s="1">
        <f>MIN($B4,$D4,$F4,$H4,$J4,$L4,$N4,$P4)</f>
        <v>0</v>
      </c>
      <c r="S4" s="1">
        <f>MIN($C4,$E4,$G4,$I4,$K4,$M4,$O4,$Q4)</f>
        <v>0</v>
      </c>
      <c r="T4" s="1">
        <f>MEDIAN($B4,$D4,$F4,$H4,$J4,$L4,$N4,$P4)</f>
        <v>0</v>
      </c>
      <c r="U4" s="1">
        <f>MEDIAN($C4,$E4,$G4,$I4,$K4,$M4,$O4,$Q4)</f>
        <v>0</v>
      </c>
      <c r="V4" s="1">
        <f>MAX($B4,$D4,$F4,$H4,$J4,$L4,$N4,$P4)</f>
        <v>0</v>
      </c>
      <c r="W4" s="1">
        <f>MAX($C4,$E4,$G4,$I4,$K4,$M4,$O4,$Q4)</f>
        <v>0</v>
      </c>
    </row>
    <row r="5" spans="1:23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/>
      <c r="E5" s="2"/>
      <c r="F5" s="1"/>
      <c r="G5" s="2"/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/>
      <c r="K5" s="2"/>
      <c r="L5" s="1"/>
      <c r="M5" s="2"/>
      <c r="N5" s="1"/>
      <c r="O5" s="2"/>
      <c r="P5" s="1"/>
      <c r="Q5" s="2"/>
      <c r="R5" s="1">
        <f>MIN($B5,$D5,$F5,$H5,$J5,$L5,$N5,$P5)</f>
        <v>0</v>
      </c>
      <c r="S5" s="1">
        <f>MIN($C5,$E5,$G5,$I5,$K5,$M5,$O5,$Q5)</f>
        <v>0</v>
      </c>
      <c r="T5" s="1">
        <f>MEDIAN($B5,$D5,$F5,$H5,$J5,$L5,$N5,$P5)</f>
        <v>0</v>
      </c>
      <c r="U5" s="1">
        <f>MEDIAN($C5,$E5,$G5,$I5,$K5,$M5,$O5,$Q5)</f>
        <v>0</v>
      </c>
      <c r="V5" s="1">
        <f>MAX($B5,$D5,$F5,$H5,$J5,$L5,$N5,$P5)</f>
        <v>0</v>
      </c>
      <c r="W5" s="1">
        <f>MAX($C5,$E5,$G5,$I5,$K5,$M5,$O5,$Q5)</f>
        <v>0</v>
      </c>
    </row>
    <row r="6" spans="1:23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/>
      <c r="E6" s="2"/>
      <c r="F6" s="1"/>
      <c r="G6" s="2"/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/>
      <c r="K6" s="2"/>
      <c r="L6" s="1"/>
      <c r="M6" s="2"/>
      <c r="N6" s="1"/>
      <c r="O6" s="2"/>
      <c r="P6" s="1"/>
      <c r="Q6" s="2"/>
      <c r="R6" s="1">
        <f>MIN($B6,$D6,$F6,$H6,$J6,$L6,$N6,$P6)</f>
        <v>0</v>
      </c>
      <c r="S6" s="1">
        <f>MIN($C6,$E6,$G6,$I6,$K6,$M6,$O6,$Q6)</f>
        <v>0</v>
      </c>
      <c r="T6" s="1">
        <f>MEDIAN($B6,$D6,$F6,$H6,$J6,$L6,$N6,$P6)</f>
        <v>0</v>
      </c>
      <c r="U6" s="1">
        <f>MEDIAN($C6,$E6,$G6,$I6,$K6,$M6,$O6,$Q6)</f>
        <v>0</v>
      </c>
      <c r="V6" s="1">
        <f>MAX($B6,$D6,$F6,$H6,$J6,$L6,$N6,$P6)</f>
        <v>0</v>
      </c>
      <c r="W6" s="1">
        <f>MAX($C6,$E6,$G6,$I6,$K6,$M6,$O6,$Q6)</f>
        <v>0</v>
      </c>
    </row>
    <row r="7" spans="1:23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/>
      <c r="E7" s="2"/>
      <c r="F7" s="1"/>
      <c r="G7" s="2"/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/>
      <c r="K7" s="2"/>
      <c r="L7" s="1"/>
      <c r="M7" s="2"/>
      <c r="N7" s="1"/>
      <c r="O7" s="2"/>
      <c r="P7" s="1"/>
      <c r="Q7" s="2"/>
      <c r="R7" s="1">
        <f>MIN($B7,$D7,$F7,$H7,$J7,$L7,$N7,$P7)</f>
        <v>0</v>
      </c>
      <c r="S7" s="1">
        <f>MIN($C7,$E7,$G7,$I7,$K7,$M7,$O7,$Q7)</f>
        <v>0</v>
      </c>
      <c r="T7" s="1">
        <f>MEDIAN($B7,$D7,$F7,$H7,$J7,$L7,$N7,$P7)</f>
        <v>0</v>
      </c>
      <c r="U7" s="1">
        <f>MEDIAN($C7,$E7,$G7,$I7,$K7,$M7,$O7,$Q7)</f>
        <v>0</v>
      </c>
      <c r="V7" s="1">
        <f>MAX($B7,$D7,$F7,$H7,$J7,$L7,$N7,$P7)</f>
        <v>0</v>
      </c>
      <c r="W7" s="1">
        <f>MAX($C7,$E7,$G7,$I7,$K7,$M7,$O7,$Q7)</f>
        <v>0</v>
      </c>
    </row>
    <row r="8" spans="1:23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/>
      <c r="E8" s="2"/>
      <c r="F8" s="1"/>
      <c r="G8" s="2"/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/>
      <c r="K8" s="2"/>
      <c r="L8" s="1"/>
      <c r="M8" s="2"/>
      <c r="N8" s="1"/>
      <c r="O8" s="2"/>
      <c r="P8" s="1"/>
      <c r="Q8" s="2"/>
      <c r="R8" s="1">
        <f>MIN($B8,$D8,$F8,$H8,$J8,$L8,$N8,$P8)</f>
        <v>0</v>
      </c>
      <c r="S8" s="1">
        <f>MIN($C8,$E8,$G8,$I8,$K8,$M8,$O8,$Q8)</f>
        <v>0</v>
      </c>
      <c r="T8" s="1">
        <f>MEDIAN($B8,$D8,$F8,$H8,$J8,$L8,$N8,$P8)</f>
        <v>0</v>
      </c>
      <c r="U8" s="1">
        <f>MEDIAN($C8,$E8,$G8,$I8,$K8,$M8,$O8,$Q8)</f>
        <v>0</v>
      </c>
      <c r="V8" s="1">
        <f>MAX($B8,$D8,$F8,$H8,$J8,$L8,$N8,$P8)</f>
        <v>0</v>
      </c>
      <c r="W8" s="1">
        <f>MAX($C8,$E8,$G8,$I8,$K8,$M8,$O8,$Q8)</f>
        <v>0</v>
      </c>
    </row>
    <row r="9" spans="1:23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/>
      <c r="E9" s="2"/>
      <c r="F9" s="1"/>
      <c r="G9" s="2"/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/>
      <c r="K9" s="2"/>
      <c r="L9" s="1"/>
      <c r="M9" s="2"/>
      <c r="N9" s="1"/>
      <c r="O9" s="2"/>
      <c r="P9" s="1"/>
      <c r="Q9" s="2"/>
      <c r="R9" s="1">
        <f>MIN($B9,$D9,$F9,$H9,$J9,$L9,$N9,$P9)</f>
        <v>0</v>
      </c>
      <c r="S9" s="1">
        <f>MIN($C9,$E9,$G9,$I9,$K9,$M9,$O9,$Q9)</f>
        <v>0</v>
      </c>
      <c r="T9" s="1">
        <f>MEDIAN($B9,$D9,$F9,$H9,$J9,$L9,$N9,$P9)</f>
        <v>0</v>
      </c>
      <c r="U9" s="1">
        <f>MEDIAN($C9,$E9,$G9,$I9,$K9,$M9,$O9,$Q9)</f>
        <v>0</v>
      </c>
      <c r="V9" s="1">
        <f>MAX($B9,$D9,$F9,$H9,$J9,$L9,$N9,$P9)</f>
        <v>0</v>
      </c>
      <c r="W9" s="1">
        <f>MAX($C9,$E9,$G9,$I9,$K9,$M9,$O9,$Q9)</f>
        <v>0</v>
      </c>
    </row>
    <row r="10" spans="1:23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/>
      <c r="E10" s="2"/>
      <c r="F10" s="1"/>
      <c r="G10" s="2"/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/>
      <c r="K10" s="2"/>
      <c r="L10" s="1"/>
      <c r="M10" s="2"/>
      <c r="N10" s="1"/>
      <c r="O10" s="2"/>
      <c r="P10" s="1"/>
      <c r="Q10" s="2"/>
      <c r="R10" s="1">
        <f>MIN($B10,$D10,$F10,$H10,$J10,$L10,$N10,$P10)</f>
        <v>0</v>
      </c>
      <c r="S10" s="1">
        <f>MIN($C10,$E10,$G10,$I10,$K10,$M10,$O10,$Q10)</f>
        <v>0</v>
      </c>
      <c r="T10" s="1">
        <f>MEDIAN($B10,$D10,$F10,$H10,$J10,$L10,$N10,$P10)</f>
        <v>0</v>
      </c>
      <c r="U10" s="1">
        <f>MEDIAN($C10,$E10,$G10,$I10,$K10,$M10,$O10,$Q10)</f>
        <v>0</v>
      </c>
      <c r="V10" s="1">
        <f>MAX($B10,$D10,$F10,$H10,$J10,$L10,$N10,$P10)</f>
        <v>0</v>
      </c>
      <c r="W10" s="1">
        <f>MAX($C10,$E10,$G10,$I10,$K10,$M10,$O10,$Q10)</f>
        <v>0</v>
      </c>
    </row>
    <row r="11" spans="1:23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/>
      <c r="E11" s="2"/>
      <c r="F11" s="1"/>
      <c r="G11" s="2"/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/>
      <c r="K11" s="2"/>
      <c r="L11" s="1"/>
      <c r="M11" s="2"/>
      <c r="N11" s="1"/>
      <c r="O11" s="2"/>
      <c r="P11" s="1"/>
      <c r="Q11" s="2"/>
      <c r="R11" s="1">
        <f>MIN($B11,$D11,$F11,$H11,$J11,$L11,$N11,$P11)</f>
        <v>0</v>
      </c>
      <c r="S11" s="1">
        <f>MIN($C11,$E11,$G11,$I11,$K11,$M11,$O11,$Q11)</f>
        <v>0</v>
      </c>
      <c r="T11" s="1">
        <f>MEDIAN($B11,$D11,$F11,$H11,$J11,$L11,$N11,$P11)</f>
        <v>0</v>
      </c>
      <c r="U11" s="1">
        <f>MEDIAN($C11,$E11,$G11,$I11,$K11,$M11,$O11,$Q11)</f>
        <v>0</v>
      </c>
      <c r="V11" s="1">
        <f>MAX($B11,$D11,$F11,$H11,$J11,$L11,$N11,$P11)</f>
        <v>0</v>
      </c>
      <c r="W11" s="1">
        <f>MAX($C11,$E11,$G11,$I11,$K11,$M11,$O11,$Q11)</f>
        <v>0</v>
      </c>
    </row>
    <row r="12" spans="1:23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/>
      <c r="E12" s="2"/>
      <c r="F12" s="1"/>
      <c r="G12" s="2"/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/>
      <c r="K12" s="2"/>
      <c r="L12" s="1"/>
      <c r="M12" s="2"/>
      <c r="N12" s="1"/>
      <c r="O12" s="2"/>
      <c r="P12" s="1"/>
      <c r="Q12" s="2"/>
      <c r="R12" s="1">
        <f>MIN($B12,$D12,$F12,$H12,$J12,$L12,$N12,$P12)</f>
        <v>0</v>
      </c>
      <c r="S12" s="1">
        <f>MIN($C12,$E12,$G12,$I12,$K12,$M12,$O12,$Q12)</f>
        <v>0</v>
      </c>
      <c r="T12" s="1">
        <f>MEDIAN($B12,$D12,$F12,$H12,$J12,$L12,$N12,$P12)</f>
        <v>0</v>
      </c>
      <c r="U12" s="1">
        <f>MEDIAN($C12,$E12,$G12,$I12,$K12,$M12,$O12,$Q12)</f>
        <v>0</v>
      </c>
      <c r="V12" s="1">
        <f>MAX($B12,$D12,$F12,$H12,$J12,$L12,$N12,$P12)</f>
        <v>0</v>
      </c>
      <c r="W12" s="1">
        <f>MAX($C12,$E12,$G12,$I12,$K12,$M12,$O12,$Q12)</f>
        <v>0</v>
      </c>
    </row>
    <row r="13" spans="1:23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/>
      <c r="E13" s="2"/>
      <c r="F13" s="1"/>
      <c r="G13" s="2"/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/>
      <c r="K13" s="2"/>
      <c r="L13" s="1"/>
      <c r="M13" s="2"/>
      <c r="N13" s="1"/>
      <c r="O13" s="2"/>
      <c r="P13" s="1"/>
      <c r="Q13" s="2"/>
      <c r="R13" s="1">
        <f>MIN($B13,$D13,$F13,$H13,$J13,$L13,$N13,$P13)</f>
        <v>0</v>
      </c>
      <c r="S13" s="1">
        <f>MIN($C13,$E13,$G13,$I13,$K13,$M13,$O13,$Q13)</f>
        <v>0</v>
      </c>
      <c r="T13" s="1">
        <f>MEDIAN($B13,$D13,$F13,$H13,$J13,$L13,$N13,$P13)</f>
        <v>0</v>
      </c>
      <c r="U13" s="1">
        <f>MEDIAN($C13,$E13,$G13,$I13,$K13,$M13,$O13,$Q13)</f>
        <v>0</v>
      </c>
      <c r="V13" s="1">
        <f>MAX($B13,$D13,$F13,$H13,$J13,$L13,$N13,$P13)</f>
        <v>0</v>
      </c>
      <c r="W13" s="1">
        <f>MAX($C13,$E13,$G13,$I13,$K13,$M13,$O13,$Q13)</f>
        <v>0</v>
      </c>
    </row>
    <row r="14" spans="1:23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/>
      <c r="E14" s="2"/>
      <c r="F14" s="1"/>
      <c r="G14" s="2"/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/>
      <c r="K14" s="2"/>
      <c r="L14" s="1"/>
      <c r="M14" s="2"/>
      <c r="N14" s="1"/>
      <c r="O14" s="2"/>
      <c r="P14" s="1"/>
      <c r="Q14" s="2"/>
      <c r="R14" s="1">
        <f>MIN($B14,$D14,$F14,$H14,$J14,$L14,$N14,$P14)</f>
        <v>0</v>
      </c>
      <c r="S14" s="1">
        <f>MIN($C14,$E14,$G14,$I14,$K14,$M14,$O14,$Q14)</f>
        <v>0</v>
      </c>
      <c r="T14" s="1">
        <f>MEDIAN($B14,$D14,$F14,$H14,$J14,$L14,$N14,$P14)</f>
        <v>0</v>
      </c>
      <c r="U14" s="1">
        <f>MEDIAN($C14,$E14,$G14,$I14,$K14,$M14,$O14,$Q14)</f>
        <v>0</v>
      </c>
      <c r="V14" s="1">
        <f>MAX($B14,$D14,$F14,$H14,$J14,$L14,$N14,$P14)</f>
        <v>0</v>
      </c>
      <c r="W14" s="1">
        <f>MAX($C14,$E14,$G14,$I14,$K14,$M14,$O14,$Q14)</f>
        <v>0</v>
      </c>
    </row>
    <row r="15" spans="1:23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/>
      <c r="E15" s="2"/>
      <c r="F15" s="1"/>
      <c r="G15" s="2"/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/>
      <c r="K15" s="2"/>
      <c r="L15" s="1"/>
      <c r="M15" s="2"/>
      <c r="N15" s="1"/>
      <c r="O15" s="2"/>
      <c r="P15" s="1"/>
      <c r="Q15" s="2"/>
      <c r="R15" s="1">
        <f>MIN($B15,$D15,$F15,$H15,$J15,$L15,$N15,$P15)</f>
        <v>0</v>
      </c>
      <c r="S15" s="1">
        <f>MIN($C15,$E15,$G15,$I15,$K15,$M15,$O15,$Q15)</f>
        <v>0</v>
      </c>
      <c r="T15" s="1">
        <f>MEDIAN($B15,$D15,$F15,$H15,$J15,$L15,$N15,$P15)</f>
        <v>0</v>
      </c>
      <c r="U15" s="1">
        <f>MEDIAN($C15,$E15,$G15,$I15,$K15,$M15,$O15,$Q15)</f>
        <v>0</v>
      </c>
      <c r="V15" s="1">
        <f>MAX($B15,$D15,$F15,$H15,$J15,$L15,$N15,$P15)</f>
        <v>0</v>
      </c>
      <c r="W15" s="1">
        <f>MAX($C15,$E15,$G15,$I15,$K15,$M15,$O15,$Q15)</f>
        <v>0</v>
      </c>
    </row>
    <row r="16" spans="1:23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/>
      <c r="E16" s="2"/>
      <c r="F16" s="1"/>
      <c r="G16" s="2"/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/>
      <c r="K16" s="2"/>
      <c r="L16" s="1"/>
      <c r="M16" s="2"/>
      <c r="N16" s="1"/>
      <c r="O16" s="2"/>
      <c r="P16" s="1"/>
      <c r="Q16" s="2"/>
      <c r="R16" s="1">
        <f>MIN($B16,$D16,$F16,$H16,$J16,$L16,$N16,$P16)</f>
        <v>0</v>
      </c>
      <c r="S16" s="1">
        <f>MIN($C16,$E16,$G16,$I16,$K16,$M16,$O16,$Q16)</f>
        <v>0</v>
      </c>
      <c r="T16" s="1">
        <f>MEDIAN($B16,$D16,$F16,$H16,$J16,$L16,$N16,$P16)</f>
        <v>0</v>
      </c>
      <c r="U16" s="1">
        <f>MEDIAN($C16,$E16,$G16,$I16,$K16,$M16,$O16,$Q16)</f>
        <v>0</v>
      </c>
      <c r="V16" s="1">
        <f>MAX($B16,$D16,$F16,$H16,$J16,$L16,$N16,$P16)</f>
        <v>0</v>
      </c>
      <c r="W16" s="1">
        <f>MAX($C16,$E16,$G16,$I16,$K16,$M16,$O16,$Q16)</f>
        <v>0</v>
      </c>
    </row>
    <row r="17" spans="1:23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/>
      <c r="E17" s="2"/>
      <c r="F17" s="1"/>
      <c r="G17" s="2"/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/>
      <c r="K17" s="2"/>
      <c r="L17" s="1"/>
      <c r="M17" s="2"/>
      <c r="N17" s="1"/>
      <c r="O17" s="2"/>
      <c r="P17" s="1"/>
      <c r="Q17" s="2"/>
      <c r="R17" s="1">
        <f>MIN($B17,$D17,$F17,$H17,$J17,$L17,$N17,$P17)</f>
        <v>0</v>
      </c>
      <c r="S17" s="1">
        <f>MIN($C17,$E17,$G17,$I17,$K17,$M17,$O17,$Q17)</f>
        <v>0</v>
      </c>
      <c r="T17" s="1">
        <f>MEDIAN($B17,$D17,$F17,$H17,$J17,$L17,$N17,$P17)</f>
        <v>0</v>
      </c>
      <c r="U17" s="1">
        <f>MEDIAN($C17,$E17,$G17,$I17,$K17,$M17,$O17,$Q17)</f>
        <v>0</v>
      </c>
      <c r="V17" s="1">
        <f>MAX($B17,$D17,$F17,$H17,$J17,$L17,$N17,$P17)</f>
        <v>0</v>
      </c>
      <c r="W17" s="1">
        <f>MAX($C17,$E17,$G17,$I17,$K17,$M17,$O17,$Q17)</f>
        <v>0</v>
      </c>
    </row>
    <row r="18" spans="1:23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/>
      <c r="E18" s="2"/>
      <c r="F18" s="1"/>
      <c r="G18" s="2"/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/>
      <c r="K18" s="2"/>
      <c r="L18" s="1"/>
      <c r="M18" s="2"/>
      <c r="N18" s="1"/>
      <c r="O18" s="2"/>
      <c r="P18" s="1"/>
      <c r="Q18" s="2"/>
      <c r="R18" s="1">
        <f>MIN($B18,$D18,$F18,$H18,$J18,$L18,$N18,$P18)</f>
        <v>0</v>
      </c>
      <c r="S18" s="1">
        <f>MIN($C18,$E18,$G18,$I18,$K18,$M18,$O18,$Q18)</f>
        <v>0</v>
      </c>
      <c r="T18" s="1">
        <f>MEDIAN($B18,$D18,$F18,$H18,$J18,$L18,$N18,$P18)</f>
        <v>0</v>
      </c>
      <c r="U18" s="1">
        <f>MEDIAN($C18,$E18,$G18,$I18,$K18,$M18,$O18,$Q18)</f>
        <v>0</v>
      </c>
      <c r="V18" s="1">
        <f>MAX($B18,$D18,$F18,$H18,$J18,$L18,$N18,$P18)</f>
        <v>0</v>
      </c>
      <c r="W18" s="1">
        <f>MAX($C18,$E18,$G18,$I18,$K18,$M18,$O18,$Q18)</f>
        <v>0</v>
      </c>
    </row>
    <row r="19" spans="1:23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/>
      <c r="E19" s="2"/>
      <c r="F19" s="1"/>
      <c r="G19" s="2"/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/>
      <c r="K19" s="2"/>
      <c r="L19" s="1"/>
      <c r="M19" s="2"/>
      <c r="N19" s="1"/>
      <c r="O19" s="2"/>
      <c r="P19" s="1"/>
      <c r="Q19" s="2"/>
      <c r="R19" s="1">
        <f>MIN($B19,$D19,$F19,$H19,$J19,$L19,$N19,$P19)</f>
        <v>0</v>
      </c>
      <c r="S19" s="1">
        <f>MIN($C19,$E19,$G19,$I19,$K19,$M19,$O19,$Q19)</f>
        <v>0</v>
      </c>
      <c r="T19" s="1">
        <f>MEDIAN($B19,$D19,$F19,$H19,$J19,$L19,$N19,$P19)</f>
        <v>0</v>
      </c>
      <c r="U19" s="1">
        <f>MEDIAN($C19,$E19,$G19,$I19,$K19,$M19,$O19,$Q19)</f>
        <v>0</v>
      </c>
      <c r="V19" s="1">
        <f>MAX($B19,$D19,$F19,$H19,$J19,$L19,$N19,$P19)</f>
        <v>0</v>
      </c>
      <c r="W19" s="1">
        <f>MAX($C19,$E19,$G19,$I19,$K19,$M19,$O19,$Q19)</f>
        <v>0</v>
      </c>
    </row>
    <row r="20" spans="1:23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/>
      <c r="E20" s="2"/>
      <c r="F20" s="1"/>
      <c r="G20" s="2"/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/>
      <c r="K20" s="2"/>
      <c r="L20" s="1"/>
      <c r="M20" s="2"/>
      <c r="N20" s="1"/>
      <c r="O20" s="2"/>
      <c r="P20" s="1"/>
      <c r="Q20" s="2"/>
      <c r="R20" s="1">
        <f>MIN($B20,$D20,$F20,$H20,$J20,$L20,$N20,$P20)</f>
        <v>0</v>
      </c>
      <c r="S20" s="1">
        <f>MIN($C20,$E20,$G20,$I20,$K20,$M20,$O20,$Q20)</f>
        <v>0</v>
      </c>
      <c r="T20" s="1">
        <f>MEDIAN($B20,$D20,$F20,$H20,$J20,$L20,$N20,$P20)</f>
        <v>0</v>
      </c>
      <c r="U20" s="1">
        <f>MEDIAN($C20,$E20,$G20,$I20,$K20,$M20,$O20,$Q20)</f>
        <v>0</v>
      </c>
      <c r="V20" s="1">
        <f>MAX($B20,$D20,$F20,$H20,$J20,$L20,$N20,$P20)</f>
        <v>0</v>
      </c>
      <c r="W20" s="1">
        <f>MAX($C20,$E20,$G20,$I20,$K20,$M20,$O20,$Q20)</f>
        <v>0</v>
      </c>
    </row>
    <row r="21" spans="1:23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/>
      <c r="E21" s="2"/>
      <c r="F21" s="1"/>
      <c r="G21" s="2"/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/>
      <c r="K21" s="2"/>
      <c r="L21" s="1"/>
      <c r="M21" s="2"/>
      <c r="N21" s="1"/>
      <c r="O21" s="2"/>
      <c r="P21" s="1"/>
      <c r="Q21" s="2"/>
      <c r="R21" s="1">
        <f>MIN($B21,$D21,$F21,$H21,$J21,$L21,$N21,$P21)</f>
        <v>0</v>
      </c>
      <c r="S21" s="1">
        <f>MIN($C21,$E21,$G21,$I21,$K21,$M21,$O21,$Q21)</f>
        <v>0</v>
      </c>
      <c r="T21" s="1">
        <f>MEDIAN($B21,$D21,$F21,$H21,$J21,$L21,$N21,$P21)</f>
        <v>0</v>
      </c>
      <c r="U21" s="1">
        <f>MEDIAN($C21,$E21,$G21,$I21,$K21,$M21,$O21,$Q21)</f>
        <v>0</v>
      </c>
      <c r="V21" s="1">
        <f>MAX($B21,$D21,$F21,$H21,$J21,$L21,$N21,$P21)</f>
        <v>0</v>
      </c>
      <c r="W21" s="1">
        <f>MAX($C21,$E21,$G21,$I21,$K21,$M21,$O21,$Q21)</f>
        <v>0</v>
      </c>
    </row>
    <row r="22" spans="1:23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/>
      <c r="E22" s="2"/>
      <c r="F22" s="1"/>
      <c r="G22" s="2"/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/>
      <c r="K22" s="2"/>
      <c r="L22" s="1"/>
      <c r="M22" s="2"/>
      <c r="N22" s="1"/>
      <c r="O22" s="2"/>
      <c r="P22" s="1"/>
      <c r="Q22" s="2"/>
      <c r="R22" s="1">
        <f>MIN($B22,$D22,$F22,$H22,$J22,$L22,$N22,$P22)</f>
        <v>0</v>
      </c>
      <c r="S22" s="1">
        <f>MIN($C22,$E22,$G22,$I22,$K22,$M22,$O22,$Q22)</f>
        <v>0</v>
      </c>
      <c r="T22" s="1">
        <f>MEDIAN($B22,$D22,$F22,$H22,$J22,$L22,$N22,$P22)</f>
        <v>0</v>
      </c>
      <c r="U22" s="1">
        <f>MEDIAN($C22,$E22,$G22,$I22,$K22,$M22,$O22,$Q22)</f>
        <v>0</v>
      </c>
      <c r="V22" s="1">
        <f>MAX($B22,$D22,$F22,$H22,$J22,$L22,$N22,$P22)</f>
        <v>0</v>
      </c>
      <c r="W22" s="1">
        <f>MAX($C22,$E22,$G22,$I22,$K22,$M22,$O22,$Q22)</f>
        <v>0</v>
      </c>
    </row>
    <row r="23" spans="1:23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/>
      <c r="E23" s="2"/>
      <c r="F23" s="1"/>
      <c r="G23" s="2"/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/>
      <c r="K23" s="2"/>
      <c r="L23" s="1"/>
      <c r="M23" s="2"/>
      <c r="N23" s="1"/>
      <c r="O23" s="2"/>
      <c r="P23" s="1"/>
      <c r="Q23" s="2"/>
      <c r="R23" s="1">
        <f>MIN($B23,$D23,$F23,$H23,$J23,$L23,$N23,$P23)</f>
        <v>0</v>
      </c>
      <c r="S23" s="1">
        <f>MIN($C23,$E23,$G23,$I23,$K23,$M23,$O23,$Q23)</f>
        <v>0</v>
      </c>
      <c r="T23" s="1">
        <f>MEDIAN($B23,$D23,$F23,$H23,$J23,$L23,$N23,$P23)</f>
        <v>0</v>
      </c>
      <c r="U23" s="1">
        <f>MEDIAN($C23,$E23,$G23,$I23,$K23,$M23,$O23,$Q23)</f>
        <v>0</v>
      </c>
      <c r="V23" s="1">
        <f>MAX($B23,$D23,$F23,$H23,$J23,$L23,$N23,$P23)</f>
        <v>0</v>
      </c>
      <c r="W23" s="1">
        <f>MAX($C23,$E23,$G23,$I23,$K23,$M23,$O23,$Q23)</f>
        <v>0</v>
      </c>
    </row>
    <row r="24" spans="1:23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/>
      <c r="E24" s="2"/>
      <c r="F24" s="1"/>
      <c r="G24" s="2"/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/>
      <c r="K24" s="2"/>
      <c r="L24" s="1"/>
      <c r="M24" s="2"/>
      <c r="N24" s="1"/>
      <c r="O24" s="2"/>
      <c r="P24" s="1"/>
      <c r="Q24" s="2"/>
      <c r="R24" s="1">
        <f>MIN($B24,$D24,$F24,$H24,$J24,$L24,$N24,$P24)</f>
        <v>0</v>
      </c>
      <c r="S24" s="1">
        <f>MIN($C24,$E24,$G24,$I24,$K24,$M24,$O24,$Q24)</f>
        <v>0</v>
      </c>
      <c r="T24" s="1">
        <f>MEDIAN($B24,$D24,$F24,$H24,$J24,$L24,$N24,$P24)</f>
        <v>0</v>
      </c>
      <c r="U24" s="1">
        <f>MEDIAN($C24,$E24,$G24,$I24,$K24,$M24,$O24,$Q24)</f>
        <v>0</v>
      </c>
      <c r="V24" s="1">
        <f>MAX($B24,$D24,$F24,$H24,$J24,$L24,$N24,$P24)</f>
        <v>0</v>
      </c>
      <c r="W24" s="1">
        <f>MAX($C24,$E24,$G24,$I24,$K24,$M24,$O24,$Q24)</f>
        <v>0</v>
      </c>
    </row>
    <row r="25" spans="1:23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/>
      <c r="E25" s="2"/>
      <c r="F25" s="1"/>
      <c r="G25" s="2"/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/>
      <c r="K25" s="2"/>
      <c r="L25" s="1"/>
      <c r="M25" s="2"/>
      <c r="N25" s="1"/>
      <c r="O25" s="2"/>
      <c r="P25" s="1"/>
      <c r="Q25" s="2"/>
      <c r="R25" s="1">
        <f>MIN($B25,$D25,$F25,$H25,$J25,$L25,$N25,$P25)</f>
        <v>0</v>
      </c>
      <c r="S25" s="1">
        <f>MIN($C25,$E25,$G25,$I25,$K25,$M25,$O25,$Q25)</f>
        <v>0</v>
      </c>
      <c r="T25" s="1">
        <f>MEDIAN($B25,$D25,$F25,$H25,$J25,$L25,$N25,$P25)</f>
        <v>0</v>
      </c>
      <c r="U25" s="1">
        <f>MEDIAN($C25,$E25,$G25,$I25,$K25,$M25,$O25,$Q25)</f>
        <v>0</v>
      </c>
      <c r="V25" s="1">
        <f>MAX($B25,$D25,$F25,$H25,$J25,$L25,$N25,$P25)</f>
        <v>0</v>
      </c>
      <c r="W25" s="1">
        <f>MAX($C25,$E25,$G25,$I25,$K25,$M25,$O25,$Q25)</f>
        <v>0</v>
      </c>
    </row>
    <row r="26" spans="1:23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/>
      <c r="E26" s="2"/>
      <c r="F26" s="1"/>
      <c r="G26" s="2"/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/>
      <c r="K26" s="2"/>
      <c r="L26" s="1"/>
      <c r="M26" s="2"/>
      <c r="N26" s="1"/>
      <c r="O26" s="2"/>
      <c r="P26" s="1"/>
      <c r="Q26" s="2"/>
      <c r="R26" s="1">
        <f>MIN($B26,$D26,$F26,$H26,$J26,$L26,$N26,$P26)</f>
        <v>0</v>
      </c>
      <c r="S26" s="1">
        <f>MIN($C26,$E26,$G26,$I26,$K26,$M26,$O26,$Q26)</f>
        <v>0</v>
      </c>
      <c r="T26" s="1">
        <f>MEDIAN($B26,$D26,$F26,$H26,$J26,$L26,$N26,$P26)</f>
        <v>0</v>
      </c>
      <c r="U26" s="1">
        <f>MEDIAN($C26,$E26,$G26,$I26,$K26,$M26,$O26,$Q26)</f>
        <v>0</v>
      </c>
      <c r="V26" s="1">
        <f>MAX($B26,$D26,$F26,$H26,$J26,$L26,$N26,$P26)</f>
        <v>0</v>
      </c>
      <c r="W26" s="1">
        <f>MAX($C26,$E26,$G26,$I26,$K26,$M26,$O26,$Q26)</f>
        <v>0</v>
      </c>
    </row>
    <row r="27" spans="1:23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/>
      <c r="E27" s="2"/>
      <c r="F27" s="1"/>
      <c r="G27" s="2"/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/>
      <c r="K27" s="2"/>
      <c r="L27" s="1"/>
      <c r="M27" s="2"/>
      <c r="N27" s="1"/>
      <c r="O27" s="2"/>
      <c r="P27" s="1"/>
      <c r="Q27" s="2"/>
      <c r="R27" s="1">
        <f>MIN($B27,$D27,$F27,$H27,$J27,$L27,$N27,$P27)</f>
        <v>0</v>
      </c>
      <c r="S27" s="1">
        <f>MIN($C27,$E27,$G27,$I27,$K27,$M27,$O27,$Q27)</f>
        <v>0</v>
      </c>
      <c r="T27" s="1">
        <f>MEDIAN($B27,$D27,$F27,$H27,$J27,$L27,$N27,$P27)</f>
        <v>0</v>
      </c>
      <c r="U27" s="1">
        <f>MEDIAN($C27,$E27,$G27,$I27,$K27,$M27,$O27,$Q27)</f>
        <v>0</v>
      </c>
      <c r="V27" s="1">
        <f>MAX($B27,$D27,$F27,$H27,$J27,$L27,$N27,$P27)</f>
        <v>0</v>
      </c>
      <c r="W27" s="1">
        <f>MAX($C27,$E27,$G27,$I27,$K27,$M27,$O27,$Q27)</f>
        <v>0</v>
      </c>
    </row>
    <row r="28" spans="1:23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/>
      <c r="E28" s="2"/>
      <c r="F28" s="1"/>
      <c r="G28" s="2"/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/>
      <c r="K28" s="2"/>
      <c r="L28" s="1"/>
      <c r="M28" s="2"/>
      <c r="N28" s="1"/>
      <c r="O28" s="2"/>
      <c r="P28" s="1"/>
      <c r="Q28" s="2"/>
      <c r="R28" s="1">
        <f>MIN($B28,$D28,$F28,$H28,$J28,$L28,$N28,$P28)</f>
        <v>0</v>
      </c>
      <c r="S28" s="1">
        <f>MIN($C28,$E28,$G28,$I28,$K28,$M28,$O28,$Q28)</f>
        <v>0</v>
      </c>
      <c r="T28" s="1">
        <f>MEDIAN($B28,$D28,$F28,$H28,$J28,$L28,$N28,$P28)</f>
        <v>0</v>
      </c>
      <c r="U28" s="1">
        <f>MEDIAN($C28,$E28,$G28,$I28,$K28,$M28,$O28,$Q28)</f>
        <v>0</v>
      </c>
      <c r="V28" s="1">
        <f>MAX($B28,$D28,$F28,$H28,$J28,$L28,$N28,$P28)</f>
        <v>0</v>
      </c>
      <c r="W28" s="1">
        <f>MAX($C28,$E28,$G28,$I28,$K28,$M28,$O28,$Q28)</f>
        <v>0</v>
      </c>
    </row>
    <row r="29" spans="1:23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/>
      <c r="E29" s="2"/>
      <c r="F29" s="1"/>
      <c r="G29" s="2"/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/>
      <c r="K29" s="2"/>
      <c r="L29" s="1"/>
      <c r="M29" s="2"/>
      <c r="N29" s="1"/>
      <c r="O29" s="2"/>
      <c r="P29" s="1"/>
      <c r="Q29" s="2"/>
      <c r="R29" s="1">
        <f>MIN($B29,$D29,$F29,$H29,$J29,$L29,$N29,$P29)</f>
        <v>0</v>
      </c>
      <c r="S29" s="1">
        <f>MIN($C29,$E29,$G29,$I29,$K29,$M29,$O29,$Q29)</f>
        <v>0</v>
      </c>
      <c r="T29" s="1">
        <f>MEDIAN($B29,$D29,$F29,$H29,$J29,$L29,$N29,$P29)</f>
        <v>0</v>
      </c>
      <c r="U29" s="1">
        <f>MEDIAN($C29,$E29,$G29,$I29,$K29,$M29,$O29,$Q29)</f>
        <v>0</v>
      </c>
      <c r="V29" s="1">
        <f>MAX($B29,$D29,$F29,$H29,$J29,$L29,$N29,$P29)</f>
        <v>0</v>
      </c>
      <c r="W29" s="1">
        <f>MAX($C29,$E29,$G29,$I29,$K29,$M29,$O29,$Q29)</f>
        <v>0</v>
      </c>
    </row>
    <row r="30" spans="1:23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/>
      <c r="E30" s="2"/>
      <c r="F30" s="1"/>
      <c r="G30" s="2"/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/>
      <c r="K30" s="2"/>
      <c r="L30" s="1"/>
      <c r="M30" s="2"/>
      <c r="N30" s="1"/>
      <c r="O30" s="2"/>
      <c r="P30" s="1"/>
      <c r="Q30" s="2"/>
      <c r="R30" s="1">
        <f>MIN($B30,$D30,$F30,$H30,$J30,$L30,$N30,$P30)</f>
        <v>0</v>
      </c>
      <c r="S30" s="1">
        <f>MIN($C30,$E30,$G30,$I30,$K30,$M30,$O30,$Q30)</f>
        <v>0</v>
      </c>
      <c r="T30" s="1">
        <f>MEDIAN($B30,$D30,$F30,$H30,$J30,$L30,$N30,$P30)</f>
        <v>0</v>
      </c>
      <c r="U30" s="1">
        <f>MEDIAN($C30,$E30,$G30,$I30,$K30,$M30,$O30,$Q30)</f>
        <v>0</v>
      </c>
      <c r="V30" s="1">
        <f>MAX($B30,$D30,$F30,$H30,$J30,$L30,$N30,$P30)</f>
        <v>0</v>
      </c>
      <c r="W30" s="1">
        <f>MAX($C30,$E30,$G30,$I30,$K30,$M30,$O30,$Q30)</f>
        <v>0</v>
      </c>
    </row>
    <row r="31" spans="1:23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/>
      <c r="E31" s="2"/>
      <c r="F31" s="1"/>
      <c r="G31" s="2"/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/>
      <c r="K31" s="2"/>
      <c r="L31" s="1"/>
      <c r="M31" s="2"/>
      <c r="N31" s="1"/>
      <c r="O31" s="2"/>
      <c r="P31" s="1"/>
      <c r="Q31" s="2"/>
      <c r="R31" s="1">
        <f>MIN($B31,$D31,$F31,$H31,$J31,$L31,$N31,$P31)</f>
        <v>0</v>
      </c>
      <c r="S31" s="1">
        <f>MIN($C31,$E31,$G31,$I31,$K31,$M31,$O31,$Q31)</f>
        <v>0</v>
      </c>
      <c r="T31" s="1">
        <f>MEDIAN($B31,$D31,$F31,$H31,$J31,$L31,$N31,$P31)</f>
        <v>0</v>
      </c>
      <c r="U31" s="1">
        <f>MEDIAN($C31,$E31,$G31,$I31,$K31,$M31,$O31,$Q31)</f>
        <v>0</v>
      </c>
      <c r="V31" s="1">
        <f>MAX($B31,$D31,$F31,$H31,$J31,$L31,$N31,$P31)</f>
        <v>0</v>
      </c>
      <c r="W31" s="1">
        <f>MAX($C31,$E31,$G31,$I31,$K31,$M31,$O31,$Q31)</f>
        <v>0</v>
      </c>
    </row>
    <row r="32" spans="1:23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/>
      <c r="E32" s="2"/>
      <c r="F32" s="1"/>
      <c r="G32" s="2"/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/>
      <c r="K32" s="2"/>
      <c r="L32" s="1"/>
      <c r="M32" s="2"/>
      <c r="N32" s="1"/>
      <c r="O32" s="2"/>
      <c r="P32" s="1"/>
      <c r="Q32" s="2"/>
      <c r="R32" s="1">
        <f>MIN($B32,$D32,$F32,$H32,$J32,$L32,$N32,$P32)</f>
        <v>0</v>
      </c>
      <c r="S32" s="1">
        <f>MIN($C32,$E32,$G32,$I32,$K32,$M32,$O32,$Q32)</f>
        <v>0</v>
      </c>
      <c r="T32" s="1">
        <f>MEDIAN($B32,$D32,$F32,$H32,$J32,$L32,$N32,$P32)</f>
        <v>0</v>
      </c>
      <c r="U32" s="1">
        <f>MEDIAN($C32,$E32,$G32,$I32,$K32,$M32,$O32,$Q32)</f>
        <v>0</v>
      </c>
      <c r="V32" s="1">
        <f>MAX($B32,$D32,$F32,$H32,$J32,$L32,$N32,$P32)</f>
        <v>0</v>
      </c>
      <c r="W32" s="1">
        <f>MAX($C32,$E32,$G32,$I32,$K32,$M32,$O32,$Q32)</f>
        <v>0</v>
      </c>
    </row>
    <row r="33" spans="1:23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/>
      <c r="E33" s="2"/>
      <c r="F33" s="1"/>
      <c r="G33" s="2"/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/>
      <c r="K33" s="2"/>
      <c r="L33" s="1"/>
      <c r="M33" s="2"/>
      <c r="N33" s="1"/>
      <c r="O33" s="2"/>
      <c r="P33" s="1"/>
      <c r="Q33" s="2"/>
      <c r="R33" s="1">
        <f>MIN($B33,$D33,$F33,$H33,$J33,$L33,$N33,$P33)</f>
        <v>0</v>
      </c>
      <c r="S33" s="1">
        <f>MIN($C33,$E33,$G33,$I33,$K33,$M33,$O33,$Q33)</f>
        <v>0</v>
      </c>
      <c r="T33" s="1">
        <f>MEDIAN($B33,$D33,$F33,$H33,$J33,$L33,$N33,$P33)</f>
        <v>0</v>
      </c>
      <c r="U33" s="1">
        <f>MEDIAN($C33,$E33,$G33,$I33,$K33,$M33,$O33,$Q33)</f>
        <v>0</v>
      </c>
      <c r="V33" s="1">
        <f>MAX($B33,$D33,$F33,$H33,$J33,$L33,$N33,$P33)</f>
        <v>0</v>
      </c>
      <c r="W33" s="1">
        <f>MAX($C33,$E33,$G33,$I33,$K33,$M33,$O33,$Q33)</f>
        <v>0</v>
      </c>
    </row>
    <row r="34" spans="1:23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/>
      <c r="E34" s="2"/>
      <c r="F34" s="1"/>
      <c r="G34" s="2"/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/>
      <c r="K34" s="2"/>
      <c r="L34" s="1"/>
      <c r="M34" s="2"/>
      <c r="N34" s="1"/>
      <c r="O34" s="2"/>
      <c r="P34" s="1"/>
      <c r="Q34" s="2"/>
      <c r="R34" s="1">
        <f>MIN($B34,$D34,$F34,$H34,$J34,$L34,$N34,$P34)</f>
        <v>0</v>
      </c>
      <c r="S34" s="1">
        <f>MIN($C34,$E34,$G34,$I34,$K34,$M34,$O34,$Q34)</f>
        <v>0</v>
      </c>
      <c r="T34" s="1">
        <f>MEDIAN($B34,$D34,$F34,$H34,$J34,$L34,$N34,$P34)</f>
        <v>0</v>
      </c>
      <c r="U34" s="1">
        <f>MEDIAN($C34,$E34,$G34,$I34,$K34,$M34,$O34,$Q34)</f>
        <v>0</v>
      </c>
      <c r="V34" s="1">
        <f>MAX($B34,$D34,$F34,$H34,$J34,$L34,$N34,$P34)</f>
        <v>0</v>
      </c>
      <c r="W34" s="1">
        <f>MAX($C34,$E34,$G34,$I34,$K34,$M34,$O34,$Q34)</f>
        <v>0</v>
      </c>
    </row>
    <row r="35" spans="1:23">
      <c r="A35" s="1" t="s">
        <v>32</v>
      </c>
      <c r="B35" s="1" cm="1">
        <f t="array" ref="B35">_xlfn.SWITCH($A$2,"average", AVERAGE(Instances!B35:Instances!B35),"median", MEDIAN(Instances!B35:Instances!B35),"min", MIN(Instances!B35:Instances!B35),"max", MAX(Instances!B35:Instances!B35),"diff", MAX(Instances!B35:Instances!B35)-MIN(Instances!B35:Instances!B35))</f>
        <v>0</v>
      </c>
      <c r="C35" s="1" cm="1">
        <f t="array" ref="C35">_xlfn.SWITCH($A$2,"average", AVERAGE(Instances!C35:Instances!C35),"median", MEDIAN(Instances!C35:Instances!C35),"min", MIN(Instances!C35:Instances!C35),"max", MAX(Instances!C35:Instances!C35),"diff", MAX(Instances!C35:Instances!C35)-MIN(Instances!C35:Instances!C35))</f>
        <v>0</v>
      </c>
      <c r="D35" s="1"/>
      <c r="E35" s="2"/>
      <c r="F35" s="1"/>
      <c r="G35" s="2"/>
      <c r="H35" s="1" cm="1">
        <f t="array" ref="H35">_xlfn.SWITCH($A$2,"average", AVERAGE(Instances!H35:Instances!H35),"median", MEDIAN(Instances!H35:Instances!H35),"min", MIN(Instances!H35:Instances!H35),"max", MAX(Instances!H35:Instances!H35),"diff", MAX(Instances!H35:Instances!H35)-MIN(Instances!H35:Instances!H35))</f>
        <v>0</v>
      </c>
      <c r="I35" s="1" cm="1">
        <f t="array" ref="I35">_xlfn.SWITCH($A$2,"average", AVERAGE(Instances!I35:Instances!I35),"median", MEDIAN(Instances!I35:Instances!I35),"min", MIN(Instances!I35:Instances!I35),"max", MAX(Instances!I35:Instances!I35),"diff", MAX(Instances!I35:Instances!I35)-MIN(Instances!I35:Instances!I35))</f>
        <v>0</v>
      </c>
      <c r="J35" s="1"/>
      <c r="K35" s="2"/>
      <c r="L35" s="1"/>
      <c r="M35" s="2"/>
      <c r="N35" s="1"/>
      <c r="O35" s="2"/>
      <c r="P35" s="1"/>
      <c r="Q35" s="2"/>
      <c r="R35" s="1">
        <f>MIN($B35,$D35,$F35,$H35,$J35,$L35,$N35,$P35)</f>
        <v>0</v>
      </c>
      <c r="S35" s="1">
        <f>MIN($C35,$E35,$G35,$I35,$K35,$M35,$O35,$Q35)</f>
        <v>0</v>
      </c>
      <c r="T35" s="1">
        <f>MEDIAN($B35,$D35,$F35,$H35,$J35,$L35,$N35,$P35)</f>
        <v>0</v>
      </c>
      <c r="U35" s="1">
        <f>MEDIAN($C35,$E35,$G35,$I35,$K35,$M35,$O35,$Q35)</f>
        <v>0</v>
      </c>
      <c r="V35" s="1">
        <f>MAX($B35,$D35,$F35,$H35,$J35,$L35,$N35,$P35)</f>
        <v>0</v>
      </c>
      <c r="W35" s="1">
        <f>MAX($C35,$E35,$G35,$I35,$K35,$M35,$O35,$Q35)</f>
        <v>0</v>
      </c>
    </row>
    <row r="36" spans="1:23">
      <c r="A36" s="1" t="s">
        <v>33</v>
      </c>
      <c r="B36" s="1" cm="1">
        <f t="array" ref="B36">_xlfn.SWITCH($A$2,"average", AVERAGE(Instances!B36:Instances!B36),"median", MEDIAN(Instances!B36:Instances!B36),"min", MIN(Instances!B36:Instances!B36),"max", MAX(Instances!B36:Instances!B36),"diff", MAX(Instances!B36:Instances!B36)-MIN(Instances!B36:Instances!B36))</f>
        <v>0</v>
      </c>
      <c r="C36" s="1" cm="1">
        <f t="array" ref="C36">_xlfn.SWITCH($A$2,"average", AVERAGE(Instances!C36:Instances!C36),"median", MEDIAN(Instances!C36:Instances!C36),"min", MIN(Instances!C36:Instances!C36),"max", MAX(Instances!C36:Instances!C36),"diff", MAX(Instances!C36:Instances!C36)-MIN(Instances!C36:Instances!C36))</f>
        <v>0</v>
      </c>
      <c r="D36" s="1"/>
      <c r="E36" s="2"/>
      <c r="F36" s="1"/>
      <c r="G36" s="2"/>
      <c r="H36" s="1" cm="1">
        <f t="array" ref="H36">_xlfn.SWITCH($A$2,"average", AVERAGE(Instances!H36:Instances!H36),"median", MEDIAN(Instances!H36:Instances!H36),"min", MIN(Instances!H36:Instances!H36),"max", MAX(Instances!H36:Instances!H36),"diff", MAX(Instances!H36:Instances!H36)-MIN(Instances!H36:Instances!H36))</f>
        <v>0</v>
      </c>
      <c r="I36" s="1" cm="1">
        <f t="array" ref="I36">_xlfn.SWITCH($A$2,"average", AVERAGE(Instances!I36:Instances!I36),"median", MEDIAN(Instances!I36:Instances!I36),"min", MIN(Instances!I36:Instances!I36),"max", MAX(Instances!I36:Instances!I36),"diff", MAX(Instances!I36:Instances!I36)-MIN(Instances!I36:Instances!I36))</f>
        <v>0</v>
      </c>
      <c r="J36" s="1"/>
      <c r="K36" s="2"/>
      <c r="L36" s="1"/>
      <c r="M36" s="2"/>
      <c r="N36" s="1"/>
      <c r="O36" s="2"/>
      <c r="P36" s="1"/>
      <c r="Q36" s="2"/>
      <c r="R36" s="1">
        <f>MIN($B36,$D36,$F36,$H36,$J36,$L36,$N36,$P36)</f>
        <v>0</v>
      </c>
      <c r="S36" s="1">
        <f>MIN($C36,$E36,$G36,$I36,$K36,$M36,$O36,$Q36)</f>
        <v>0</v>
      </c>
      <c r="T36" s="1">
        <f>MEDIAN($B36,$D36,$F36,$H36,$J36,$L36,$N36,$P36)</f>
        <v>0</v>
      </c>
      <c r="U36" s="1">
        <f>MEDIAN($C36,$E36,$G36,$I36,$K36,$M36,$O36,$Q36)</f>
        <v>0</v>
      </c>
      <c r="V36" s="1">
        <f>MAX($B36,$D36,$F36,$H36,$J36,$L36,$N36,$P36)</f>
        <v>0</v>
      </c>
      <c r="W36" s="1">
        <f>MAX($C36,$E36,$G36,$I36,$K36,$M36,$O36,$Q36)</f>
        <v>0</v>
      </c>
    </row>
    <row r="37" spans="1:23">
      <c r="A37" s="1" t="s">
        <v>34</v>
      </c>
      <c r="B37" s="1" cm="1">
        <f t="array" ref="B37">_xlfn.SWITCH($A$2,"average", AVERAGE(Instances!B37:Instances!B37),"median", MEDIAN(Instances!B37:Instances!B37),"min", MIN(Instances!B37:Instances!B37),"max", MAX(Instances!B37:Instances!B37),"diff", MAX(Instances!B37:Instances!B37)-MIN(Instances!B37:Instances!B37))</f>
        <v>0</v>
      </c>
      <c r="C37" s="1" cm="1">
        <f t="array" ref="C37">_xlfn.SWITCH($A$2,"average", AVERAGE(Instances!C37:Instances!C37),"median", MEDIAN(Instances!C37:Instances!C37),"min", MIN(Instances!C37:Instances!C37),"max", MAX(Instances!C37:Instances!C37),"diff", MAX(Instances!C37:Instances!C37)-MIN(Instances!C37:Instances!C37))</f>
        <v>0</v>
      </c>
      <c r="D37" s="1"/>
      <c r="E37" s="2"/>
      <c r="F37" s="1"/>
      <c r="G37" s="2"/>
      <c r="H37" s="1" cm="1">
        <f t="array" ref="H37">_xlfn.SWITCH($A$2,"average", AVERAGE(Instances!H37:Instances!H37),"median", MEDIAN(Instances!H37:Instances!H37),"min", MIN(Instances!H37:Instances!H37),"max", MAX(Instances!H37:Instances!H37),"diff", MAX(Instances!H37:Instances!H37)-MIN(Instances!H37:Instances!H37))</f>
        <v>0</v>
      </c>
      <c r="I37" s="1" cm="1">
        <f t="array" ref="I37">_xlfn.SWITCH($A$2,"average", AVERAGE(Instances!I37:Instances!I37),"median", MEDIAN(Instances!I37:Instances!I37),"min", MIN(Instances!I37:Instances!I37),"max", MAX(Instances!I37:Instances!I37),"diff", MAX(Instances!I37:Instances!I37)-MIN(Instances!I37:Instances!I37))</f>
        <v>0</v>
      </c>
      <c r="J37" s="1"/>
      <c r="K37" s="2"/>
      <c r="L37" s="1"/>
      <c r="M37" s="2"/>
      <c r="N37" s="1"/>
      <c r="O37" s="2"/>
      <c r="P37" s="1"/>
      <c r="Q37" s="2"/>
      <c r="R37" s="1">
        <f>MIN($B37,$D37,$F37,$H37,$J37,$L37,$N37,$P37)</f>
        <v>0</v>
      </c>
      <c r="S37" s="1">
        <f>MIN($C37,$E37,$G37,$I37,$K37,$M37,$O37,$Q37)</f>
        <v>0</v>
      </c>
      <c r="T37" s="1">
        <f>MEDIAN($B37,$D37,$F37,$H37,$J37,$L37,$N37,$P37)</f>
        <v>0</v>
      </c>
      <c r="U37" s="1">
        <f>MEDIAN($C37,$E37,$G37,$I37,$K37,$M37,$O37,$Q37)</f>
        <v>0</v>
      </c>
      <c r="V37" s="1">
        <f>MAX($B37,$D37,$F37,$H37,$J37,$L37,$N37,$P37)</f>
        <v>0</v>
      </c>
      <c r="W37" s="1">
        <f>MAX($C37,$E37,$G37,$I37,$K37,$M37,$O37,$Q37)</f>
        <v>0</v>
      </c>
    </row>
    <row r="38" spans="1:23">
      <c r="A38" s="1" t="s">
        <v>35</v>
      </c>
      <c r="B38" s="1" cm="1">
        <f t="array" ref="B38">_xlfn.SWITCH($A$2,"average", AVERAGE(Instances!B38:Instances!B38),"median", MEDIAN(Instances!B38:Instances!B38),"min", MIN(Instances!B38:Instances!B38),"max", MAX(Instances!B38:Instances!B38),"diff", MAX(Instances!B38:Instances!B38)-MIN(Instances!B38:Instances!B38))</f>
        <v>0</v>
      </c>
      <c r="C38" s="1" cm="1">
        <f t="array" ref="C38">_xlfn.SWITCH($A$2,"average", AVERAGE(Instances!C38:Instances!C38),"median", MEDIAN(Instances!C38:Instances!C38),"min", MIN(Instances!C38:Instances!C38),"max", MAX(Instances!C38:Instances!C38),"diff", MAX(Instances!C38:Instances!C38)-MIN(Instances!C38:Instances!C38))</f>
        <v>0</v>
      </c>
      <c r="D38" s="1"/>
      <c r="E38" s="2"/>
      <c r="F38" s="1"/>
      <c r="G38" s="2"/>
      <c r="H38" s="1" cm="1">
        <f t="array" ref="H38">_xlfn.SWITCH($A$2,"average", AVERAGE(Instances!H38:Instances!H38),"median", MEDIAN(Instances!H38:Instances!H38),"min", MIN(Instances!H38:Instances!H38),"max", MAX(Instances!H38:Instances!H38),"diff", MAX(Instances!H38:Instances!H38)-MIN(Instances!H38:Instances!H38))</f>
        <v>0</v>
      </c>
      <c r="I38" s="1" cm="1">
        <f t="array" ref="I38">_xlfn.SWITCH($A$2,"average", AVERAGE(Instances!I38:Instances!I38),"median", MEDIAN(Instances!I38:Instances!I38),"min", MIN(Instances!I38:Instances!I38),"max", MAX(Instances!I38:Instances!I38),"diff", MAX(Instances!I38:Instances!I38)-MIN(Instances!I38:Instances!I38))</f>
        <v>0</v>
      </c>
      <c r="J38" s="1"/>
      <c r="K38" s="2"/>
      <c r="L38" s="1"/>
      <c r="M38" s="2"/>
      <c r="N38" s="1"/>
      <c r="O38" s="2"/>
      <c r="P38" s="1"/>
      <c r="Q38" s="2"/>
      <c r="R38" s="1">
        <f>MIN($B38,$D38,$F38,$H38,$J38,$L38,$N38,$P38)</f>
        <v>0</v>
      </c>
      <c r="S38" s="1">
        <f>MIN($C38,$E38,$G38,$I38,$K38,$M38,$O38,$Q38)</f>
        <v>0</v>
      </c>
      <c r="T38" s="1">
        <f>MEDIAN($B38,$D38,$F38,$H38,$J38,$L38,$N38,$P38)</f>
        <v>0</v>
      </c>
      <c r="U38" s="1">
        <f>MEDIAN($C38,$E38,$G38,$I38,$K38,$M38,$O38,$Q38)</f>
        <v>0</v>
      </c>
      <c r="V38" s="1">
        <f>MAX($B38,$D38,$F38,$H38,$J38,$L38,$N38,$P38)</f>
        <v>0</v>
      </c>
      <c r="W38" s="1">
        <f>MAX($C38,$E38,$G38,$I38,$K38,$M38,$O38,$Q38)</f>
        <v>0</v>
      </c>
    </row>
    <row r="39" spans="1:23">
      <c r="A39" s="1" t="s">
        <v>36</v>
      </c>
      <c r="B39" s="1" cm="1">
        <f t="array" ref="B39">_xlfn.SWITCH($A$2,"average", AVERAGE(Instances!B39:Instances!B39),"median", MEDIAN(Instances!B39:Instances!B39),"min", MIN(Instances!B39:Instances!B39),"max", MAX(Instances!B39:Instances!B39),"diff", MAX(Instances!B39:Instances!B39)-MIN(Instances!B39:Instances!B39))</f>
        <v>0</v>
      </c>
      <c r="C39" s="1" cm="1">
        <f t="array" ref="C39">_xlfn.SWITCH($A$2,"average", AVERAGE(Instances!C39:Instances!C39),"median", MEDIAN(Instances!C39:Instances!C39),"min", MIN(Instances!C39:Instances!C39),"max", MAX(Instances!C39:Instances!C39),"diff", MAX(Instances!C39:Instances!C39)-MIN(Instances!C39:Instances!C39))</f>
        <v>0</v>
      </c>
      <c r="D39" s="1"/>
      <c r="E39" s="2"/>
      <c r="F39" s="1"/>
      <c r="G39" s="2"/>
      <c r="H39" s="1" cm="1">
        <f t="array" ref="H39">_xlfn.SWITCH($A$2,"average", AVERAGE(Instances!H39:Instances!H39),"median", MEDIAN(Instances!H39:Instances!H39),"min", MIN(Instances!H39:Instances!H39),"max", MAX(Instances!H39:Instances!H39),"diff", MAX(Instances!H39:Instances!H39)-MIN(Instances!H39:Instances!H39))</f>
        <v>0</v>
      </c>
      <c r="I39" s="1" cm="1">
        <f t="array" ref="I39">_xlfn.SWITCH($A$2,"average", AVERAGE(Instances!I39:Instances!I39),"median", MEDIAN(Instances!I39:Instances!I39),"min", MIN(Instances!I39:Instances!I39),"max", MAX(Instances!I39:Instances!I39),"diff", MAX(Instances!I39:Instances!I39)-MIN(Instances!I39:Instances!I39))</f>
        <v>0</v>
      </c>
      <c r="J39" s="1"/>
      <c r="K39" s="2"/>
      <c r="L39" s="1"/>
      <c r="M39" s="2"/>
      <c r="N39" s="1"/>
      <c r="O39" s="2"/>
      <c r="P39" s="1"/>
      <c r="Q39" s="2"/>
      <c r="R39" s="1">
        <f>MIN($B39,$D39,$F39,$H39,$J39,$L39,$N39,$P39)</f>
        <v>0</v>
      </c>
      <c r="S39" s="1">
        <f>MIN($C39,$E39,$G39,$I39,$K39,$M39,$O39,$Q39)</f>
        <v>0</v>
      </c>
      <c r="T39" s="1">
        <f>MEDIAN($B39,$D39,$F39,$H39,$J39,$L39,$N39,$P39)</f>
        <v>0</v>
      </c>
      <c r="U39" s="1">
        <f>MEDIAN($C39,$E39,$G39,$I39,$K39,$M39,$O39,$Q39)</f>
        <v>0</v>
      </c>
      <c r="V39" s="1">
        <f>MAX($B39,$D39,$F39,$H39,$J39,$L39,$N39,$P39)</f>
        <v>0</v>
      </c>
      <c r="W39" s="1">
        <f>MAX($C39,$E39,$G39,$I39,$K39,$M39,$O39,$Q39)</f>
        <v>0</v>
      </c>
    </row>
    <row r="40" spans="1:23">
      <c r="A40" s="1" t="s">
        <v>37</v>
      </c>
      <c r="B40" s="1" cm="1">
        <f t="array" ref="B40">_xlfn.SWITCH($A$2,"average", AVERAGE(Instances!B40:Instances!B40),"median", MEDIAN(Instances!B40:Instances!B40),"min", MIN(Instances!B40:Instances!B40),"max", MAX(Instances!B40:Instances!B40),"diff", MAX(Instances!B40:Instances!B40)-MIN(Instances!B40:Instances!B40))</f>
        <v>0</v>
      </c>
      <c r="C40" s="1" cm="1">
        <f t="array" ref="C40">_xlfn.SWITCH($A$2,"average", AVERAGE(Instances!C40:Instances!C40),"median", MEDIAN(Instances!C40:Instances!C40),"min", MIN(Instances!C40:Instances!C40),"max", MAX(Instances!C40:Instances!C40),"diff", MAX(Instances!C40:Instances!C40)-MIN(Instances!C40:Instances!C40))</f>
        <v>0</v>
      </c>
      <c r="D40" s="1"/>
      <c r="E40" s="2"/>
      <c r="F40" s="1"/>
      <c r="G40" s="2"/>
      <c r="H40" s="1" cm="1">
        <f t="array" ref="H40">_xlfn.SWITCH($A$2,"average", AVERAGE(Instances!H40:Instances!H40),"median", MEDIAN(Instances!H40:Instances!H40),"min", MIN(Instances!H40:Instances!H40),"max", MAX(Instances!H40:Instances!H40),"diff", MAX(Instances!H40:Instances!H40)-MIN(Instances!H40:Instances!H40))</f>
        <v>0</v>
      </c>
      <c r="I40" s="1" cm="1">
        <f t="array" ref="I40">_xlfn.SWITCH($A$2,"average", AVERAGE(Instances!I40:Instances!I40),"median", MEDIAN(Instances!I40:Instances!I40),"min", MIN(Instances!I40:Instances!I40),"max", MAX(Instances!I40:Instances!I40),"diff", MAX(Instances!I40:Instances!I40)-MIN(Instances!I40:Instances!I40))</f>
        <v>0</v>
      </c>
      <c r="J40" s="1"/>
      <c r="K40" s="2"/>
      <c r="L40" s="1"/>
      <c r="M40" s="2"/>
      <c r="N40" s="1"/>
      <c r="O40" s="2"/>
      <c r="P40" s="1"/>
      <c r="Q40" s="2"/>
      <c r="R40" s="1">
        <f>MIN($B40,$D40,$F40,$H40,$J40,$L40,$N40,$P40)</f>
        <v>0</v>
      </c>
      <c r="S40" s="1">
        <f>MIN($C40,$E40,$G40,$I40,$K40,$M40,$O40,$Q40)</f>
        <v>0</v>
      </c>
      <c r="T40" s="1">
        <f>MEDIAN($B40,$D40,$F40,$H40,$J40,$L40,$N40,$P40)</f>
        <v>0</v>
      </c>
      <c r="U40" s="1">
        <f>MEDIAN($C40,$E40,$G40,$I40,$K40,$M40,$O40,$Q40)</f>
        <v>0</v>
      </c>
      <c r="V40" s="1">
        <f>MAX($B40,$D40,$F40,$H40,$J40,$L40,$N40,$P40)</f>
        <v>0</v>
      </c>
      <c r="W40" s="1">
        <f>MAX($C40,$E40,$G40,$I40,$K40,$M40,$O40,$Q40)</f>
        <v>0</v>
      </c>
    </row>
    <row r="41" spans="1:23">
      <c r="A41" s="1" t="s">
        <v>38</v>
      </c>
      <c r="B41" s="1" cm="1">
        <f t="array" ref="B41">_xlfn.SWITCH($A$2,"average", AVERAGE(Instances!B41:Instances!B41),"median", MEDIAN(Instances!B41:Instances!B41),"min", MIN(Instances!B41:Instances!B41),"max", MAX(Instances!B41:Instances!B41),"diff", MAX(Instances!B41:Instances!B41)-MIN(Instances!B41:Instances!B41))</f>
        <v>0</v>
      </c>
      <c r="C41" s="1" cm="1">
        <f t="array" ref="C41">_xlfn.SWITCH($A$2,"average", AVERAGE(Instances!C41:Instances!C41),"median", MEDIAN(Instances!C41:Instances!C41),"min", MIN(Instances!C41:Instances!C41),"max", MAX(Instances!C41:Instances!C41),"diff", MAX(Instances!C41:Instances!C41)-MIN(Instances!C41:Instances!C41))</f>
        <v>0</v>
      </c>
      <c r="D41" s="1"/>
      <c r="E41" s="2"/>
      <c r="F41" s="1"/>
      <c r="G41" s="2"/>
      <c r="H41" s="1" cm="1">
        <f t="array" ref="H41">_xlfn.SWITCH($A$2,"average", AVERAGE(Instances!H41:Instances!H41),"median", MEDIAN(Instances!H41:Instances!H41),"min", MIN(Instances!H41:Instances!H41),"max", MAX(Instances!H41:Instances!H41),"diff", MAX(Instances!H41:Instances!H41)-MIN(Instances!H41:Instances!H41))</f>
        <v>0</v>
      </c>
      <c r="I41" s="1" cm="1">
        <f t="array" ref="I41">_xlfn.SWITCH($A$2,"average", AVERAGE(Instances!I41:Instances!I41),"median", MEDIAN(Instances!I41:Instances!I41),"min", MIN(Instances!I41:Instances!I41),"max", MAX(Instances!I41:Instances!I41),"diff", MAX(Instances!I41:Instances!I41)-MIN(Instances!I41:Instances!I41))</f>
        <v>0</v>
      </c>
      <c r="J41" s="1"/>
      <c r="K41" s="2"/>
      <c r="L41" s="1"/>
      <c r="M41" s="2"/>
      <c r="N41" s="1"/>
      <c r="O41" s="2"/>
      <c r="P41" s="1"/>
      <c r="Q41" s="2"/>
      <c r="R41" s="1">
        <f>MIN($B41,$D41,$F41,$H41,$J41,$L41,$N41,$P41)</f>
        <v>0</v>
      </c>
      <c r="S41" s="1">
        <f>MIN($C41,$E41,$G41,$I41,$K41,$M41,$O41,$Q41)</f>
        <v>0</v>
      </c>
      <c r="T41" s="1">
        <f>MEDIAN($B41,$D41,$F41,$H41,$J41,$L41,$N41,$P41)</f>
        <v>0</v>
      </c>
      <c r="U41" s="1">
        <f>MEDIAN($C41,$E41,$G41,$I41,$K41,$M41,$O41,$Q41)</f>
        <v>0</v>
      </c>
      <c r="V41" s="1">
        <f>MAX($B41,$D41,$F41,$H41,$J41,$L41,$N41,$P41)</f>
        <v>0</v>
      </c>
      <c r="W41" s="1">
        <f>MAX($C41,$E41,$G41,$I41,$K41,$M41,$O41,$Q41)</f>
        <v>0</v>
      </c>
    </row>
    <row r="42" spans="1:23">
      <c r="A42" s="1" t="s">
        <v>39</v>
      </c>
      <c r="B42" s="1" cm="1">
        <f t="array" ref="B42">_xlfn.SWITCH($A$2,"average", AVERAGE(Instances!B42:Instances!B42),"median", MEDIAN(Instances!B42:Instances!B42),"min", MIN(Instances!B42:Instances!B42),"max", MAX(Instances!B42:Instances!B42),"diff", MAX(Instances!B42:Instances!B42)-MIN(Instances!B42:Instances!B42))</f>
        <v>0</v>
      </c>
      <c r="C42" s="1" cm="1">
        <f t="array" ref="C42">_xlfn.SWITCH($A$2,"average", AVERAGE(Instances!C42:Instances!C42),"median", MEDIAN(Instances!C42:Instances!C42),"min", MIN(Instances!C42:Instances!C42),"max", MAX(Instances!C42:Instances!C42),"diff", MAX(Instances!C42:Instances!C42)-MIN(Instances!C42:Instances!C42))</f>
        <v>0</v>
      </c>
      <c r="D42" s="1"/>
      <c r="E42" s="2"/>
      <c r="F42" s="1"/>
      <c r="G42" s="2"/>
      <c r="H42" s="1" cm="1">
        <f t="array" ref="H42">_xlfn.SWITCH($A$2,"average", AVERAGE(Instances!H42:Instances!H42),"median", MEDIAN(Instances!H42:Instances!H42),"min", MIN(Instances!H42:Instances!H42),"max", MAX(Instances!H42:Instances!H42),"diff", MAX(Instances!H42:Instances!H42)-MIN(Instances!H42:Instances!H42))</f>
        <v>0</v>
      </c>
      <c r="I42" s="1" cm="1">
        <f t="array" ref="I42">_xlfn.SWITCH($A$2,"average", AVERAGE(Instances!I42:Instances!I42),"median", MEDIAN(Instances!I42:Instances!I42),"min", MIN(Instances!I42:Instances!I42),"max", MAX(Instances!I42:Instances!I42),"diff", MAX(Instances!I42:Instances!I42)-MIN(Instances!I42:Instances!I42))</f>
        <v>0</v>
      </c>
      <c r="J42" s="1"/>
      <c r="K42" s="2"/>
      <c r="L42" s="1"/>
      <c r="M42" s="2"/>
      <c r="N42" s="1"/>
      <c r="O42" s="2"/>
      <c r="P42" s="1"/>
      <c r="Q42" s="2"/>
      <c r="R42" s="1">
        <f>MIN($B42,$D42,$F42,$H42,$J42,$L42,$N42,$P42)</f>
        <v>0</v>
      </c>
      <c r="S42" s="1">
        <f>MIN($C42,$E42,$G42,$I42,$K42,$M42,$O42,$Q42)</f>
        <v>0</v>
      </c>
      <c r="T42" s="1">
        <f>MEDIAN($B42,$D42,$F42,$H42,$J42,$L42,$N42,$P42)</f>
        <v>0</v>
      </c>
      <c r="U42" s="1">
        <f>MEDIAN($C42,$E42,$G42,$I42,$K42,$M42,$O42,$Q42)</f>
        <v>0</v>
      </c>
      <c r="V42" s="1">
        <f>MAX($B42,$D42,$F42,$H42,$J42,$L42,$N42,$P42)</f>
        <v>0</v>
      </c>
      <c r="W42" s="1">
        <f>MAX($C42,$E42,$G42,$I42,$K42,$M42,$O42,$Q42)</f>
        <v>0</v>
      </c>
    </row>
    <row r="43" spans="1:23">
      <c r="A43" s="1" t="s">
        <v>40</v>
      </c>
      <c r="B43" s="1" cm="1">
        <f t="array" ref="B43">_xlfn.SWITCH($A$2,"average", AVERAGE(Instances!B43:Instances!B43),"median", MEDIAN(Instances!B43:Instances!B43),"min", MIN(Instances!B43:Instances!B43),"max", MAX(Instances!B43:Instances!B43),"diff", MAX(Instances!B43:Instances!B43)-MIN(Instances!B43:Instances!B43))</f>
        <v>0</v>
      </c>
      <c r="C43" s="1" cm="1">
        <f t="array" ref="C43">_xlfn.SWITCH($A$2,"average", AVERAGE(Instances!C43:Instances!C43),"median", MEDIAN(Instances!C43:Instances!C43),"min", MIN(Instances!C43:Instances!C43),"max", MAX(Instances!C43:Instances!C43),"diff", MAX(Instances!C43:Instances!C43)-MIN(Instances!C43:Instances!C43))</f>
        <v>0</v>
      </c>
      <c r="D43" s="1"/>
      <c r="E43" s="2"/>
      <c r="F43" s="1"/>
      <c r="G43" s="2"/>
      <c r="H43" s="1" cm="1">
        <f t="array" ref="H43">_xlfn.SWITCH($A$2,"average", AVERAGE(Instances!H43:Instances!H43),"median", MEDIAN(Instances!H43:Instances!H43),"min", MIN(Instances!H43:Instances!H43),"max", MAX(Instances!H43:Instances!H43),"diff", MAX(Instances!H43:Instances!H43)-MIN(Instances!H43:Instances!H43))</f>
        <v>0</v>
      </c>
      <c r="I43" s="1" cm="1">
        <f t="array" ref="I43">_xlfn.SWITCH($A$2,"average", AVERAGE(Instances!I43:Instances!I43),"median", MEDIAN(Instances!I43:Instances!I43),"min", MIN(Instances!I43:Instances!I43),"max", MAX(Instances!I43:Instances!I43),"diff", MAX(Instances!I43:Instances!I43)-MIN(Instances!I43:Instances!I43))</f>
        <v>0</v>
      </c>
      <c r="J43" s="1"/>
      <c r="K43" s="2"/>
      <c r="L43" s="1"/>
      <c r="M43" s="2"/>
      <c r="N43" s="1"/>
      <c r="O43" s="2"/>
      <c r="P43" s="1"/>
      <c r="Q43" s="2"/>
      <c r="R43" s="1">
        <f>MIN($B43,$D43,$F43,$H43,$J43,$L43,$N43,$P43)</f>
        <v>0</v>
      </c>
      <c r="S43" s="1">
        <f>MIN($C43,$E43,$G43,$I43,$K43,$M43,$O43,$Q43)</f>
        <v>0</v>
      </c>
      <c r="T43" s="1">
        <f>MEDIAN($B43,$D43,$F43,$H43,$J43,$L43,$N43,$P43)</f>
        <v>0</v>
      </c>
      <c r="U43" s="1">
        <f>MEDIAN($C43,$E43,$G43,$I43,$K43,$M43,$O43,$Q43)</f>
        <v>0</v>
      </c>
      <c r="V43" s="1">
        <f>MAX($B43,$D43,$F43,$H43,$J43,$L43,$N43,$P43)</f>
        <v>0</v>
      </c>
      <c r="W43" s="1">
        <f>MAX($C43,$E43,$G43,$I43,$K43,$M43,$O43,$Q43)</f>
        <v>0</v>
      </c>
    </row>
    <row r="44" spans="1:23">
      <c r="A44" s="1" t="s">
        <v>41</v>
      </c>
      <c r="B44" s="1" cm="1">
        <f t="array" ref="B44">_xlfn.SWITCH($A$2,"average", AVERAGE(Instances!B44:Instances!B44),"median", MEDIAN(Instances!B44:Instances!B44),"min", MIN(Instances!B44:Instances!B44),"max", MAX(Instances!B44:Instances!B44),"diff", MAX(Instances!B44:Instances!B44)-MIN(Instances!B44:Instances!B44))</f>
        <v>0</v>
      </c>
      <c r="C44" s="1" cm="1">
        <f t="array" ref="C44">_xlfn.SWITCH($A$2,"average", AVERAGE(Instances!C44:Instances!C44),"median", MEDIAN(Instances!C44:Instances!C44),"min", MIN(Instances!C44:Instances!C44),"max", MAX(Instances!C44:Instances!C44),"diff", MAX(Instances!C44:Instances!C44)-MIN(Instances!C44:Instances!C44))</f>
        <v>0</v>
      </c>
      <c r="D44" s="1"/>
      <c r="E44" s="2"/>
      <c r="F44" s="1"/>
      <c r="G44" s="2"/>
      <c r="H44" s="1" cm="1">
        <f t="array" ref="H44">_xlfn.SWITCH($A$2,"average", AVERAGE(Instances!H44:Instances!H44),"median", MEDIAN(Instances!H44:Instances!H44),"min", MIN(Instances!H44:Instances!H44),"max", MAX(Instances!H44:Instances!H44),"diff", MAX(Instances!H44:Instances!H44)-MIN(Instances!H44:Instances!H44))</f>
        <v>0</v>
      </c>
      <c r="I44" s="1" cm="1">
        <f t="array" ref="I44">_xlfn.SWITCH($A$2,"average", AVERAGE(Instances!I44:Instances!I44),"median", MEDIAN(Instances!I44:Instances!I44),"min", MIN(Instances!I44:Instances!I44),"max", MAX(Instances!I44:Instances!I44),"diff", MAX(Instances!I44:Instances!I44)-MIN(Instances!I44:Instances!I44))</f>
        <v>0</v>
      </c>
      <c r="J44" s="1"/>
      <c r="K44" s="2"/>
      <c r="L44" s="1"/>
      <c r="M44" s="2"/>
      <c r="N44" s="1"/>
      <c r="O44" s="2"/>
      <c r="P44" s="1"/>
      <c r="Q44" s="2"/>
      <c r="R44" s="1">
        <f>MIN($B44,$D44,$F44,$H44,$J44,$L44,$N44,$P44)</f>
        <v>0</v>
      </c>
      <c r="S44" s="1">
        <f>MIN($C44,$E44,$G44,$I44,$K44,$M44,$O44,$Q44)</f>
        <v>0</v>
      </c>
      <c r="T44" s="1">
        <f>MEDIAN($B44,$D44,$F44,$H44,$J44,$L44,$N44,$P44)</f>
        <v>0</v>
      </c>
      <c r="U44" s="1">
        <f>MEDIAN($C44,$E44,$G44,$I44,$K44,$M44,$O44,$Q44)</f>
        <v>0</v>
      </c>
      <c r="V44" s="1">
        <f>MAX($B44,$D44,$F44,$H44,$J44,$L44,$N44,$P44)</f>
        <v>0</v>
      </c>
      <c r="W44" s="1">
        <f>MAX($C44,$E44,$G44,$I44,$K44,$M44,$O44,$Q44)</f>
        <v>0</v>
      </c>
    </row>
    <row r="45" spans="1:23">
      <c r="A45" s="1" t="s">
        <v>42</v>
      </c>
      <c r="B45" s="1" cm="1">
        <f t="array" ref="B45">_xlfn.SWITCH($A$2,"average", AVERAGE(Instances!B45:Instances!B45),"median", MEDIAN(Instances!B45:Instances!B45),"min", MIN(Instances!B45:Instances!B45),"max", MAX(Instances!B45:Instances!B45),"diff", MAX(Instances!B45:Instances!B45)-MIN(Instances!B45:Instances!B45))</f>
        <v>0</v>
      </c>
      <c r="C45" s="1" cm="1">
        <f t="array" ref="C45">_xlfn.SWITCH($A$2,"average", AVERAGE(Instances!C45:Instances!C45),"median", MEDIAN(Instances!C45:Instances!C45),"min", MIN(Instances!C45:Instances!C45),"max", MAX(Instances!C45:Instances!C45),"diff", MAX(Instances!C45:Instances!C45)-MIN(Instances!C45:Instances!C45))</f>
        <v>0</v>
      </c>
      <c r="D45" s="1"/>
      <c r="E45" s="2"/>
      <c r="F45" s="1"/>
      <c r="G45" s="2"/>
      <c r="H45" s="1" cm="1">
        <f t="array" ref="H45">_xlfn.SWITCH($A$2,"average", AVERAGE(Instances!H45:Instances!H45),"median", MEDIAN(Instances!H45:Instances!H45),"min", MIN(Instances!H45:Instances!H45),"max", MAX(Instances!H45:Instances!H45),"diff", MAX(Instances!H45:Instances!H45)-MIN(Instances!H45:Instances!H45))</f>
        <v>0</v>
      </c>
      <c r="I45" s="1" cm="1">
        <f t="array" ref="I45">_xlfn.SWITCH($A$2,"average", AVERAGE(Instances!I45:Instances!I45),"median", MEDIAN(Instances!I45:Instances!I45),"min", MIN(Instances!I45:Instances!I45),"max", MAX(Instances!I45:Instances!I45),"diff", MAX(Instances!I45:Instances!I45)-MIN(Instances!I45:Instances!I45))</f>
        <v>0</v>
      </c>
      <c r="J45" s="1"/>
      <c r="K45" s="2"/>
      <c r="L45" s="1"/>
      <c r="M45" s="2"/>
      <c r="N45" s="1"/>
      <c r="O45" s="2"/>
      <c r="P45" s="1"/>
      <c r="Q45" s="2"/>
      <c r="R45" s="1">
        <f>MIN($B45,$D45,$F45,$H45,$J45,$L45,$N45,$P45)</f>
        <v>0</v>
      </c>
      <c r="S45" s="1">
        <f>MIN($C45,$E45,$G45,$I45,$K45,$M45,$O45,$Q45)</f>
        <v>0</v>
      </c>
      <c r="T45" s="1">
        <f>MEDIAN($B45,$D45,$F45,$H45,$J45,$L45,$N45,$P45)</f>
        <v>0</v>
      </c>
      <c r="U45" s="1">
        <f>MEDIAN($C45,$E45,$G45,$I45,$K45,$M45,$O45,$Q45)</f>
        <v>0</v>
      </c>
      <c r="V45" s="1">
        <f>MAX($B45,$D45,$F45,$H45,$J45,$L45,$N45,$P45)</f>
        <v>0</v>
      </c>
      <c r="W45" s="1">
        <f>MAX($C45,$E45,$G45,$I45,$K45,$M45,$O45,$Q45)</f>
        <v>0</v>
      </c>
    </row>
    <row r="46" spans="1:23">
      <c r="A46" s="1" t="s">
        <v>43</v>
      </c>
      <c r="B46" s="1" cm="1">
        <f t="array" ref="B46">_xlfn.SWITCH($A$2,"average", AVERAGE(Instances!B46:Instances!B46),"median", MEDIAN(Instances!B46:Instances!B46),"min", MIN(Instances!B46:Instances!B46),"max", MAX(Instances!B46:Instances!B46),"diff", MAX(Instances!B46:Instances!B46)-MIN(Instances!B46:Instances!B46))</f>
        <v>0</v>
      </c>
      <c r="C46" s="1" cm="1">
        <f t="array" ref="C46">_xlfn.SWITCH($A$2,"average", AVERAGE(Instances!C46:Instances!C46),"median", MEDIAN(Instances!C46:Instances!C46),"min", MIN(Instances!C46:Instances!C46),"max", MAX(Instances!C46:Instances!C46),"diff", MAX(Instances!C46:Instances!C46)-MIN(Instances!C46:Instances!C46))</f>
        <v>0</v>
      </c>
      <c r="D46" s="1"/>
      <c r="E46" s="2"/>
      <c r="F46" s="1"/>
      <c r="G46" s="2"/>
      <c r="H46" s="1" cm="1">
        <f t="array" ref="H46">_xlfn.SWITCH($A$2,"average", AVERAGE(Instances!H46:Instances!H46),"median", MEDIAN(Instances!H46:Instances!H46),"min", MIN(Instances!H46:Instances!H46),"max", MAX(Instances!H46:Instances!H46),"diff", MAX(Instances!H46:Instances!H46)-MIN(Instances!H46:Instances!H46))</f>
        <v>0</v>
      </c>
      <c r="I46" s="1" cm="1">
        <f t="array" ref="I46">_xlfn.SWITCH($A$2,"average", AVERAGE(Instances!I46:Instances!I46),"median", MEDIAN(Instances!I46:Instances!I46),"min", MIN(Instances!I46:Instances!I46),"max", MAX(Instances!I46:Instances!I46),"diff", MAX(Instances!I46:Instances!I46)-MIN(Instances!I46:Instances!I46))</f>
        <v>0</v>
      </c>
      <c r="J46" s="1"/>
      <c r="K46" s="2"/>
      <c r="L46" s="1"/>
      <c r="M46" s="2"/>
      <c r="N46" s="1"/>
      <c r="O46" s="2"/>
      <c r="P46" s="1"/>
      <c r="Q46" s="2"/>
      <c r="R46" s="1">
        <f>MIN($B46,$D46,$F46,$H46,$J46,$L46,$N46,$P46)</f>
        <v>0</v>
      </c>
      <c r="S46" s="1">
        <f>MIN($C46,$E46,$G46,$I46,$K46,$M46,$O46,$Q46)</f>
        <v>0</v>
      </c>
      <c r="T46" s="1">
        <f>MEDIAN($B46,$D46,$F46,$H46,$J46,$L46,$N46,$P46)</f>
        <v>0</v>
      </c>
      <c r="U46" s="1">
        <f>MEDIAN($C46,$E46,$G46,$I46,$K46,$M46,$O46,$Q46)</f>
        <v>0</v>
      </c>
      <c r="V46" s="1">
        <f>MAX($B46,$D46,$F46,$H46,$J46,$L46,$N46,$P46)</f>
        <v>0</v>
      </c>
      <c r="W46" s="1">
        <f>MAX($C46,$E46,$G46,$I46,$K46,$M46,$O46,$Q46)</f>
        <v>0</v>
      </c>
    </row>
    <row r="47" spans="1:23">
      <c r="A47" s="1" t="s">
        <v>44</v>
      </c>
      <c r="B47" s="1" cm="1">
        <f t="array" ref="B47">_xlfn.SWITCH($A$2,"average", AVERAGE(Instances!B47:Instances!B47),"median", MEDIAN(Instances!B47:Instances!B47),"min", MIN(Instances!B47:Instances!B47),"max", MAX(Instances!B47:Instances!B47),"diff", MAX(Instances!B47:Instances!B47)-MIN(Instances!B47:Instances!B47))</f>
        <v>0</v>
      </c>
      <c r="C47" s="1" cm="1">
        <f t="array" ref="C47">_xlfn.SWITCH($A$2,"average", AVERAGE(Instances!C47:Instances!C47),"median", MEDIAN(Instances!C47:Instances!C47),"min", MIN(Instances!C47:Instances!C47),"max", MAX(Instances!C47:Instances!C47),"diff", MAX(Instances!C47:Instances!C47)-MIN(Instances!C47:Instances!C47))</f>
        <v>0</v>
      </c>
      <c r="D47" s="1"/>
      <c r="E47" s="2"/>
      <c r="F47" s="1"/>
      <c r="G47" s="2"/>
      <c r="H47" s="1" cm="1">
        <f t="array" ref="H47">_xlfn.SWITCH($A$2,"average", AVERAGE(Instances!H47:Instances!H47),"median", MEDIAN(Instances!H47:Instances!H47),"min", MIN(Instances!H47:Instances!H47),"max", MAX(Instances!H47:Instances!H47),"diff", MAX(Instances!H47:Instances!H47)-MIN(Instances!H47:Instances!H47))</f>
        <v>0</v>
      </c>
      <c r="I47" s="1" cm="1">
        <f t="array" ref="I47">_xlfn.SWITCH($A$2,"average", AVERAGE(Instances!I47:Instances!I47),"median", MEDIAN(Instances!I47:Instances!I47),"min", MIN(Instances!I47:Instances!I47),"max", MAX(Instances!I47:Instances!I47),"diff", MAX(Instances!I47:Instances!I47)-MIN(Instances!I47:Instances!I47))</f>
        <v>0</v>
      </c>
      <c r="J47" s="1"/>
      <c r="K47" s="2"/>
      <c r="L47" s="1"/>
      <c r="M47" s="2"/>
      <c r="N47" s="1"/>
      <c r="O47" s="2"/>
      <c r="P47" s="1"/>
      <c r="Q47" s="2"/>
      <c r="R47" s="1">
        <f>MIN($B47,$D47,$F47,$H47,$J47,$L47,$N47,$P47)</f>
        <v>0</v>
      </c>
      <c r="S47" s="1">
        <f>MIN($C47,$E47,$G47,$I47,$K47,$M47,$O47,$Q47)</f>
        <v>0</v>
      </c>
      <c r="T47" s="1">
        <f>MEDIAN($B47,$D47,$F47,$H47,$J47,$L47,$N47,$P47)</f>
        <v>0</v>
      </c>
      <c r="U47" s="1">
        <f>MEDIAN($C47,$E47,$G47,$I47,$K47,$M47,$O47,$Q47)</f>
        <v>0</v>
      </c>
      <c r="V47" s="1">
        <f>MAX($B47,$D47,$F47,$H47,$J47,$L47,$N47,$P47)</f>
        <v>0</v>
      </c>
      <c r="W47" s="1">
        <f>MAX($C47,$E47,$G47,$I47,$K47,$M47,$O47,$Q47)</f>
        <v>0</v>
      </c>
    </row>
    <row r="48" spans="1:23">
      <c r="A48" s="1" t="s">
        <v>45</v>
      </c>
      <c r="B48" s="1" cm="1">
        <f t="array" ref="B48">_xlfn.SWITCH($A$2,"average", AVERAGE(Instances!B48:Instances!B48),"median", MEDIAN(Instances!B48:Instances!B48),"min", MIN(Instances!B48:Instances!B48),"max", MAX(Instances!B48:Instances!B48),"diff", MAX(Instances!B48:Instances!B48)-MIN(Instances!B48:Instances!B48))</f>
        <v>0</v>
      </c>
      <c r="C48" s="1" cm="1">
        <f t="array" ref="C48">_xlfn.SWITCH($A$2,"average", AVERAGE(Instances!C48:Instances!C48),"median", MEDIAN(Instances!C48:Instances!C48),"min", MIN(Instances!C48:Instances!C48),"max", MAX(Instances!C48:Instances!C48),"diff", MAX(Instances!C48:Instances!C48)-MIN(Instances!C48:Instances!C48))</f>
        <v>0</v>
      </c>
      <c r="D48" s="1"/>
      <c r="E48" s="2"/>
      <c r="F48" s="1"/>
      <c r="G48" s="2"/>
      <c r="H48" s="1" cm="1">
        <f t="array" ref="H48">_xlfn.SWITCH($A$2,"average", AVERAGE(Instances!H48:Instances!H48),"median", MEDIAN(Instances!H48:Instances!H48),"min", MIN(Instances!H48:Instances!H48),"max", MAX(Instances!H48:Instances!H48),"diff", MAX(Instances!H48:Instances!H48)-MIN(Instances!H48:Instances!H48))</f>
        <v>0</v>
      </c>
      <c r="I48" s="1" cm="1">
        <f t="array" ref="I48">_xlfn.SWITCH($A$2,"average", AVERAGE(Instances!I48:Instances!I48),"median", MEDIAN(Instances!I48:Instances!I48),"min", MIN(Instances!I48:Instances!I48),"max", MAX(Instances!I48:Instances!I48),"diff", MAX(Instances!I48:Instances!I48)-MIN(Instances!I48:Instances!I48))</f>
        <v>0</v>
      </c>
      <c r="J48" s="1"/>
      <c r="K48" s="2"/>
      <c r="L48" s="1"/>
      <c r="M48" s="2"/>
      <c r="N48" s="1"/>
      <c r="O48" s="2"/>
      <c r="P48" s="1"/>
      <c r="Q48" s="2"/>
      <c r="R48" s="1">
        <f>MIN($B48,$D48,$F48,$H48,$J48,$L48,$N48,$P48)</f>
        <v>0</v>
      </c>
      <c r="S48" s="1">
        <f>MIN($C48,$E48,$G48,$I48,$K48,$M48,$O48,$Q48)</f>
        <v>0</v>
      </c>
      <c r="T48" s="1">
        <f>MEDIAN($B48,$D48,$F48,$H48,$J48,$L48,$N48,$P48)</f>
        <v>0</v>
      </c>
      <c r="U48" s="1">
        <f>MEDIAN($C48,$E48,$G48,$I48,$K48,$M48,$O48,$Q48)</f>
        <v>0</v>
      </c>
      <c r="V48" s="1">
        <f>MAX($B48,$D48,$F48,$H48,$J48,$L48,$N48,$P48)</f>
        <v>0</v>
      </c>
      <c r="W48" s="1">
        <f>MAX($C48,$E48,$G48,$I48,$K48,$M48,$O48,$Q48)</f>
        <v>0</v>
      </c>
    </row>
    <row r="49" spans="1:23">
      <c r="A49" s="1" t="s">
        <v>46</v>
      </c>
      <c r="B49" s="1" cm="1">
        <f t="array" ref="B49">_xlfn.SWITCH($A$2,"average", AVERAGE(Instances!B49:Instances!B49),"median", MEDIAN(Instances!B49:Instances!B49),"min", MIN(Instances!B49:Instances!B49),"max", MAX(Instances!B49:Instances!B49),"diff", MAX(Instances!B49:Instances!B49)-MIN(Instances!B49:Instances!B49))</f>
        <v>0</v>
      </c>
      <c r="C49" s="1" cm="1">
        <f t="array" ref="C49">_xlfn.SWITCH($A$2,"average", AVERAGE(Instances!C49:Instances!C49),"median", MEDIAN(Instances!C49:Instances!C49),"min", MIN(Instances!C49:Instances!C49),"max", MAX(Instances!C49:Instances!C49),"diff", MAX(Instances!C49:Instances!C49)-MIN(Instances!C49:Instances!C49))</f>
        <v>0</v>
      </c>
      <c r="D49" s="1"/>
      <c r="E49" s="2"/>
      <c r="F49" s="1"/>
      <c r="G49" s="2"/>
      <c r="H49" s="1" cm="1">
        <f t="array" ref="H49">_xlfn.SWITCH($A$2,"average", AVERAGE(Instances!H49:Instances!H49),"median", MEDIAN(Instances!H49:Instances!H49),"min", MIN(Instances!H49:Instances!H49),"max", MAX(Instances!H49:Instances!H49),"diff", MAX(Instances!H49:Instances!H49)-MIN(Instances!H49:Instances!H49))</f>
        <v>0</v>
      </c>
      <c r="I49" s="1" cm="1">
        <f t="array" ref="I49">_xlfn.SWITCH($A$2,"average", AVERAGE(Instances!I49:Instances!I49),"median", MEDIAN(Instances!I49:Instances!I49),"min", MIN(Instances!I49:Instances!I49),"max", MAX(Instances!I49:Instances!I49),"diff", MAX(Instances!I49:Instances!I49)-MIN(Instances!I49:Instances!I49))</f>
        <v>0</v>
      </c>
      <c r="J49" s="1"/>
      <c r="K49" s="2"/>
      <c r="L49" s="1"/>
      <c r="M49" s="2"/>
      <c r="N49" s="1"/>
      <c r="O49" s="2"/>
      <c r="P49" s="1"/>
      <c r="Q49" s="2"/>
      <c r="R49" s="1">
        <f>MIN($B49,$D49,$F49,$H49,$J49,$L49,$N49,$P49)</f>
        <v>0</v>
      </c>
      <c r="S49" s="1">
        <f>MIN($C49,$E49,$G49,$I49,$K49,$M49,$O49,$Q49)</f>
        <v>0</v>
      </c>
      <c r="T49" s="1">
        <f>MEDIAN($B49,$D49,$F49,$H49,$J49,$L49,$N49,$P49)</f>
        <v>0</v>
      </c>
      <c r="U49" s="1">
        <f>MEDIAN($C49,$E49,$G49,$I49,$K49,$M49,$O49,$Q49)</f>
        <v>0</v>
      </c>
      <c r="V49" s="1">
        <f>MAX($B49,$D49,$F49,$H49,$J49,$L49,$N49,$P49)</f>
        <v>0</v>
      </c>
      <c r="W49" s="1">
        <f>MAX($C49,$E49,$G49,$I49,$K49,$M49,$O49,$Q49)</f>
        <v>0</v>
      </c>
    </row>
    <row r="50" spans="1:23">
      <c r="A50" s="1" t="s">
        <v>47</v>
      </c>
      <c r="B50" s="1" cm="1">
        <f t="array" ref="B50">_xlfn.SWITCH($A$2,"average", AVERAGE(Instances!B50:Instances!B50),"median", MEDIAN(Instances!B50:Instances!B50),"min", MIN(Instances!B50:Instances!B50),"max", MAX(Instances!B50:Instances!B50),"diff", MAX(Instances!B50:Instances!B50)-MIN(Instances!B50:Instances!B50))</f>
        <v>0</v>
      </c>
      <c r="C50" s="1" cm="1">
        <f t="array" ref="C50">_xlfn.SWITCH($A$2,"average", AVERAGE(Instances!C50:Instances!C50),"median", MEDIAN(Instances!C50:Instances!C50),"min", MIN(Instances!C50:Instances!C50),"max", MAX(Instances!C50:Instances!C50),"diff", MAX(Instances!C50:Instances!C50)-MIN(Instances!C50:Instances!C50))</f>
        <v>0</v>
      </c>
      <c r="D50" s="1"/>
      <c r="E50" s="2"/>
      <c r="F50" s="1"/>
      <c r="G50" s="2"/>
      <c r="H50" s="1" cm="1">
        <f t="array" ref="H50">_xlfn.SWITCH($A$2,"average", AVERAGE(Instances!H50:Instances!H50),"median", MEDIAN(Instances!H50:Instances!H50),"min", MIN(Instances!H50:Instances!H50),"max", MAX(Instances!H50:Instances!H50),"diff", MAX(Instances!H50:Instances!H50)-MIN(Instances!H50:Instances!H50))</f>
        <v>0</v>
      </c>
      <c r="I50" s="1" cm="1">
        <f t="array" ref="I50">_xlfn.SWITCH($A$2,"average", AVERAGE(Instances!I50:Instances!I50),"median", MEDIAN(Instances!I50:Instances!I50),"min", MIN(Instances!I50:Instances!I50),"max", MAX(Instances!I50:Instances!I50),"diff", MAX(Instances!I50:Instances!I50)-MIN(Instances!I50:Instances!I50))</f>
        <v>0</v>
      </c>
      <c r="J50" s="1"/>
      <c r="K50" s="2"/>
      <c r="L50" s="1"/>
      <c r="M50" s="2"/>
      <c r="N50" s="1"/>
      <c r="O50" s="2"/>
      <c r="P50" s="1"/>
      <c r="Q50" s="2"/>
      <c r="R50" s="1">
        <f>MIN($B50,$D50,$F50,$H50,$J50,$L50,$N50,$P50)</f>
        <v>0</v>
      </c>
      <c r="S50" s="1">
        <f>MIN($C50,$E50,$G50,$I50,$K50,$M50,$O50,$Q50)</f>
        <v>0</v>
      </c>
      <c r="T50" s="1">
        <f>MEDIAN($B50,$D50,$F50,$H50,$J50,$L50,$N50,$P50)</f>
        <v>0</v>
      </c>
      <c r="U50" s="1">
        <f>MEDIAN($C50,$E50,$G50,$I50,$K50,$M50,$O50,$Q50)</f>
        <v>0</v>
      </c>
      <c r="V50" s="1">
        <f>MAX($B50,$D50,$F50,$H50,$J50,$L50,$N50,$P50)</f>
        <v>0</v>
      </c>
      <c r="W50" s="1">
        <f>MAX($C50,$E50,$G50,$I50,$K50,$M50,$O50,$Q50)</f>
        <v>0</v>
      </c>
    </row>
    <row r="51" spans="1:23">
      <c r="A51" s="1" t="s">
        <v>48</v>
      </c>
      <c r="B51" s="1" cm="1">
        <f t="array" ref="B51">_xlfn.SWITCH($A$2,"average", AVERAGE(Instances!B51:Instances!B51),"median", MEDIAN(Instances!B51:Instances!B51),"min", MIN(Instances!B51:Instances!B51),"max", MAX(Instances!B51:Instances!B51),"diff", MAX(Instances!B51:Instances!B51)-MIN(Instances!B51:Instances!B51))</f>
        <v>0</v>
      </c>
      <c r="C51" s="1" cm="1">
        <f t="array" ref="C51">_xlfn.SWITCH($A$2,"average", AVERAGE(Instances!C51:Instances!C51),"median", MEDIAN(Instances!C51:Instances!C51),"min", MIN(Instances!C51:Instances!C51),"max", MAX(Instances!C51:Instances!C51),"diff", MAX(Instances!C51:Instances!C51)-MIN(Instances!C51:Instances!C51))</f>
        <v>0</v>
      </c>
      <c r="D51" s="1"/>
      <c r="E51" s="2"/>
      <c r="F51" s="1"/>
      <c r="G51" s="2"/>
      <c r="H51" s="1" cm="1">
        <f t="array" ref="H51">_xlfn.SWITCH($A$2,"average", AVERAGE(Instances!H51:Instances!H51),"median", MEDIAN(Instances!H51:Instances!H51),"min", MIN(Instances!H51:Instances!H51),"max", MAX(Instances!H51:Instances!H51),"diff", MAX(Instances!H51:Instances!H51)-MIN(Instances!H51:Instances!H51))</f>
        <v>0</v>
      </c>
      <c r="I51" s="1" cm="1">
        <f t="array" ref="I51">_xlfn.SWITCH($A$2,"average", AVERAGE(Instances!I51:Instances!I51),"median", MEDIAN(Instances!I51:Instances!I51),"min", MIN(Instances!I51:Instances!I51),"max", MAX(Instances!I51:Instances!I51),"diff", MAX(Instances!I51:Instances!I51)-MIN(Instances!I51:Instances!I51))</f>
        <v>0</v>
      </c>
      <c r="J51" s="1"/>
      <c r="K51" s="2"/>
      <c r="L51" s="1"/>
      <c r="M51" s="2"/>
      <c r="N51" s="1"/>
      <c r="O51" s="2"/>
      <c r="P51" s="1"/>
      <c r="Q51" s="2"/>
      <c r="R51" s="1">
        <f>MIN($B51,$D51,$F51,$H51,$J51,$L51,$N51,$P51)</f>
        <v>0</v>
      </c>
      <c r="S51" s="1">
        <f>MIN($C51,$E51,$G51,$I51,$K51,$M51,$O51,$Q51)</f>
        <v>0</v>
      </c>
      <c r="T51" s="1">
        <f>MEDIAN($B51,$D51,$F51,$H51,$J51,$L51,$N51,$P51)</f>
        <v>0</v>
      </c>
      <c r="U51" s="1">
        <f>MEDIAN($C51,$E51,$G51,$I51,$K51,$M51,$O51,$Q51)</f>
        <v>0</v>
      </c>
      <c r="V51" s="1">
        <f>MAX($B51,$D51,$F51,$H51,$J51,$L51,$N51,$P51)</f>
        <v>0</v>
      </c>
      <c r="W51" s="1">
        <f>MAX($C51,$E51,$G51,$I51,$K51,$M51,$O51,$Q51)</f>
        <v>0</v>
      </c>
    </row>
    <row r="52" spans="1:23">
      <c r="A52" s="1" t="s">
        <v>49</v>
      </c>
      <c r="B52" s="1" cm="1">
        <f t="array" ref="B52">_xlfn.SWITCH($A$2,"average", AVERAGE(Instances!B52:Instances!B52),"median", MEDIAN(Instances!B52:Instances!B52),"min", MIN(Instances!B52:Instances!B52),"max", MAX(Instances!B52:Instances!B52),"diff", MAX(Instances!B52:Instances!B52)-MIN(Instances!B52:Instances!B52))</f>
        <v>0</v>
      </c>
      <c r="C52" s="1" cm="1">
        <f t="array" ref="C52">_xlfn.SWITCH($A$2,"average", AVERAGE(Instances!C52:Instances!C52),"median", MEDIAN(Instances!C52:Instances!C52),"min", MIN(Instances!C52:Instances!C52),"max", MAX(Instances!C52:Instances!C52),"diff", MAX(Instances!C52:Instances!C52)-MIN(Instances!C52:Instances!C52))</f>
        <v>0</v>
      </c>
      <c r="D52" s="1"/>
      <c r="E52" s="2"/>
      <c r="F52" s="1"/>
      <c r="G52" s="2"/>
      <c r="H52" s="1" cm="1">
        <f t="array" ref="H52">_xlfn.SWITCH($A$2,"average", AVERAGE(Instances!H52:Instances!H52),"median", MEDIAN(Instances!H52:Instances!H52),"min", MIN(Instances!H52:Instances!H52),"max", MAX(Instances!H52:Instances!H52),"diff", MAX(Instances!H52:Instances!H52)-MIN(Instances!H52:Instances!H52))</f>
        <v>0</v>
      </c>
      <c r="I52" s="1" cm="1">
        <f t="array" ref="I52">_xlfn.SWITCH($A$2,"average", AVERAGE(Instances!I52:Instances!I52),"median", MEDIAN(Instances!I52:Instances!I52),"min", MIN(Instances!I52:Instances!I52),"max", MAX(Instances!I52:Instances!I52),"diff", MAX(Instances!I52:Instances!I52)-MIN(Instances!I52:Instances!I52))</f>
        <v>0</v>
      </c>
      <c r="J52" s="1"/>
      <c r="K52" s="2"/>
      <c r="L52" s="1"/>
      <c r="M52" s="2"/>
      <c r="N52" s="1"/>
      <c r="O52" s="2"/>
      <c r="P52" s="1"/>
      <c r="Q52" s="2"/>
      <c r="R52" s="1">
        <f>MIN($B52,$D52,$F52,$H52,$J52,$L52,$N52,$P52)</f>
        <v>0</v>
      </c>
      <c r="S52" s="1">
        <f>MIN($C52,$E52,$G52,$I52,$K52,$M52,$O52,$Q52)</f>
        <v>0</v>
      </c>
      <c r="T52" s="1">
        <f>MEDIAN($B52,$D52,$F52,$H52,$J52,$L52,$N52,$P52)</f>
        <v>0</v>
      </c>
      <c r="U52" s="1">
        <f>MEDIAN($C52,$E52,$G52,$I52,$K52,$M52,$O52,$Q52)</f>
        <v>0</v>
      </c>
      <c r="V52" s="1">
        <f>MAX($B52,$D52,$F52,$H52,$J52,$L52,$N52,$P52)</f>
        <v>0</v>
      </c>
      <c r="W52" s="1">
        <f>MAX($C52,$E52,$G52,$I52,$K52,$M52,$O52,$Q52)</f>
        <v>0</v>
      </c>
    </row>
    <row r="53" spans="1:23">
      <c r="A53" s="1" t="s">
        <v>50</v>
      </c>
      <c r="B53" s="1" cm="1">
        <f t="array" ref="B53">_xlfn.SWITCH($A$2,"average", AVERAGE(Instances!B53:Instances!B53),"median", MEDIAN(Instances!B53:Instances!B53),"min", MIN(Instances!B53:Instances!B53),"max", MAX(Instances!B53:Instances!B53),"diff", MAX(Instances!B53:Instances!B53)-MIN(Instances!B53:Instances!B53))</f>
        <v>0</v>
      </c>
      <c r="C53" s="1" cm="1">
        <f t="array" ref="C53">_xlfn.SWITCH($A$2,"average", AVERAGE(Instances!C53:Instances!C53),"median", MEDIAN(Instances!C53:Instances!C53),"min", MIN(Instances!C53:Instances!C53),"max", MAX(Instances!C53:Instances!C53),"diff", MAX(Instances!C53:Instances!C53)-MIN(Instances!C53:Instances!C53))</f>
        <v>0</v>
      </c>
      <c r="D53" s="1"/>
      <c r="E53" s="2"/>
      <c r="F53" s="1"/>
      <c r="G53" s="2"/>
      <c r="H53" s="1" cm="1">
        <f t="array" ref="H53">_xlfn.SWITCH($A$2,"average", AVERAGE(Instances!H53:Instances!H53),"median", MEDIAN(Instances!H53:Instances!H53),"min", MIN(Instances!H53:Instances!H53),"max", MAX(Instances!H53:Instances!H53),"diff", MAX(Instances!H53:Instances!H53)-MIN(Instances!H53:Instances!H53))</f>
        <v>0</v>
      </c>
      <c r="I53" s="1" cm="1">
        <f t="array" ref="I53">_xlfn.SWITCH($A$2,"average", AVERAGE(Instances!I53:Instances!I53),"median", MEDIAN(Instances!I53:Instances!I53),"min", MIN(Instances!I53:Instances!I53),"max", MAX(Instances!I53:Instances!I53),"diff", MAX(Instances!I53:Instances!I53)-MIN(Instances!I53:Instances!I53))</f>
        <v>0</v>
      </c>
      <c r="J53" s="1"/>
      <c r="K53" s="2"/>
      <c r="L53" s="1"/>
      <c r="M53" s="2"/>
      <c r="N53" s="1"/>
      <c r="O53" s="2"/>
      <c r="P53" s="1"/>
      <c r="Q53" s="2"/>
      <c r="R53" s="1">
        <f>MIN($B53,$D53,$F53,$H53,$J53,$L53,$N53,$P53)</f>
        <v>0</v>
      </c>
      <c r="S53" s="1">
        <f>MIN($C53,$E53,$G53,$I53,$K53,$M53,$O53,$Q53)</f>
        <v>0</v>
      </c>
      <c r="T53" s="1">
        <f>MEDIAN($B53,$D53,$F53,$H53,$J53,$L53,$N53,$P53)</f>
        <v>0</v>
      </c>
      <c r="U53" s="1">
        <f>MEDIAN($C53,$E53,$G53,$I53,$K53,$M53,$O53,$Q53)</f>
        <v>0</v>
      </c>
      <c r="V53" s="1">
        <f>MAX($B53,$D53,$F53,$H53,$J53,$L53,$N53,$P53)</f>
        <v>0</v>
      </c>
      <c r="W53" s="1">
        <f>MAX($C53,$E53,$G53,$I53,$K53,$M53,$O53,$Q53)</f>
        <v>0</v>
      </c>
    </row>
    <row r="54" spans="1:23">
      <c r="A54" s="1" t="s">
        <v>51</v>
      </c>
      <c r="B54" s="1" cm="1">
        <f t="array" ref="B54">_xlfn.SWITCH($A$2,"average", AVERAGE(Instances!B54:Instances!B54),"median", MEDIAN(Instances!B54:Instances!B54),"min", MIN(Instances!B54:Instances!B54),"max", MAX(Instances!B54:Instances!B54),"diff", MAX(Instances!B54:Instances!B54)-MIN(Instances!B54:Instances!B54))</f>
        <v>0</v>
      </c>
      <c r="C54" s="1" cm="1">
        <f t="array" ref="C54">_xlfn.SWITCH($A$2,"average", AVERAGE(Instances!C54:Instances!C54),"median", MEDIAN(Instances!C54:Instances!C54),"min", MIN(Instances!C54:Instances!C54),"max", MAX(Instances!C54:Instances!C54),"diff", MAX(Instances!C54:Instances!C54)-MIN(Instances!C54:Instances!C54))</f>
        <v>0</v>
      </c>
      <c r="D54" s="1"/>
      <c r="E54" s="2"/>
      <c r="F54" s="1"/>
      <c r="G54" s="2"/>
      <c r="H54" s="1" cm="1">
        <f t="array" ref="H54">_xlfn.SWITCH($A$2,"average", AVERAGE(Instances!H54:Instances!H54),"median", MEDIAN(Instances!H54:Instances!H54),"min", MIN(Instances!H54:Instances!H54),"max", MAX(Instances!H54:Instances!H54),"diff", MAX(Instances!H54:Instances!H54)-MIN(Instances!H54:Instances!H54))</f>
        <v>0</v>
      </c>
      <c r="I54" s="1" cm="1">
        <f t="array" ref="I54">_xlfn.SWITCH($A$2,"average", AVERAGE(Instances!I54:Instances!I54),"median", MEDIAN(Instances!I54:Instances!I54),"min", MIN(Instances!I54:Instances!I54),"max", MAX(Instances!I54:Instances!I54),"diff", MAX(Instances!I54:Instances!I54)-MIN(Instances!I54:Instances!I54))</f>
        <v>0</v>
      </c>
      <c r="J54" s="1"/>
      <c r="K54" s="2"/>
      <c r="L54" s="1"/>
      <c r="M54" s="2"/>
      <c r="N54" s="1"/>
      <c r="O54" s="2"/>
      <c r="P54" s="1"/>
      <c r="Q54" s="2"/>
      <c r="R54" s="1">
        <f>MIN($B54,$D54,$F54,$H54,$J54,$L54,$N54,$P54)</f>
        <v>0</v>
      </c>
      <c r="S54" s="1">
        <f>MIN($C54,$E54,$G54,$I54,$K54,$M54,$O54,$Q54)</f>
        <v>0</v>
      </c>
      <c r="T54" s="1">
        <f>MEDIAN($B54,$D54,$F54,$H54,$J54,$L54,$N54,$P54)</f>
        <v>0</v>
      </c>
      <c r="U54" s="1">
        <f>MEDIAN($C54,$E54,$G54,$I54,$K54,$M54,$O54,$Q54)</f>
        <v>0</v>
      </c>
      <c r="V54" s="1">
        <f>MAX($B54,$D54,$F54,$H54,$J54,$L54,$N54,$P54)</f>
        <v>0</v>
      </c>
      <c r="W54" s="1">
        <f>MAX($C54,$E54,$G54,$I54,$K54,$M54,$O54,$Q54)</f>
        <v>0</v>
      </c>
    </row>
    <row r="55" spans="1:23">
      <c r="A55" s="1" t="s">
        <v>52</v>
      </c>
      <c r="B55" s="1" cm="1">
        <f t="array" ref="B55">_xlfn.SWITCH($A$2,"average", AVERAGE(Instances!B55:Instances!B55),"median", MEDIAN(Instances!B55:Instances!B55),"min", MIN(Instances!B55:Instances!B55),"max", MAX(Instances!B55:Instances!B55),"diff", MAX(Instances!B55:Instances!B55)-MIN(Instances!B55:Instances!B55))</f>
        <v>0</v>
      </c>
      <c r="C55" s="1" cm="1">
        <f t="array" ref="C55">_xlfn.SWITCH($A$2,"average", AVERAGE(Instances!C55:Instances!C55),"median", MEDIAN(Instances!C55:Instances!C55),"min", MIN(Instances!C55:Instances!C55),"max", MAX(Instances!C55:Instances!C55),"diff", MAX(Instances!C55:Instances!C55)-MIN(Instances!C55:Instances!C55))</f>
        <v>0</v>
      </c>
      <c r="D55" s="1"/>
      <c r="E55" s="2"/>
      <c r="F55" s="1"/>
      <c r="G55" s="2"/>
      <c r="H55" s="1" cm="1">
        <f t="array" ref="H55">_xlfn.SWITCH($A$2,"average", AVERAGE(Instances!H55:Instances!H55),"median", MEDIAN(Instances!H55:Instances!H55),"min", MIN(Instances!H55:Instances!H55),"max", MAX(Instances!H55:Instances!H55),"diff", MAX(Instances!H55:Instances!H55)-MIN(Instances!H55:Instances!H55))</f>
        <v>0</v>
      </c>
      <c r="I55" s="1" cm="1">
        <f t="array" ref="I55">_xlfn.SWITCH($A$2,"average", AVERAGE(Instances!I55:Instances!I55),"median", MEDIAN(Instances!I55:Instances!I55),"min", MIN(Instances!I55:Instances!I55),"max", MAX(Instances!I55:Instances!I55),"diff", MAX(Instances!I55:Instances!I55)-MIN(Instances!I55:Instances!I55))</f>
        <v>0</v>
      </c>
      <c r="J55" s="1"/>
      <c r="K55" s="2"/>
      <c r="L55" s="1"/>
      <c r="M55" s="2"/>
      <c r="N55" s="1"/>
      <c r="O55" s="2"/>
      <c r="P55" s="1"/>
      <c r="Q55" s="2"/>
      <c r="R55" s="1">
        <f>MIN($B55,$D55,$F55,$H55,$J55,$L55,$N55,$P55)</f>
        <v>0</v>
      </c>
      <c r="S55" s="1">
        <f>MIN($C55,$E55,$G55,$I55,$K55,$M55,$O55,$Q55)</f>
        <v>0</v>
      </c>
      <c r="T55" s="1">
        <f>MEDIAN($B55,$D55,$F55,$H55,$J55,$L55,$N55,$P55)</f>
        <v>0</v>
      </c>
      <c r="U55" s="1">
        <f>MEDIAN($C55,$E55,$G55,$I55,$K55,$M55,$O55,$Q55)</f>
        <v>0</v>
      </c>
      <c r="V55" s="1">
        <f>MAX($B55,$D55,$F55,$H55,$J55,$L55,$N55,$P55)</f>
        <v>0</v>
      </c>
      <c r="W55" s="1">
        <f>MAX($C55,$E55,$G55,$I55,$K55,$M55,$O55,$Q55)</f>
        <v>0</v>
      </c>
    </row>
    <row r="56" spans="1:23">
      <c r="A56" s="1" t="s">
        <v>53</v>
      </c>
      <c r="B56" s="1" cm="1">
        <f t="array" ref="B56">_xlfn.SWITCH($A$2,"average", AVERAGE(Instances!B56:Instances!B56),"median", MEDIAN(Instances!B56:Instances!B56),"min", MIN(Instances!B56:Instances!B56),"max", MAX(Instances!B56:Instances!B56),"diff", MAX(Instances!B56:Instances!B56)-MIN(Instances!B56:Instances!B56))</f>
        <v>0</v>
      </c>
      <c r="C56" s="1" cm="1">
        <f t="array" ref="C56">_xlfn.SWITCH($A$2,"average", AVERAGE(Instances!C56:Instances!C56),"median", MEDIAN(Instances!C56:Instances!C56),"min", MIN(Instances!C56:Instances!C56),"max", MAX(Instances!C56:Instances!C56),"diff", MAX(Instances!C56:Instances!C56)-MIN(Instances!C56:Instances!C56))</f>
        <v>0</v>
      </c>
      <c r="D56" s="1"/>
      <c r="E56" s="2"/>
      <c r="F56" s="1"/>
      <c r="G56" s="2"/>
      <c r="H56" s="1" cm="1">
        <f t="array" ref="H56">_xlfn.SWITCH($A$2,"average", AVERAGE(Instances!H56:Instances!H56),"median", MEDIAN(Instances!H56:Instances!H56),"min", MIN(Instances!H56:Instances!H56),"max", MAX(Instances!H56:Instances!H56),"diff", MAX(Instances!H56:Instances!H56)-MIN(Instances!H56:Instances!H56))</f>
        <v>0</v>
      </c>
      <c r="I56" s="1" cm="1">
        <f t="array" ref="I56">_xlfn.SWITCH($A$2,"average", AVERAGE(Instances!I56:Instances!I56),"median", MEDIAN(Instances!I56:Instances!I56),"min", MIN(Instances!I56:Instances!I56),"max", MAX(Instances!I56:Instances!I56),"diff", MAX(Instances!I56:Instances!I56)-MIN(Instances!I56:Instances!I56))</f>
        <v>0</v>
      </c>
      <c r="J56" s="1"/>
      <c r="K56" s="2"/>
      <c r="L56" s="1"/>
      <c r="M56" s="2"/>
      <c r="N56" s="1"/>
      <c r="O56" s="2"/>
      <c r="P56" s="1"/>
      <c r="Q56" s="2"/>
      <c r="R56" s="1">
        <f>MIN($B56,$D56,$F56,$H56,$J56,$L56,$N56,$P56)</f>
        <v>0</v>
      </c>
      <c r="S56" s="1">
        <f>MIN($C56,$E56,$G56,$I56,$K56,$M56,$O56,$Q56)</f>
        <v>0</v>
      </c>
      <c r="T56" s="1">
        <f>MEDIAN($B56,$D56,$F56,$H56,$J56,$L56,$N56,$P56)</f>
        <v>0</v>
      </c>
      <c r="U56" s="1">
        <f>MEDIAN($C56,$E56,$G56,$I56,$K56,$M56,$O56,$Q56)</f>
        <v>0</v>
      </c>
      <c r="V56" s="1">
        <f>MAX($B56,$D56,$F56,$H56,$J56,$L56,$N56,$P56)</f>
        <v>0</v>
      </c>
      <c r="W56" s="1">
        <f>MAX($C56,$E56,$G56,$I56,$K56,$M56,$O56,$Q56)</f>
        <v>0</v>
      </c>
    </row>
    <row r="57" spans="1:23">
      <c r="A57" s="1" t="s">
        <v>54</v>
      </c>
      <c r="B57" s="1" cm="1">
        <f t="array" ref="B57">_xlfn.SWITCH($A$2,"average", AVERAGE(Instances!B57:Instances!B57),"median", MEDIAN(Instances!B57:Instances!B57),"min", MIN(Instances!B57:Instances!B57),"max", MAX(Instances!B57:Instances!B57),"diff", MAX(Instances!B57:Instances!B57)-MIN(Instances!B57:Instances!B57))</f>
        <v>0</v>
      </c>
      <c r="C57" s="1" cm="1">
        <f t="array" ref="C57">_xlfn.SWITCH($A$2,"average", AVERAGE(Instances!C57:Instances!C57),"median", MEDIAN(Instances!C57:Instances!C57),"min", MIN(Instances!C57:Instances!C57),"max", MAX(Instances!C57:Instances!C57),"diff", MAX(Instances!C57:Instances!C57)-MIN(Instances!C57:Instances!C57))</f>
        <v>0</v>
      </c>
      <c r="D57" s="1"/>
      <c r="E57" s="2"/>
      <c r="F57" s="1"/>
      <c r="G57" s="2"/>
      <c r="H57" s="1" cm="1">
        <f t="array" ref="H57">_xlfn.SWITCH($A$2,"average", AVERAGE(Instances!H57:Instances!H57),"median", MEDIAN(Instances!H57:Instances!H57),"min", MIN(Instances!H57:Instances!H57),"max", MAX(Instances!H57:Instances!H57),"diff", MAX(Instances!H57:Instances!H57)-MIN(Instances!H57:Instances!H57))</f>
        <v>0</v>
      </c>
      <c r="I57" s="1" cm="1">
        <f t="array" ref="I57">_xlfn.SWITCH($A$2,"average", AVERAGE(Instances!I57:Instances!I57),"median", MEDIAN(Instances!I57:Instances!I57),"min", MIN(Instances!I57:Instances!I57),"max", MAX(Instances!I57:Instances!I57),"diff", MAX(Instances!I57:Instances!I57)-MIN(Instances!I57:Instances!I57))</f>
        <v>0</v>
      </c>
      <c r="J57" s="1"/>
      <c r="K57" s="2"/>
      <c r="L57" s="1"/>
      <c r="M57" s="2"/>
      <c r="N57" s="1"/>
      <c r="O57" s="2"/>
      <c r="P57" s="1"/>
      <c r="Q57" s="2"/>
      <c r="R57" s="1">
        <f>MIN($B57,$D57,$F57,$H57,$J57,$L57,$N57,$P57)</f>
        <v>0</v>
      </c>
      <c r="S57" s="1">
        <f>MIN($C57,$E57,$G57,$I57,$K57,$M57,$O57,$Q57)</f>
        <v>0</v>
      </c>
      <c r="T57" s="1">
        <f>MEDIAN($B57,$D57,$F57,$H57,$J57,$L57,$N57,$P57)</f>
        <v>0</v>
      </c>
      <c r="U57" s="1">
        <f>MEDIAN($C57,$E57,$G57,$I57,$K57,$M57,$O57,$Q57)</f>
        <v>0</v>
      </c>
      <c r="V57" s="1">
        <f>MAX($B57,$D57,$F57,$H57,$J57,$L57,$N57,$P57)</f>
        <v>0</v>
      </c>
      <c r="W57" s="1">
        <f>MAX($C57,$E57,$G57,$I57,$K57,$M57,$O57,$Q57)</f>
        <v>0</v>
      </c>
    </row>
    <row r="58" spans="1:23">
      <c r="A58" s="1" t="s">
        <v>55</v>
      </c>
      <c r="B58" s="1" cm="1">
        <f t="array" ref="B58">_xlfn.SWITCH($A$2,"average", AVERAGE(Instances!B58:Instances!B58),"median", MEDIAN(Instances!B58:Instances!B58),"min", MIN(Instances!B58:Instances!B58),"max", MAX(Instances!B58:Instances!B58),"diff", MAX(Instances!B58:Instances!B58)-MIN(Instances!B58:Instances!B58))</f>
        <v>0</v>
      </c>
      <c r="C58" s="1" cm="1">
        <f t="array" ref="C58">_xlfn.SWITCH($A$2,"average", AVERAGE(Instances!C58:Instances!C58),"median", MEDIAN(Instances!C58:Instances!C58),"min", MIN(Instances!C58:Instances!C58),"max", MAX(Instances!C58:Instances!C58),"diff", MAX(Instances!C58:Instances!C58)-MIN(Instances!C58:Instances!C58))</f>
        <v>0</v>
      </c>
      <c r="D58" s="1"/>
      <c r="E58" s="2"/>
      <c r="F58" s="1"/>
      <c r="G58" s="2"/>
      <c r="H58" s="1" cm="1">
        <f t="array" ref="H58">_xlfn.SWITCH($A$2,"average", AVERAGE(Instances!H58:Instances!H58),"median", MEDIAN(Instances!H58:Instances!H58),"min", MIN(Instances!H58:Instances!H58),"max", MAX(Instances!H58:Instances!H58),"diff", MAX(Instances!H58:Instances!H58)-MIN(Instances!H58:Instances!H58))</f>
        <v>0</v>
      </c>
      <c r="I58" s="1" cm="1">
        <f t="array" ref="I58">_xlfn.SWITCH($A$2,"average", AVERAGE(Instances!I58:Instances!I58),"median", MEDIAN(Instances!I58:Instances!I58),"min", MIN(Instances!I58:Instances!I58),"max", MAX(Instances!I58:Instances!I58),"diff", MAX(Instances!I58:Instances!I58)-MIN(Instances!I58:Instances!I58))</f>
        <v>0</v>
      </c>
      <c r="J58" s="1"/>
      <c r="K58" s="2"/>
      <c r="L58" s="1"/>
      <c r="M58" s="2"/>
      <c r="N58" s="1"/>
      <c r="O58" s="2"/>
      <c r="P58" s="1"/>
      <c r="Q58" s="2"/>
      <c r="R58" s="1">
        <f>MIN($B58,$D58,$F58,$H58,$J58,$L58,$N58,$P58)</f>
        <v>0</v>
      </c>
      <c r="S58" s="1">
        <f>MIN($C58,$E58,$G58,$I58,$K58,$M58,$O58,$Q58)</f>
        <v>0</v>
      </c>
      <c r="T58" s="1">
        <f>MEDIAN($B58,$D58,$F58,$H58,$J58,$L58,$N58,$P58)</f>
        <v>0</v>
      </c>
      <c r="U58" s="1">
        <f>MEDIAN($C58,$E58,$G58,$I58,$K58,$M58,$O58,$Q58)</f>
        <v>0</v>
      </c>
      <c r="V58" s="1">
        <f>MAX($B58,$D58,$F58,$H58,$J58,$L58,$N58,$P58)</f>
        <v>0</v>
      </c>
      <c r="W58" s="1">
        <f>MAX($C58,$E58,$G58,$I58,$K58,$M58,$O58,$Q58)</f>
        <v>0</v>
      </c>
    </row>
    <row r="59" spans="1:23">
      <c r="A59" s="1" t="s">
        <v>56</v>
      </c>
      <c r="B59" s="1" cm="1">
        <f t="array" ref="B59">_xlfn.SWITCH($A$2,"average", AVERAGE(Instances!B59:Instances!B59),"median", MEDIAN(Instances!B59:Instances!B59),"min", MIN(Instances!B59:Instances!B59),"max", MAX(Instances!B59:Instances!B59),"diff", MAX(Instances!B59:Instances!B59)-MIN(Instances!B59:Instances!B59))</f>
        <v>0</v>
      </c>
      <c r="C59" s="1" cm="1">
        <f t="array" ref="C59">_xlfn.SWITCH($A$2,"average", AVERAGE(Instances!C59:Instances!C59),"median", MEDIAN(Instances!C59:Instances!C59),"min", MIN(Instances!C59:Instances!C59),"max", MAX(Instances!C59:Instances!C59),"diff", MAX(Instances!C59:Instances!C59)-MIN(Instances!C59:Instances!C59))</f>
        <v>0</v>
      </c>
      <c r="D59" s="1"/>
      <c r="E59" s="2"/>
      <c r="F59" s="1"/>
      <c r="G59" s="2"/>
      <c r="H59" s="1" cm="1">
        <f t="array" ref="H59">_xlfn.SWITCH($A$2,"average", AVERAGE(Instances!H59:Instances!H59),"median", MEDIAN(Instances!H59:Instances!H59),"min", MIN(Instances!H59:Instances!H59),"max", MAX(Instances!H59:Instances!H59),"diff", MAX(Instances!H59:Instances!H59)-MIN(Instances!H59:Instances!H59))</f>
        <v>0</v>
      </c>
      <c r="I59" s="1" cm="1">
        <f t="array" ref="I59">_xlfn.SWITCH($A$2,"average", AVERAGE(Instances!I59:Instances!I59),"median", MEDIAN(Instances!I59:Instances!I59),"min", MIN(Instances!I59:Instances!I59),"max", MAX(Instances!I59:Instances!I59),"diff", MAX(Instances!I59:Instances!I59)-MIN(Instances!I59:Instances!I59))</f>
        <v>0</v>
      </c>
      <c r="J59" s="1"/>
      <c r="K59" s="2"/>
      <c r="L59" s="1"/>
      <c r="M59" s="2"/>
      <c r="N59" s="1"/>
      <c r="O59" s="2"/>
      <c r="P59" s="1"/>
      <c r="Q59" s="2"/>
      <c r="R59" s="1">
        <f>MIN($B59,$D59,$F59,$H59,$J59,$L59,$N59,$P59)</f>
        <v>0</v>
      </c>
      <c r="S59" s="1">
        <f>MIN($C59,$E59,$G59,$I59,$K59,$M59,$O59,$Q59)</f>
        <v>0</v>
      </c>
      <c r="T59" s="1">
        <f>MEDIAN($B59,$D59,$F59,$H59,$J59,$L59,$N59,$P59)</f>
        <v>0</v>
      </c>
      <c r="U59" s="1">
        <f>MEDIAN($C59,$E59,$G59,$I59,$K59,$M59,$O59,$Q59)</f>
        <v>0</v>
      </c>
      <c r="V59" s="1">
        <f>MAX($B59,$D59,$F59,$H59,$J59,$L59,$N59,$P59)</f>
        <v>0</v>
      </c>
      <c r="W59" s="1">
        <f>MAX($C59,$E59,$G59,$I59,$K59,$M59,$O59,$Q59)</f>
        <v>0</v>
      </c>
    </row>
    <row r="60" spans="1:23">
      <c r="A60" s="1" t="s">
        <v>57</v>
      </c>
      <c r="B60" s="1" cm="1">
        <f t="array" ref="B60">_xlfn.SWITCH($A$2,"average", AVERAGE(Instances!B60:Instances!B60),"median", MEDIAN(Instances!B60:Instances!B60),"min", MIN(Instances!B60:Instances!B60),"max", MAX(Instances!B60:Instances!B60),"diff", MAX(Instances!B60:Instances!B60)-MIN(Instances!B60:Instances!B60))</f>
        <v>0</v>
      </c>
      <c r="C60" s="1" cm="1">
        <f t="array" ref="C60">_xlfn.SWITCH($A$2,"average", AVERAGE(Instances!C60:Instances!C60),"median", MEDIAN(Instances!C60:Instances!C60),"min", MIN(Instances!C60:Instances!C60),"max", MAX(Instances!C60:Instances!C60),"diff", MAX(Instances!C60:Instances!C60)-MIN(Instances!C60:Instances!C60))</f>
        <v>0</v>
      </c>
      <c r="D60" s="1"/>
      <c r="E60" s="2"/>
      <c r="F60" s="1"/>
      <c r="G60" s="2"/>
      <c r="H60" s="1" cm="1">
        <f t="array" ref="H60">_xlfn.SWITCH($A$2,"average", AVERAGE(Instances!H60:Instances!H60),"median", MEDIAN(Instances!H60:Instances!H60),"min", MIN(Instances!H60:Instances!H60),"max", MAX(Instances!H60:Instances!H60),"diff", MAX(Instances!H60:Instances!H60)-MIN(Instances!H60:Instances!H60))</f>
        <v>0</v>
      </c>
      <c r="I60" s="1" cm="1">
        <f t="array" ref="I60">_xlfn.SWITCH($A$2,"average", AVERAGE(Instances!I60:Instances!I60),"median", MEDIAN(Instances!I60:Instances!I60),"min", MIN(Instances!I60:Instances!I60),"max", MAX(Instances!I60:Instances!I60),"diff", MAX(Instances!I60:Instances!I60)-MIN(Instances!I60:Instances!I60))</f>
        <v>0</v>
      </c>
      <c r="J60" s="1"/>
      <c r="K60" s="2"/>
      <c r="L60" s="1"/>
      <c r="M60" s="2"/>
      <c r="N60" s="1"/>
      <c r="O60" s="2"/>
      <c r="P60" s="1"/>
      <c r="Q60" s="2"/>
      <c r="R60" s="1">
        <f>MIN($B60,$D60,$F60,$H60,$J60,$L60,$N60,$P60)</f>
        <v>0</v>
      </c>
      <c r="S60" s="1">
        <f>MIN($C60,$E60,$G60,$I60,$K60,$M60,$O60,$Q60)</f>
        <v>0</v>
      </c>
      <c r="T60" s="1">
        <f>MEDIAN($B60,$D60,$F60,$H60,$J60,$L60,$N60,$P60)</f>
        <v>0</v>
      </c>
      <c r="U60" s="1">
        <f>MEDIAN($C60,$E60,$G60,$I60,$K60,$M60,$O60,$Q60)</f>
        <v>0</v>
      </c>
      <c r="V60" s="1">
        <f>MAX($B60,$D60,$F60,$H60,$J60,$L60,$N60,$P60)</f>
        <v>0</v>
      </c>
      <c r="W60" s="1">
        <f>MAX($C60,$E60,$G60,$I60,$K60,$M60,$O60,$Q60)</f>
        <v>0</v>
      </c>
    </row>
    <row r="61" spans="1:23">
      <c r="A61" s="1" t="s">
        <v>58</v>
      </c>
      <c r="B61" s="1" cm="1">
        <f t="array" ref="B61">_xlfn.SWITCH($A$2,"average", AVERAGE(Instances!B61:Instances!B61),"median", MEDIAN(Instances!B61:Instances!B61),"min", MIN(Instances!B61:Instances!B61),"max", MAX(Instances!B61:Instances!B61),"diff", MAX(Instances!B61:Instances!B61)-MIN(Instances!B61:Instances!B61))</f>
        <v>0</v>
      </c>
      <c r="C61" s="1" cm="1">
        <f t="array" ref="C61">_xlfn.SWITCH($A$2,"average", AVERAGE(Instances!C61:Instances!C61),"median", MEDIAN(Instances!C61:Instances!C61),"min", MIN(Instances!C61:Instances!C61),"max", MAX(Instances!C61:Instances!C61),"diff", MAX(Instances!C61:Instances!C61)-MIN(Instances!C61:Instances!C61))</f>
        <v>0</v>
      </c>
      <c r="D61" s="1"/>
      <c r="E61" s="2"/>
      <c r="F61" s="1"/>
      <c r="G61" s="2"/>
      <c r="H61" s="1" cm="1">
        <f t="array" ref="H61">_xlfn.SWITCH($A$2,"average", AVERAGE(Instances!H61:Instances!H61),"median", MEDIAN(Instances!H61:Instances!H61),"min", MIN(Instances!H61:Instances!H61),"max", MAX(Instances!H61:Instances!H61),"diff", MAX(Instances!H61:Instances!H61)-MIN(Instances!H61:Instances!H61))</f>
        <v>0</v>
      </c>
      <c r="I61" s="1" cm="1">
        <f t="array" ref="I61">_xlfn.SWITCH($A$2,"average", AVERAGE(Instances!I61:Instances!I61),"median", MEDIAN(Instances!I61:Instances!I61),"min", MIN(Instances!I61:Instances!I61),"max", MAX(Instances!I61:Instances!I61),"diff", MAX(Instances!I61:Instances!I61)-MIN(Instances!I61:Instances!I61))</f>
        <v>0</v>
      </c>
      <c r="J61" s="1"/>
      <c r="K61" s="2"/>
      <c r="L61" s="1"/>
      <c r="M61" s="2"/>
      <c r="N61" s="1"/>
      <c r="O61" s="2"/>
      <c r="P61" s="1"/>
      <c r="Q61" s="2"/>
      <c r="R61" s="1">
        <f>MIN($B61,$D61,$F61,$H61,$J61,$L61,$N61,$P61)</f>
        <v>0</v>
      </c>
      <c r="S61" s="1">
        <f>MIN($C61,$E61,$G61,$I61,$K61,$M61,$O61,$Q61)</f>
        <v>0</v>
      </c>
      <c r="T61" s="1">
        <f>MEDIAN($B61,$D61,$F61,$H61,$J61,$L61,$N61,$P61)</f>
        <v>0</v>
      </c>
      <c r="U61" s="1">
        <f>MEDIAN($C61,$E61,$G61,$I61,$K61,$M61,$O61,$Q61)</f>
        <v>0</v>
      </c>
      <c r="V61" s="1">
        <f>MAX($B61,$D61,$F61,$H61,$J61,$L61,$N61,$P61)</f>
        <v>0</v>
      </c>
      <c r="W61" s="1">
        <f>MAX($C61,$E61,$G61,$I61,$K61,$M61,$O61,$Q61)</f>
        <v>0</v>
      </c>
    </row>
    <row r="62" spans="1:23">
      <c r="A62" s="1" t="s">
        <v>59</v>
      </c>
      <c r="B62" s="1" cm="1">
        <f t="array" ref="B62">_xlfn.SWITCH($A$2,"average", AVERAGE(Instances!B62:Instances!B62),"median", MEDIAN(Instances!B62:Instances!B62),"min", MIN(Instances!B62:Instances!B62),"max", MAX(Instances!B62:Instances!B62),"diff", MAX(Instances!B62:Instances!B62)-MIN(Instances!B62:Instances!B62))</f>
        <v>0</v>
      </c>
      <c r="C62" s="1" cm="1">
        <f t="array" ref="C62">_xlfn.SWITCH($A$2,"average", AVERAGE(Instances!C62:Instances!C62),"median", MEDIAN(Instances!C62:Instances!C62),"min", MIN(Instances!C62:Instances!C62),"max", MAX(Instances!C62:Instances!C62),"diff", MAX(Instances!C62:Instances!C62)-MIN(Instances!C62:Instances!C62))</f>
        <v>0</v>
      </c>
      <c r="D62" s="1"/>
      <c r="E62" s="2"/>
      <c r="F62" s="1"/>
      <c r="G62" s="2"/>
      <c r="H62" s="1" cm="1">
        <f t="array" ref="H62">_xlfn.SWITCH($A$2,"average", AVERAGE(Instances!H62:Instances!H62),"median", MEDIAN(Instances!H62:Instances!H62),"min", MIN(Instances!H62:Instances!H62),"max", MAX(Instances!H62:Instances!H62),"diff", MAX(Instances!H62:Instances!H62)-MIN(Instances!H62:Instances!H62))</f>
        <v>0</v>
      </c>
      <c r="I62" s="1" cm="1">
        <f t="array" ref="I62">_xlfn.SWITCH($A$2,"average", AVERAGE(Instances!I62:Instances!I62),"median", MEDIAN(Instances!I62:Instances!I62),"min", MIN(Instances!I62:Instances!I62),"max", MAX(Instances!I62:Instances!I62),"diff", MAX(Instances!I62:Instances!I62)-MIN(Instances!I62:Instances!I62))</f>
        <v>0</v>
      </c>
      <c r="J62" s="1"/>
      <c r="K62" s="2"/>
      <c r="L62" s="1"/>
      <c r="M62" s="2"/>
      <c r="N62" s="1"/>
      <c r="O62" s="2"/>
      <c r="P62" s="1"/>
      <c r="Q62" s="2"/>
      <c r="R62" s="1">
        <f>MIN($B62,$D62,$F62,$H62,$J62,$L62,$N62,$P62)</f>
        <v>0</v>
      </c>
      <c r="S62" s="1">
        <f>MIN($C62,$E62,$G62,$I62,$K62,$M62,$O62,$Q62)</f>
        <v>0</v>
      </c>
      <c r="T62" s="1">
        <f>MEDIAN($B62,$D62,$F62,$H62,$J62,$L62,$N62,$P62)</f>
        <v>0</v>
      </c>
      <c r="U62" s="1">
        <f>MEDIAN($C62,$E62,$G62,$I62,$K62,$M62,$O62,$Q62)</f>
        <v>0</v>
      </c>
      <c r="V62" s="1">
        <f>MAX($B62,$D62,$F62,$H62,$J62,$L62,$N62,$P62)</f>
        <v>0</v>
      </c>
      <c r="W62" s="1">
        <f>MAX($C62,$E62,$G62,$I62,$K62,$M62,$O62,$Q62)</f>
        <v>0</v>
      </c>
    </row>
    <row r="63" spans="1:23">
      <c r="A63" s="1" t="s">
        <v>60</v>
      </c>
      <c r="B63" s="1" cm="1">
        <f t="array" ref="B63">_xlfn.SWITCH($A$2,"average", AVERAGE(Instances!B63:Instances!B63),"median", MEDIAN(Instances!B63:Instances!B63),"min", MIN(Instances!B63:Instances!B63),"max", MAX(Instances!B63:Instances!B63),"diff", MAX(Instances!B63:Instances!B63)-MIN(Instances!B63:Instances!B63))</f>
        <v>0</v>
      </c>
      <c r="C63" s="1" cm="1">
        <f t="array" ref="C63">_xlfn.SWITCH($A$2,"average", AVERAGE(Instances!C63:Instances!C63),"median", MEDIAN(Instances!C63:Instances!C63),"min", MIN(Instances!C63:Instances!C63),"max", MAX(Instances!C63:Instances!C63),"diff", MAX(Instances!C63:Instances!C63)-MIN(Instances!C63:Instances!C63))</f>
        <v>0</v>
      </c>
      <c r="D63" s="1"/>
      <c r="E63" s="2"/>
      <c r="F63" s="1"/>
      <c r="G63" s="2"/>
      <c r="H63" s="1" cm="1">
        <f t="array" ref="H63">_xlfn.SWITCH($A$2,"average", AVERAGE(Instances!H63:Instances!H63),"median", MEDIAN(Instances!H63:Instances!H63),"min", MIN(Instances!H63:Instances!H63),"max", MAX(Instances!H63:Instances!H63),"diff", MAX(Instances!H63:Instances!H63)-MIN(Instances!H63:Instances!H63))</f>
        <v>0</v>
      </c>
      <c r="I63" s="1" cm="1">
        <f t="array" ref="I63">_xlfn.SWITCH($A$2,"average", AVERAGE(Instances!I63:Instances!I63),"median", MEDIAN(Instances!I63:Instances!I63),"min", MIN(Instances!I63:Instances!I63),"max", MAX(Instances!I63:Instances!I63),"diff", MAX(Instances!I63:Instances!I63)-MIN(Instances!I63:Instances!I63))</f>
        <v>0</v>
      </c>
      <c r="J63" s="1"/>
      <c r="K63" s="2"/>
      <c r="L63" s="1"/>
      <c r="M63" s="2"/>
      <c r="N63" s="1"/>
      <c r="O63" s="2"/>
      <c r="P63" s="1"/>
      <c r="Q63" s="2"/>
      <c r="R63" s="1">
        <f>MIN($B63,$D63,$F63,$H63,$J63,$L63,$N63,$P63)</f>
        <v>0</v>
      </c>
      <c r="S63" s="1">
        <f>MIN($C63,$E63,$G63,$I63,$K63,$M63,$O63,$Q63)</f>
        <v>0</v>
      </c>
      <c r="T63" s="1">
        <f>MEDIAN($B63,$D63,$F63,$H63,$J63,$L63,$N63,$P63)</f>
        <v>0</v>
      </c>
      <c r="U63" s="1">
        <f>MEDIAN($C63,$E63,$G63,$I63,$K63,$M63,$O63,$Q63)</f>
        <v>0</v>
      </c>
      <c r="V63" s="1">
        <f>MAX($B63,$D63,$F63,$H63,$J63,$L63,$N63,$P63)</f>
        <v>0</v>
      </c>
      <c r="W63" s="1">
        <f>MAX($C63,$E63,$G63,$I63,$K63,$M63,$O63,$Q63)</f>
        <v>0</v>
      </c>
    </row>
    <row r="64" spans="1:23">
      <c r="A64" s="1" t="s">
        <v>61</v>
      </c>
      <c r="B64" s="1" cm="1">
        <f t="array" ref="B64">_xlfn.SWITCH($A$2,"average", AVERAGE(Instances!B64:Instances!B64),"median", MEDIAN(Instances!B64:Instances!B64),"min", MIN(Instances!B64:Instances!B64),"max", MAX(Instances!B64:Instances!B64),"diff", MAX(Instances!B64:Instances!B64)-MIN(Instances!B64:Instances!B64))</f>
        <v>0</v>
      </c>
      <c r="C64" s="1" cm="1">
        <f t="array" ref="C64">_xlfn.SWITCH($A$2,"average", AVERAGE(Instances!C64:Instances!C64),"median", MEDIAN(Instances!C64:Instances!C64),"min", MIN(Instances!C64:Instances!C64),"max", MAX(Instances!C64:Instances!C64),"diff", MAX(Instances!C64:Instances!C64)-MIN(Instances!C64:Instances!C64))</f>
        <v>0</v>
      </c>
      <c r="D64" s="1"/>
      <c r="E64" s="2"/>
      <c r="F64" s="1"/>
      <c r="G64" s="2"/>
      <c r="H64" s="1" cm="1">
        <f t="array" ref="H64">_xlfn.SWITCH($A$2,"average", AVERAGE(Instances!H64:Instances!H64),"median", MEDIAN(Instances!H64:Instances!H64),"min", MIN(Instances!H64:Instances!H64),"max", MAX(Instances!H64:Instances!H64),"diff", MAX(Instances!H64:Instances!H64)-MIN(Instances!H64:Instances!H64))</f>
        <v>0</v>
      </c>
      <c r="I64" s="1" cm="1">
        <f t="array" ref="I64">_xlfn.SWITCH($A$2,"average", AVERAGE(Instances!I64:Instances!I64),"median", MEDIAN(Instances!I64:Instances!I64),"min", MIN(Instances!I64:Instances!I64),"max", MAX(Instances!I64:Instances!I64),"diff", MAX(Instances!I64:Instances!I64)-MIN(Instances!I64:Instances!I64))</f>
        <v>0</v>
      </c>
      <c r="J64" s="1"/>
      <c r="K64" s="2"/>
      <c r="L64" s="1"/>
      <c r="M64" s="2"/>
      <c r="N64" s="1"/>
      <c r="O64" s="2"/>
      <c r="P64" s="1"/>
      <c r="Q64" s="2"/>
      <c r="R64" s="1">
        <f>MIN($B64,$D64,$F64,$H64,$J64,$L64,$N64,$P64)</f>
        <v>0</v>
      </c>
      <c r="S64" s="1">
        <f>MIN($C64,$E64,$G64,$I64,$K64,$M64,$O64,$Q64)</f>
        <v>0</v>
      </c>
      <c r="T64" s="1">
        <f>MEDIAN($B64,$D64,$F64,$H64,$J64,$L64,$N64,$P64)</f>
        <v>0</v>
      </c>
      <c r="U64" s="1">
        <f>MEDIAN($C64,$E64,$G64,$I64,$K64,$M64,$O64,$Q64)</f>
        <v>0</v>
      </c>
      <c r="V64" s="1">
        <f>MAX($B64,$D64,$F64,$H64,$J64,$L64,$N64,$P64)</f>
        <v>0</v>
      </c>
      <c r="W64" s="1">
        <f>MAX($C64,$E64,$G64,$I64,$K64,$M64,$O64,$Q64)</f>
        <v>0</v>
      </c>
    </row>
    <row r="65" spans="1:23">
      <c r="A65" s="1" t="s">
        <v>62</v>
      </c>
      <c r="B65" s="1" cm="1">
        <f t="array" ref="B65">_xlfn.SWITCH($A$2,"average", AVERAGE(Instances!B65:Instances!B65),"median", MEDIAN(Instances!B65:Instances!B65),"min", MIN(Instances!B65:Instances!B65),"max", MAX(Instances!B65:Instances!B65),"diff", MAX(Instances!B65:Instances!B65)-MIN(Instances!B65:Instances!B65))</f>
        <v>0</v>
      </c>
      <c r="C65" s="1" cm="1">
        <f t="array" ref="C65">_xlfn.SWITCH($A$2,"average", AVERAGE(Instances!C65:Instances!C65),"median", MEDIAN(Instances!C65:Instances!C65),"min", MIN(Instances!C65:Instances!C65),"max", MAX(Instances!C65:Instances!C65),"diff", MAX(Instances!C65:Instances!C65)-MIN(Instances!C65:Instances!C65))</f>
        <v>0</v>
      </c>
      <c r="D65" s="1"/>
      <c r="E65" s="2"/>
      <c r="F65" s="1"/>
      <c r="G65" s="2"/>
      <c r="H65" s="1" cm="1">
        <f t="array" ref="H65">_xlfn.SWITCH($A$2,"average", AVERAGE(Instances!H65:Instances!H65),"median", MEDIAN(Instances!H65:Instances!H65),"min", MIN(Instances!H65:Instances!H65),"max", MAX(Instances!H65:Instances!H65),"diff", MAX(Instances!H65:Instances!H65)-MIN(Instances!H65:Instances!H65))</f>
        <v>0</v>
      </c>
      <c r="I65" s="1" cm="1">
        <f t="array" ref="I65">_xlfn.SWITCH($A$2,"average", AVERAGE(Instances!I65:Instances!I65),"median", MEDIAN(Instances!I65:Instances!I65),"min", MIN(Instances!I65:Instances!I65),"max", MAX(Instances!I65:Instances!I65),"diff", MAX(Instances!I65:Instances!I65)-MIN(Instances!I65:Instances!I65))</f>
        <v>0</v>
      </c>
      <c r="J65" s="1"/>
      <c r="K65" s="2"/>
      <c r="L65" s="1"/>
      <c r="M65" s="2"/>
      <c r="N65" s="1"/>
      <c r="O65" s="2"/>
      <c r="P65" s="1"/>
      <c r="Q65" s="2"/>
      <c r="R65" s="1">
        <f>MIN($B65,$D65,$F65,$H65,$J65,$L65,$N65,$P65)</f>
        <v>0</v>
      </c>
      <c r="S65" s="1">
        <f>MIN($C65,$E65,$G65,$I65,$K65,$M65,$O65,$Q65)</f>
        <v>0</v>
      </c>
      <c r="T65" s="1">
        <f>MEDIAN($B65,$D65,$F65,$H65,$J65,$L65,$N65,$P65)</f>
        <v>0</v>
      </c>
      <c r="U65" s="1">
        <f>MEDIAN($C65,$E65,$G65,$I65,$K65,$M65,$O65,$Q65)</f>
        <v>0</v>
      </c>
      <c r="V65" s="1">
        <f>MAX($B65,$D65,$F65,$H65,$J65,$L65,$N65,$P65)</f>
        <v>0</v>
      </c>
      <c r="W65" s="1">
        <f>MAX($C65,$E65,$G65,$I65,$K65,$M65,$O65,$Q65)</f>
        <v>0</v>
      </c>
    </row>
    <row r="66" spans="1:23">
      <c r="A66" s="1" t="s">
        <v>63</v>
      </c>
      <c r="B66" s="1" cm="1">
        <f t="array" ref="B66">_xlfn.SWITCH($A$2,"average", AVERAGE(Instances!B66:Instances!B66),"median", MEDIAN(Instances!B66:Instances!B66),"min", MIN(Instances!B66:Instances!B66),"max", MAX(Instances!B66:Instances!B66),"diff", MAX(Instances!B66:Instances!B66)-MIN(Instances!B66:Instances!B66))</f>
        <v>0</v>
      </c>
      <c r="C66" s="1" cm="1">
        <f t="array" ref="C66">_xlfn.SWITCH($A$2,"average", AVERAGE(Instances!C66:Instances!C66),"median", MEDIAN(Instances!C66:Instances!C66),"min", MIN(Instances!C66:Instances!C66),"max", MAX(Instances!C66:Instances!C66),"diff", MAX(Instances!C66:Instances!C66)-MIN(Instances!C66:Instances!C66))</f>
        <v>0</v>
      </c>
      <c r="D66" s="1"/>
      <c r="E66" s="2"/>
      <c r="F66" s="1"/>
      <c r="G66" s="2"/>
      <c r="H66" s="1" cm="1">
        <f t="array" ref="H66">_xlfn.SWITCH($A$2,"average", AVERAGE(Instances!H66:Instances!H66),"median", MEDIAN(Instances!H66:Instances!H66),"min", MIN(Instances!H66:Instances!H66),"max", MAX(Instances!H66:Instances!H66),"diff", MAX(Instances!H66:Instances!H66)-MIN(Instances!H66:Instances!H66))</f>
        <v>0</v>
      </c>
      <c r="I66" s="1" cm="1">
        <f t="array" ref="I66">_xlfn.SWITCH($A$2,"average", AVERAGE(Instances!I66:Instances!I66),"median", MEDIAN(Instances!I66:Instances!I66),"min", MIN(Instances!I66:Instances!I66),"max", MAX(Instances!I66:Instances!I66),"diff", MAX(Instances!I66:Instances!I66)-MIN(Instances!I66:Instances!I66))</f>
        <v>0</v>
      </c>
      <c r="J66" s="1"/>
      <c r="K66" s="2"/>
      <c r="L66" s="1"/>
      <c r="M66" s="2"/>
      <c r="N66" s="1"/>
      <c r="O66" s="2"/>
      <c r="P66" s="1"/>
      <c r="Q66" s="2"/>
      <c r="R66" s="1">
        <f>MIN($B66,$D66,$F66,$H66,$J66,$L66,$N66,$P66)</f>
        <v>0</v>
      </c>
      <c r="S66" s="1">
        <f>MIN($C66,$E66,$G66,$I66,$K66,$M66,$O66,$Q66)</f>
        <v>0</v>
      </c>
      <c r="T66" s="1">
        <f>MEDIAN($B66,$D66,$F66,$H66,$J66,$L66,$N66,$P66)</f>
        <v>0</v>
      </c>
      <c r="U66" s="1">
        <f>MEDIAN($C66,$E66,$G66,$I66,$K66,$M66,$O66,$Q66)</f>
        <v>0</v>
      </c>
      <c r="V66" s="1">
        <f>MAX($B66,$D66,$F66,$H66,$J66,$L66,$N66,$P66)</f>
        <v>0</v>
      </c>
      <c r="W66" s="1">
        <f>MAX($C66,$E66,$G66,$I66,$K66,$M66,$O66,$Q66)</f>
        <v>0</v>
      </c>
    </row>
    <row r="67" spans="1:23">
      <c r="A67" s="1" t="s">
        <v>64</v>
      </c>
      <c r="B67" s="1" cm="1">
        <f t="array" ref="B67">_xlfn.SWITCH($A$2,"average", AVERAGE(Instances!B67:Instances!B67),"median", MEDIAN(Instances!B67:Instances!B67),"min", MIN(Instances!B67:Instances!B67),"max", MAX(Instances!B67:Instances!B67),"diff", MAX(Instances!B67:Instances!B67)-MIN(Instances!B67:Instances!B67))</f>
        <v>0</v>
      </c>
      <c r="C67" s="1" cm="1">
        <f t="array" ref="C67">_xlfn.SWITCH($A$2,"average", AVERAGE(Instances!C67:Instances!C67),"median", MEDIAN(Instances!C67:Instances!C67),"min", MIN(Instances!C67:Instances!C67),"max", MAX(Instances!C67:Instances!C67),"diff", MAX(Instances!C67:Instances!C67)-MIN(Instances!C67:Instances!C67))</f>
        <v>0</v>
      </c>
      <c r="D67" s="1"/>
      <c r="E67" s="2"/>
      <c r="F67" s="1"/>
      <c r="G67" s="2"/>
      <c r="H67" s="1" cm="1">
        <f t="array" ref="H67">_xlfn.SWITCH($A$2,"average", AVERAGE(Instances!H67:Instances!H67),"median", MEDIAN(Instances!H67:Instances!H67),"min", MIN(Instances!H67:Instances!H67),"max", MAX(Instances!H67:Instances!H67),"diff", MAX(Instances!H67:Instances!H67)-MIN(Instances!H67:Instances!H67))</f>
        <v>0</v>
      </c>
      <c r="I67" s="1" cm="1">
        <f t="array" ref="I67">_xlfn.SWITCH($A$2,"average", AVERAGE(Instances!I67:Instances!I67),"median", MEDIAN(Instances!I67:Instances!I67),"min", MIN(Instances!I67:Instances!I67),"max", MAX(Instances!I67:Instances!I67),"diff", MAX(Instances!I67:Instances!I67)-MIN(Instances!I67:Instances!I67))</f>
        <v>0</v>
      </c>
      <c r="J67" s="1"/>
      <c r="K67" s="2"/>
      <c r="L67" s="1"/>
      <c r="M67" s="2"/>
      <c r="N67" s="1"/>
      <c r="O67" s="2"/>
      <c r="P67" s="1"/>
      <c r="Q67" s="2"/>
      <c r="R67" s="1">
        <f>MIN($B67,$D67,$F67,$H67,$J67,$L67,$N67,$P67)</f>
        <v>0</v>
      </c>
      <c r="S67" s="1">
        <f>MIN($C67,$E67,$G67,$I67,$K67,$M67,$O67,$Q67)</f>
        <v>0</v>
      </c>
      <c r="T67" s="1">
        <f>MEDIAN($B67,$D67,$F67,$H67,$J67,$L67,$N67,$P67)</f>
        <v>0</v>
      </c>
      <c r="U67" s="1">
        <f>MEDIAN($C67,$E67,$G67,$I67,$K67,$M67,$O67,$Q67)</f>
        <v>0</v>
      </c>
      <c r="V67" s="1">
        <f>MAX($B67,$D67,$F67,$H67,$J67,$L67,$N67,$P67)</f>
        <v>0</v>
      </c>
      <c r="W67" s="1">
        <f>MAX($C67,$E67,$G67,$I67,$K67,$M67,$O67,$Q67)</f>
        <v>0</v>
      </c>
    </row>
    <row r="68" spans="1:23">
      <c r="A68" s="1" t="s">
        <v>65</v>
      </c>
      <c r="B68" s="1" cm="1">
        <f t="array" ref="B68">_xlfn.SWITCH($A$2,"average", AVERAGE(Instances!B68:Instances!B68),"median", MEDIAN(Instances!B68:Instances!B68),"min", MIN(Instances!B68:Instances!B68),"max", MAX(Instances!B68:Instances!B68),"diff", MAX(Instances!B68:Instances!B68)-MIN(Instances!B68:Instances!B68))</f>
        <v>0</v>
      </c>
      <c r="C68" s="1" cm="1">
        <f t="array" ref="C68">_xlfn.SWITCH($A$2,"average", AVERAGE(Instances!C68:Instances!C68),"median", MEDIAN(Instances!C68:Instances!C68),"min", MIN(Instances!C68:Instances!C68),"max", MAX(Instances!C68:Instances!C68),"diff", MAX(Instances!C68:Instances!C68)-MIN(Instances!C68:Instances!C68))</f>
        <v>0</v>
      </c>
      <c r="D68" s="1"/>
      <c r="E68" s="2"/>
      <c r="F68" s="1"/>
      <c r="G68" s="2"/>
      <c r="H68" s="1" cm="1">
        <f t="array" ref="H68">_xlfn.SWITCH($A$2,"average", AVERAGE(Instances!H68:Instances!H68),"median", MEDIAN(Instances!H68:Instances!H68),"min", MIN(Instances!H68:Instances!H68),"max", MAX(Instances!H68:Instances!H68),"diff", MAX(Instances!H68:Instances!H68)-MIN(Instances!H68:Instances!H68))</f>
        <v>0</v>
      </c>
      <c r="I68" s="1" cm="1">
        <f t="array" ref="I68">_xlfn.SWITCH($A$2,"average", AVERAGE(Instances!I68:Instances!I68),"median", MEDIAN(Instances!I68:Instances!I68),"min", MIN(Instances!I68:Instances!I68),"max", MAX(Instances!I68:Instances!I68),"diff", MAX(Instances!I68:Instances!I68)-MIN(Instances!I68:Instances!I68))</f>
        <v>0</v>
      </c>
      <c r="J68" s="1"/>
      <c r="K68" s="2"/>
      <c r="L68" s="1"/>
      <c r="M68" s="2"/>
      <c r="N68" s="1"/>
      <c r="O68" s="2"/>
      <c r="P68" s="1"/>
      <c r="Q68" s="2"/>
      <c r="R68" s="1">
        <f>MIN($B68,$D68,$F68,$H68,$J68,$L68,$N68,$P68)</f>
        <v>0</v>
      </c>
      <c r="S68" s="1">
        <f>MIN($C68,$E68,$G68,$I68,$K68,$M68,$O68,$Q68)</f>
        <v>0</v>
      </c>
      <c r="T68" s="1">
        <f>MEDIAN($B68,$D68,$F68,$H68,$J68,$L68,$N68,$P68)</f>
        <v>0</v>
      </c>
      <c r="U68" s="1">
        <f>MEDIAN($C68,$E68,$G68,$I68,$K68,$M68,$O68,$Q68)</f>
        <v>0</v>
      </c>
      <c r="V68" s="1">
        <f>MAX($B68,$D68,$F68,$H68,$J68,$L68,$N68,$P68)</f>
        <v>0</v>
      </c>
      <c r="W68" s="1">
        <f>MAX($C68,$E68,$G68,$I68,$K68,$M68,$O68,$Q68)</f>
        <v>0</v>
      </c>
    </row>
    <row r="69" spans="1:23">
      <c r="A69" s="1" t="s">
        <v>66</v>
      </c>
      <c r="B69" s="1" cm="1">
        <f t="array" ref="B69">_xlfn.SWITCH($A$2,"average", AVERAGE(Instances!B69:Instances!B69),"median", MEDIAN(Instances!B69:Instances!B69),"min", MIN(Instances!B69:Instances!B69),"max", MAX(Instances!B69:Instances!B69),"diff", MAX(Instances!B69:Instances!B69)-MIN(Instances!B69:Instances!B69))</f>
        <v>0</v>
      </c>
      <c r="C69" s="1" cm="1">
        <f t="array" ref="C69">_xlfn.SWITCH($A$2,"average", AVERAGE(Instances!C69:Instances!C69),"median", MEDIAN(Instances!C69:Instances!C69),"min", MIN(Instances!C69:Instances!C69),"max", MAX(Instances!C69:Instances!C69),"diff", MAX(Instances!C69:Instances!C69)-MIN(Instances!C69:Instances!C69))</f>
        <v>0</v>
      </c>
      <c r="D69" s="1"/>
      <c r="E69" s="2"/>
      <c r="F69" s="1"/>
      <c r="G69" s="2"/>
      <c r="H69" s="1" cm="1">
        <f t="array" ref="H69">_xlfn.SWITCH($A$2,"average", AVERAGE(Instances!H69:Instances!H69),"median", MEDIAN(Instances!H69:Instances!H69),"min", MIN(Instances!H69:Instances!H69),"max", MAX(Instances!H69:Instances!H69),"diff", MAX(Instances!H69:Instances!H69)-MIN(Instances!H69:Instances!H69))</f>
        <v>0</v>
      </c>
      <c r="I69" s="1" cm="1">
        <f t="array" ref="I69">_xlfn.SWITCH($A$2,"average", AVERAGE(Instances!I69:Instances!I69),"median", MEDIAN(Instances!I69:Instances!I69),"min", MIN(Instances!I69:Instances!I69),"max", MAX(Instances!I69:Instances!I69),"diff", MAX(Instances!I69:Instances!I69)-MIN(Instances!I69:Instances!I69))</f>
        <v>0</v>
      </c>
      <c r="J69" s="1"/>
      <c r="K69" s="2"/>
      <c r="L69" s="1"/>
      <c r="M69" s="2"/>
      <c r="N69" s="1"/>
      <c r="O69" s="2"/>
      <c r="P69" s="1"/>
      <c r="Q69" s="2"/>
      <c r="R69" s="1">
        <f>MIN($B69,$D69,$F69,$H69,$J69,$L69,$N69,$P69)</f>
        <v>0</v>
      </c>
      <c r="S69" s="1">
        <f>MIN($C69,$E69,$G69,$I69,$K69,$M69,$O69,$Q69)</f>
        <v>0</v>
      </c>
      <c r="T69" s="1">
        <f>MEDIAN($B69,$D69,$F69,$H69,$J69,$L69,$N69,$P69)</f>
        <v>0</v>
      </c>
      <c r="U69" s="1">
        <f>MEDIAN($C69,$E69,$G69,$I69,$K69,$M69,$O69,$Q69)</f>
        <v>0</v>
      </c>
      <c r="V69" s="1">
        <f>MAX($B69,$D69,$F69,$H69,$J69,$L69,$N69,$P69)</f>
        <v>0</v>
      </c>
      <c r="W69" s="1">
        <f>MAX($C69,$E69,$G69,$I69,$K69,$M69,$O69,$Q69)</f>
        <v>0</v>
      </c>
    </row>
    <row r="70" spans="1:23">
      <c r="A70" s="1" t="s">
        <v>67</v>
      </c>
      <c r="B70" s="1" cm="1">
        <f t="array" ref="B70">_xlfn.SWITCH($A$2,"average", AVERAGE(Instances!B70:Instances!B70),"median", MEDIAN(Instances!B70:Instances!B70),"min", MIN(Instances!B70:Instances!B70),"max", MAX(Instances!B70:Instances!B70),"diff", MAX(Instances!B70:Instances!B70)-MIN(Instances!B70:Instances!B70))</f>
        <v>0</v>
      </c>
      <c r="C70" s="1" cm="1">
        <f t="array" ref="C70">_xlfn.SWITCH($A$2,"average", AVERAGE(Instances!C70:Instances!C70),"median", MEDIAN(Instances!C70:Instances!C70),"min", MIN(Instances!C70:Instances!C70),"max", MAX(Instances!C70:Instances!C70),"diff", MAX(Instances!C70:Instances!C70)-MIN(Instances!C70:Instances!C70))</f>
        <v>0</v>
      </c>
      <c r="D70" s="1"/>
      <c r="E70" s="2"/>
      <c r="F70" s="1"/>
      <c r="G70" s="2"/>
      <c r="H70" s="1" cm="1">
        <f t="array" ref="H70">_xlfn.SWITCH($A$2,"average", AVERAGE(Instances!H70:Instances!H70),"median", MEDIAN(Instances!H70:Instances!H70),"min", MIN(Instances!H70:Instances!H70),"max", MAX(Instances!H70:Instances!H70),"diff", MAX(Instances!H70:Instances!H70)-MIN(Instances!H70:Instances!H70))</f>
        <v>0</v>
      </c>
      <c r="I70" s="1" cm="1">
        <f t="array" ref="I70">_xlfn.SWITCH($A$2,"average", AVERAGE(Instances!I70:Instances!I70),"median", MEDIAN(Instances!I70:Instances!I70),"min", MIN(Instances!I70:Instances!I70),"max", MAX(Instances!I70:Instances!I70),"diff", MAX(Instances!I70:Instances!I70)-MIN(Instances!I70:Instances!I70))</f>
        <v>0</v>
      </c>
      <c r="J70" s="1"/>
      <c r="K70" s="2"/>
      <c r="L70" s="1"/>
      <c r="M70" s="2"/>
      <c r="N70" s="1"/>
      <c r="O70" s="2"/>
      <c r="P70" s="1"/>
      <c r="Q70" s="2"/>
      <c r="R70" s="1">
        <f>MIN($B70,$D70,$F70,$H70,$J70,$L70,$N70,$P70)</f>
        <v>0</v>
      </c>
      <c r="S70" s="1">
        <f>MIN($C70,$E70,$G70,$I70,$K70,$M70,$O70,$Q70)</f>
        <v>0</v>
      </c>
      <c r="T70" s="1">
        <f>MEDIAN($B70,$D70,$F70,$H70,$J70,$L70,$N70,$P70)</f>
        <v>0</v>
      </c>
      <c r="U70" s="1">
        <f>MEDIAN($C70,$E70,$G70,$I70,$K70,$M70,$O70,$Q70)</f>
        <v>0</v>
      </c>
      <c r="V70" s="1">
        <f>MAX($B70,$D70,$F70,$H70,$J70,$L70,$N70,$P70)</f>
        <v>0</v>
      </c>
      <c r="W70" s="1">
        <f>MAX($C70,$E70,$G70,$I70,$K70,$M70,$O70,$Q70)</f>
        <v>0</v>
      </c>
    </row>
    <row r="71" spans="1:23">
      <c r="A71" s="1" t="s">
        <v>68</v>
      </c>
      <c r="B71" s="1" cm="1">
        <f t="array" ref="B71">_xlfn.SWITCH($A$2,"average", AVERAGE(Instances!B71:Instances!B71),"median", MEDIAN(Instances!B71:Instances!B71),"min", MIN(Instances!B71:Instances!B71),"max", MAX(Instances!B71:Instances!B71),"diff", MAX(Instances!B71:Instances!B71)-MIN(Instances!B71:Instances!B71))</f>
        <v>0</v>
      </c>
      <c r="C71" s="1" cm="1">
        <f t="array" ref="C71">_xlfn.SWITCH($A$2,"average", AVERAGE(Instances!C71:Instances!C71),"median", MEDIAN(Instances!C71:Instances!C71),"min", MIN(Instances!C71:Instances!C71),"max", MAX(Instances!C71:Instances!C71),"diff", MAX(Instances!C71:Instances!C71)-MIN(Instances!C71:Instances!C71))</f>
        <v>0</v>
      </c>
      <c r="D71" s="1"/>
      <c r="E71" s="2"/>
      <c r="F71" s="1"/>
      <c r="G71" s="2"/>
      <c r="H71" s="1" cm="1">
        <f t="array" ref="H71">_xlfn.SWITCH($A$2,"average", AVERAGE(Instances!H71:Instances!H71),"median", MEDIAN(Instances!H71:Instances!H71),"min", MIN(Instances!H71:Instances!H71),"max", MAX(Instances!H71:Instances!H71),"diff", MAX(Instances!H71:Instances!H71)-MIN(Instances!H71:Instances!H71))</f>
        <v>0</v>
      </c>
      <c r="I71" s="1" cm="1">
        <f t="array" ref="I71">_xlfn.SWITCH($A$2,"average", AVERAGE(Instances!I71:Instances!I71),"median", MEDIAN(Instances!I71:Instances!I71),"min", MIN(Instances!I71:Instances!I71),"max", MAX(Instances!I71:Instances!I71),"diff", MAX(Instances!I71:Instances!I71)-MIN(Instances!I71:Instances!I71))</f>
        <v>0</v>
      </c>
      <c r="J71" s="1"/>
      <c r="K71" s="2"/>
      <c r="L71" s="1"/>
      <c r="M71" s="2"/>
      <c r="N71" s="1"/>
      <c r="O71" s="2"/>
      <c r="P71" s="1"/>
      <c r="Q71" s="2"/>
      <c r="R71" s="1">
        <f>MIN($B71,$D71,$F71,$H71,$J71,$L71,$N71,$P71)</f>
        <v>0</v>
      </c>
      <c r="S71" s="1">
        <f>MIN($C71,$E71,$G71,$I71,$K71,$M71,$O71,$Q71)</f>
        <v>0</v>
      </c>
      <c r="T71" s="1">
        <f>MEDIAN($B71,$D71,$F71,$H71,$J71,$L71,$N71,$P71)</f>
        <v>0</v>
      </c>
      <c r="U71" s="1">
        <f>MEDIAN($C71,$E71,$G71,$I71,$K71,$M71,$O71,$Q71)</f>
        <v>0</v>
      </c>
      <c r="V71" s="1">
        <f>MAX($B71,$D71,$F71,$H71,$J71,$L71,$N71,$P71)</f>
        <v>0</v>
      </c>
      <c r="W71" s="1">
        <f>MAX($C71,$E71,$G71,$I71,$K71,$M71,$O71,$Q71)</f>
        <v>0</v>
      </c>
    </row>
    <row r="72" spans="1:23">
      <c r="A72" s="1" t="s">
        <v>69</v>
      </c>
      <c r="B72" s="1" cm="1">
        <f t="array" ref="B72">_xlfn.SWITCH($A$2,"average", AVERAGE(Instances!B72:Instances!B72),"median", MEDIAN(Instances!B72:Instances!B72),"min", MIN(Instances!B72:Instances!B72),"max", MAX(Instances!B72:Instances!B72),"diff", MAX(Instances!B72:Instances!B72)-MIN(Instances!B72:Instances!B72))</f>
        <v>0</v>
      </c>
      <c r="C72" s="1" cm="1">
        <f t="array" ref="C72">_xlfn.SWITCH($A$2,"average", AVERAGE(Instances!C72:Instances!C72),"median", MEDIAN(Instances!C72:Instances!C72),"min", MIN(Instances!C72:Instances!C72),"max", MAX(Instances!C72:Instances!C72),"diff", MAX(Instances!C72:Instances!C72)-MIN(Instances!C72:Instances!C72))</f>
        <v>0</v>
      </c>
      <c r="D72" s="1"/>
      <c r="E72" s="2"/>
      <c r="F72" s="1"/>
      <c r="G72" s="2"/>
      <c r="H72" s="1" cm="1">
        <f t="array" ref="H72">_xlfn.SWITCH($A$2,"average", AVERAGE(Instances!H72:Instances!H72),"median", MEDIAN(Instances!H72:Instances!H72),"min", MIN(Instances!H72:Instances!H72),"max", MAX(Instances!H72:Instances!H72),"diff", MAX(Instances!H72:Instances!H72)-MIN(Instances!H72:Instances!H72))</f>
        <v>0</v>
      </c>
      <c r="I72" s="1" cm="1">
        <f t="array" ref="I72">_xlfn.SWITCH($A$2,"average", AVERAGE(Instances!I72:Instances!I72),"median", MEDIAN(Instances!I72:Instances!I72),"min", MIN(Instances!I72:Instances!I72),"max", MAX(Instances!I72:Instances!I72),"diff", MAX(Instances!I72:Instances!I72)-MIN(Instances!I72:Instances!I72))</f>
        <v>0</v>
      </c>
      <c r="J72" s="1"/>
      <c r="K72" s="2"/>
      <c r="L72" s="1"/>
      <c r="M72" s="2"/>
      <c r="N72" s="1"/>
      <c r="O72" s="2"/>
      <c r="P72" s="1"/>
      <c r="Q72" s="2"/>
      <c r="R72" s="1">
        <f>MIN($B72,$D72,$F72,$H72,$J72,$L72,$N72,$P72)</f>
        <v>0</v>
      </c>
      <c r="S72" s="1">
        <f>MIN($C72,$E72,$G72,$I72,$K72,$M72,$O72,$Q72)</f>
        <v>0</v>
      </c>
      <c r="T72" s="1">
        <f>MEDIAN($B72,$D72,$F72,$H72,$J72,$L72,$N72,$P72)</f>
        <v>0</v>
      </c>
      <c r="U72" s="1">
        <f>MEDIAN($C72,$E72,$G72,$I72,$K72,$M72,$O72,$Q72)</f>
        <v>0</v>
      </c>
      <c r="V72" s="1">
        <f>MAX($B72,$D72,$F72,$H72,$J72,$L72,$N72,$P72)</f>
        <v>0</v>
      </c>
      <c r="W72" s="1">
        <f>MAX($C72,$E72,$G72,$I72,$K72,$M72,$O72,$Q72)</f>
        <v>0</v>
      </c>
    </row>
    <row r="73" spans="1:23">
      <c r="A73" s="1" t="s">
        <v>70</v>
      </c>
      <c r="B73" s="1" cm="1">
        <f t="array" ref="B73">_xlfn.SWITCH($A$2,"average", AVERAGE(Instances!B73:Instances!B73),"median", MEDIAN(Instances!B73:Instances!B73),"min", MIN(Instances!B73:Instances!B73),"max", MAX(Instances!B73:Instances!B73),"diff", MAX(Instances!B73:Instances!B73)-MIN(Instances!B73:Instances!B73))</f>
        <v>0</v>
      </c>
      <c r="C73" s="1" cm="1">
        <f t="array" ref="C73">_xlfn.SWITCH($A$2,"average", AVERAGE(Instances!C73:Instances!C73),"median", MEDIAN(Instances!C73:Instances!C73),"min", MIN(Instances!C73:Instances!C73),"max", MAX(Instances!C73:Instances!C73),"diff", MAX(Instances!C73:Instances!C73)-MIN(Instances!C73:Instances!C73))</f>
        <v>0</v>
      </c>
      <c r="D73" s="1"/>
      <c r="E73" s="2"/>
      <c r="F73" s="1"/>
      <c r="G73" s="2"/>
      <c r="H73" s="1" cm="1">
        <f t="array" ref="H73">_xlfn.SWITCH($A$2,"average", AVERAGE(Instances!H73:Instances!H73),"median", MEDIAN(Instances!H73:Instances!H73),"min", MIN(Instances!H73:Instances!H73),"max", MAX(Instances!H73:Instances!H73),"diff", MAX(Instances!H73:Instances!H73)-MIN(Instances!H73:Instances!H73))</f>
        <v>0</v>
      </c>
      <c r="I73" s="1" cm="1">
        <f t="array" ref="I73">_xlfn.SWITCH($A$2,"average", AVERAGE(Instances!I73:Instances!I73),"median", MEDIAN(Instances!I73:Instances!I73),"min", MIN(Instances!I73:Instances!I73),"max", MAX(Instances!I73:Instances!I73),"diff", MAX(Instances!I73:Instances!I73)-MIN(Instances!I73:Instances!I73))</f>
        <v>0</v>
      </c>
      <c r="J73" s="1"/>
      <c r="K73" s="2"/>
      <c r="L73" s="1"/>
      <c r="M73" s="2"/>
      <c r="N73" s="1"/>
      <c r="O73" s="2"/>
      <c r="P73" s="1"/>
      <c r="Q73" s="2"/>
      <c r="R73" s="1">
        <f>MIN($B73,$D73,$F73,$H73,$J73,$L73,$N73,$P73)</f>
        <v>0</v>
      </c>
      <c r="S73" s="1">
        <f>MIN($C73,$E73,$G73,$I73,$K73,$M73,$O73,$Q73)</f>
        <v>0</v>
      </c>
      <c r="T73" s="1">
        <f>MEDIAN($B73,$D73,$F73,$H73,$J73,$L73,$N73,$P73)</f>
        <v>0</v>
      </c>
      <c r="U73" s="1">
        <f>MEDIAN($C73,$E73,$G73,$I73,$K73,$M73,$O73,$Q73)</f>
        <v>0</v>
      </c>
      <c r="V73" s="1">
        <f>MAX($B73,$D73,$F73,$H73,$J73,$L73,$N73,$P73)</f>
        <v>0</v>
      </c>
      <c r="W73" s="1">
        <f>MAX($C73,$E73,$G73,$I73,$K73,$M73,$O73,$Q73)</f>
        <v>0</v>
      </c>
    </row>
    <row r="74" spans="1:23">
      <c r="A74" s="1" t="s">
        <v>71</v>
      </c>
      <c r="B74" s="1"/>
      <c r="C74" s="1"/>
      <c r="D74" s="1" cm="1">
        <f t="array" ref="D74">_xlfn.SWITCH($A$2,"average", AVERAGE(Instances!D74:Instances!D74),"median", MEDIAN(Instances!D74:Instances!D74),"min", MIN(Instances!D74:Instances!D74),"max", MAX(Instances!D74:Instances!D74),"diff", MAX(Instances!D74:Instances!D74)-MIN(Instances!D74:Instances!D74))</f>
        <v>0</v>
      </c>
      <c r="E74" s="1" cm="1">
        <f t="array" ref="E74">_xlfn.SWITCH($A$2,"average", AVERAGE(Instances!E74:Instances!E74),"median", MEDIAN(Instances!E74:Instances!E74),"min", MIN(Instances!E74:Instances!E74),"max", MAX(Instances!E74:Instances!E74),"diff", MAX(Instances!E74:Instances!E74)-MIN(Instances!E74:Instances!E74))</f>
        <v>0</v>
      </c>
      <c r="F74" s="1" cm="1">
        <f t="array" ref="F74">_xlfn.SWITCH($A$2,"average", AVERAGE(Instances!F74:Instances!F74),"median", MEDIAN(Instances!F74:Instances!F74),"min", MIN(Instances!F74:Instances!F74),"max", MAX(Instances!F74:Instances!F74),"diff", MAX(Instances!F74:Instances!F74)-MIN(Instances!F74:Instances!F74))</f>
        <v>0</v>
      </c>
      <c r="G74" s="1" cm="1">
        <f t="array" ref="G74">_xlfn.SWITCH($A$2,"average", AVERAGE(Instances!G74:Instances!G74),"median", MEDIAN(Instances!G74:Instances!G74),"min", MIN(Instances!G74:Instances!G74),"max", MAX(Instances!G74:Instances!G74),"diff", MAX(Instances!G74:Instances!G74)-MIN(Instances!G74:Instances!G74))</f>
        <v>0</v>
      </c>
      <c r="H74" s="1"/>
      <c r="I74" s="1"/>
      <c r="J74" s="1" cm="1">
        <f t="array" ref="J74">_xlfn.SWITCH($A$2,"average", AVERAGE(Instances!J74:Instances!J74),"median", MEDIAN(Instances!J74:Instances!J74),"min", MIN(Instances!J74:Instances!J74),"max", MAX(Instances!J74:Instances!J74),"diff", MAX(Instances!J74:Instances!J74)-MIN(Instances!J74:Instances!J74))</f>
        <v>0</v>
      </c>
      <c r="K74" s="1" cm="1">
        <f t="array" ref="K74">_xlfn.SWITCH($A$2,"average", AVERAGE(Instances!K74:Instances!K74),"median", MEDIAN(Instances!K74:Instances!K74),"min", MIN(Instances!K74:Instances!K74),"max", MAX(Instances!K74:Instances!K74),"diff", MAX(Instances!K74:Instances!K74)-MIN(Instances!K74:Instances!K74))</f>
        <v>0</v>
      </c>
      <c r="L74" s="1" cm="1">
        <f t="array" ref="L74">_xlfn.SWITCH($A$2,"average", AVERAGE(Instances!L74:Instances!L74),"median", MEDIAN(Instances!L74:Instances!L74),"min", MIN(Instances!L74:Instances!L74),"max", MAX(Instances!L74:Instances!L74),"diff", MAX(Instances!L74:Instances!L74)-MIN(Instances!L74:Instances!L74))</f>
        <v>0</v>
      </c>
      <c r="M74" s="1" cm="1">
        <f t="array" ref="M74">_xlfn.SWITCH($A$2,"average", AVERAGE(Instances!M74:Instances!M74),"median", MEDIAN(Instances!M74:Instances!M74),"min", MIN(Instances!M74:Instances!M74),"max", MAX(Instances!M74:Instances!M74),"diff", MAX(Instances!M74:Instances!M74)-MIN(Instances!M74:Instances!M74))</f>
        <v>0</v>
      </c>
      <c r="N74" s="1" cm="1">
        <f t="array" ref="N74">_xlfn.SWITCH($A$2,"average", AVERAGE(Instances!N74:Instances!N74),"median", MEDIAN(Instances!N74:Instances!N74),"min", MIN(Instances!N74:Instances!N74),"max", MAX(Instances!N74:Instances!N74),"diff", MAX(Instances!N74:Instances!N74)-MIN(Instances!N74:Instances!N74))</f>
        <v>0</v>
      </c>
      <c r="O74" s="1" cm="1">
        <f t="array" ref="O74">_xlfn.SWITCH($A$2,"average", AVERAGE(Instances!O74:Instances!O74),"median", MEDIAN(Instances!O74:Instances!O74),"min", MIN(Instances!O74:Instances!O74),"max", MAX(Instances!O74:Instances!O74),"diff", MAX(Instances!O74:Instances!O74)-MIN(Instances!O74:Instances!O74))</f>
        <v>0</v>
      </c>
      <c r="P74" s="1" cm="1">
        <f t="array" ref="P74">_xlfn.SWITCH($A$2,"average", AVERAGE(Instances!P74:Instances!P74),"median", MEDIAN(Instances!P74:Instances!P74),"min", MIN(Instances!P74:Instances!P74),"max", MAX(Instances!P74:Instances!P74),"diff", MAX(Instances!P74:Instances!P74)-MIN(Instances!P74:Instances!P74))</f>
        <v>0</v>
      </c>
      <c r="Q74" s="1" cm="1">
        <f t="array" ref="Q74">_xlfn.SWITCH($A$2,"average", AVERAGE(Instances!Q74:Instances!Q74),"median", MEDIAN(Instances!Q74:Instances!Q74),"min", MIN(Instances!Q74:Instances!Q74),"max", MAX(Instances!Q74:Instances!Q74),"diff", MAX(Instances!Q74:Instances!Q74)-MIN(Instances!Q74:Instances!Q74))</f>
        <v>0</v>
      </c>
      <c r="R74" s="1">
        <f>MIN($B74,$D74,$F74,$H74,$J74,$L74,$N74,$P74)</f>
        <v>0</v>
      </c>
      <c r="S74" s="1">
        <f>MIN($C74,$E74,$G74,$I74,$K74,$M74,$O74,$Q74)</f>
        <v>0</v>
      </c>
      <c r="T74" s="1">
        <f>MEDIAN($B74,$D74,$F74,$H74,$J74,$L74,$N74,$P74)</f>
        <v>0</v>
      </c>
      <c r="U74" s="1">
        <f>MEDIAN($C74,$E74,$G74,$I74,$K74,$M74,$O74,$Q74)</f>
        <v>0</v>
      </c>
      <c r="V74" s="1">
        <f>MAX($B74,$D74,$F74,$H74,$J74,$L74,$N74,$P74)</f>
        <v>0</v>
      </c>
      <c r="W74" s="1">
        <f>MAX($C74,$E74,$G74,$I74,$K74,$M74,$O74,$Q74)</f>
        <v>0</v>
      </c>
    </row>
    <row r="75" spans="1:23">
      <c r="A75" s="1" t="s">
        <v>72</v>
      </c>
      <c r="B75" s="1"/>
      <c r="C75" s="1"/>
      <c r="D75" s="1" cm="1">
        <f t="array" ref="D75">_xlfn.SWITCH($A$2,"average", AVERAGE(Instances!D75:Instances!D75),"median", MEDIAN(Instances!D75:Instances!D75),"min", MIN(Instances!D75:Instances!D75),"max", MAX(Instances!D75:Instances!D75),"diff", MAX(Instances!D75:Instances!D75)-MIN(Instances!D75:Instances!D75))</f>
        <v>0</v>
      </c>
      <c r="E75" s="1" cm="1">
        <f t="array" ref="E75">_xlfn.SWITCH($A$2,"average", AVERAGE(Instances!E75:Instances!E75),"median", MEDIAN(Instances!E75:Instances!E75),"min", MIN(Instances!E75:Instances!E75),"max", MAX(Instances!E75:Instances!E75),"diff", MAX(Instances!E75:Instances!E75)-MIN(Instances!E75:Instances!E75))</f>
        <v>0</v>
      </c>
      <c r="F75" s="1" cm="1">
        <f t="array" ref="F75">_xlfn.SWITCH($A$2,"average", AVERAGE(Instances!F75:Instances!F75),"median", MEDIAN(Instances!F75:Instances!F75),"min", MIN(Instances!F75:Instances!F75),"max", MAX(Instances!F75:Instances!F75),"diff", MAX(Instances!F75:Instances!F75)-MIN(Instances!F75:Instances!F75))</f>
        <v>0</v>
      </c>
      <c r="G75" s="1" cm="1">
        <f t="array" ref="G75">_xlfn.SWITCH($A$2,"average", AVERAGE(Instances!G75:Instances!G75),"median", MEDIAN(Instances!G75:Instances!G75),"min", MIN(Instances!G75:Instances!G75),"max", MAX(Instances!G75:Instances!G75),"diff", MAX(Instances!G75:Instances!G75)-MIN(Instances!G75:Instances!G75))</f>
        <v>0</v>
      </c>
      <c r="H75" s="1"/>
      <c r="I75" s="1"/>
      <c r="J75" s="1" cm="1">
        <f t="array" ref="J75">_xlfn.SWITCH($A$2,"average", AVERAGE(Instances!J75:Instances!J75),"median", MEDIAN(Instances!J75:Instances!J75),"min", MIN(Instances!J75:Instances!J75),"max", MAX(Instances!J75:Instances!J75),"diff", MAX(Instances!J75:Instances!J75)-MIN(Instances!J75:Instances!J75))</f>
        <v>0</v>
      </c>
      <c r="K75" s="1" cm="1">
        <f t="array" ref="K75">_xlfn.SWITCH($A$2,"average", AVERAGE(Instances!K75:Instances!K75),"median", MEDIAN(Instances!K75:Instances!K75),"min", MIN(Instances!K75:Instances!K75),"max", MAX(Instances!K75:Instances!K75),"diff", MAX(Instances!K75:Instances!K75)-MIN(Instances!K75:Instances!K75))</f>
        <v>0</v>
      </c>
      <c r="L75" s="1" cm="1">
        <f t="array" ref="L75">_xlfn.SWITCH($A$2,"average", AVERAGE(Instances!L75:Instances!L75),"median", MEDIAN(Instances!L75:Instances!L75),"min", MIN(Instances!L75:Instances!L75),"max", MAX(Instances!L75:Instances!L75),"diff", MAX(Instances!L75:Instances!L75)-MIN(Instances!L75:Instances!L75))</f>
        <v>0</v>
      </c>
      <c r="M75" s="1" cm="1">
        <f t="array" ref="M75">_xlfn.SWITCH($A$2,"average", AVERAGE(Instances!M75:Instances!M75),"median", MEDIAN(Instances!M75:Instances!M75),"min", MIN(Instances!M75:Instances!M75),"max", MAX(Instances!M75:Instances!M75),"diff", MAX(Instances!M75:Instances!M75)-MIN(Instances!M75:Instances!M75))</f>
        <v>0</v>
      </c>
      <c r="N75" s="1" cm="1">
        <f t="array" ref="N75">_xlfn.SWITCH($A$2,"average", AVERAGE(Instances!N75:Instances!N75),"median", MEDIAN(Instances!N75:Instances!N75),"min", MIN(Instances!N75:Instances!N75),"max", MAX(Instances!N75:Instances!N75),"diff", MAX(Instances!N75:Instances!N75)-MIN(Instances!N75:Instances!N75))</f>
        <v>0</v>
      </c>
      <c r="O75" s="1" cm="1">
        <f t="array" ref="O75">_xlfn.SWITCH($A$2,"average", AVERAGE(Instances!O75:Instances!O75),"median", MEDIAN(Instances!O75:Instances!O75),"min", MIN(Instances!O75:Instances!O75),"max", MAX(Instances!O75:Instances!O75),"diff", MAX(Instances!O75:Instances!O75)-MIN(Instances!O75:Instances!O75))</f>
        <v>0</v>
      </c>
      <c r="P75" s="1" cm="1">
        <f t="array" ref="P75">_xlfn.SWITCH($A$2,"average", AVERAGE(Instances!P75:Instances!P75),"median", MEDIAN(Instances!P75:Instances!P75),"min", MIN(Instances!P75:Instances!P75),"max", MAX(Instances!P75:Instances!P75),"diff", MAX(Instances!P75:Instances!P75)-MIN(Instances!P75:Instances!P75))</f>
        <v>0</v>
      </c>
      <c r="Q75" s="1" cm="1">
        <f t="array" ref="Q75">_xlfn.SWITCH($A$2,"average", AVERAGE(Instances!Q75:Instances!Q75),"median", MEDIAN(Instances!Q75:Instances!Q75),"min", MIN(Instances!Q75:Instances!Q75),"max", MAX(Instances!Q75:Instances!Q75),"diff", MAX(Instances!Q75:Instances!Q75)-MIN(Instances!Q75:Instances!Q75))</f>
        <v>0</v>
      </c>
      <c r="R75" s="1">
        <f>MIN($B75,$D75,$F75,$H75,$J75,$L75,$N75,$P75)</f>
        <v>0</v>
      </c>
      <c r="S75" s="1">
        <f>MIN($C75,$E75,$G75,$I75,$K75,$M75,$O75,$Q75)</f>
        <v>0</v>
      </c>
      <c r="T75" s="1">
        <f>MEDIAN($B75,$D75,$F75,$H75,$J75,$L75,$N75,$P75)</f>
        <v>0</v>
      </c>
      <c r="U75" s="1">
        <f>MEDIAN($C75,$E75,$G75,$I75,$K75,$M75,$O75,$Q75)</f>
        <v>0</v>
      </c>
      <c r="V75" s="1">
        <f>MAX($B75,$D75,$F75,$H75,$J75,$L75,$N75,$P75)</f>
        <v>0</v>
      </c>
      <c r="W75" s="1">
        <f>MAX($C75,$E75,$G75,$I75,$K75,$M75,$O75,$Q75)</f>
        <v>0</v>
      </c>
    </row>
    <row r="76" spans="1:23">
      <c r="A76" s="1" t="s">
        <v>73</v>
      </c>
      <c r="B76" s="1"/>
      <c r="C76" s="1"/>
      <c r="D76" s="1" cm="1">
        <f t="array" ref="D76">_xlfn.SWITCH($A$2,"average", AVERAGE(Instances!D76:Instances!D76),"median", MEDIAN(Instances!D76:Instances!D76),"min", MIN(Instances!D76:Instances!D76),"max", MAX(Instances!D76:Instances!D76),"diff", MAX(Instances!D76:Instances!D76)-MIN(Instances!D76:Instances!D76))</f>
        <v>0</v>
      </c>
      <c r="E76" s="1" cm="1">
        <f t="array" ref="E76">_xlfn.SWITCH($A$2,"average", AVERAGE(Instances!E76:Instances!E76),"median", MEDIAN(Instances!E76:Instances!E76),"min", MIN(Instances!E76:Instances!E76),"max", MAX(Instances!E76:Instances!E76),"diff", MAX(Instances!E76:Instances!E76)-MIN(Instances!E76:Instances!E76))</f>
        <v>0</v>
      </c>
      <c r="F76" s="1" cm="1">
        <f t="array" ref="F76">_xlfn.SWITCH($A$2,"average", AVERAGE(Instances!F76:Instances!F76),"median", MEDIAN(Instances!F76:Instances!F76),"min", MIN(Instances!F76:Instances!F76),"max", MAX(Instances!F76:Instances!F76),"diff", MAX(Instances!F76:Instances!F76)-MIN(Instances!F76:Instances!F76))</f>
        <v>0</v>
      </c>
      <c r="G76" s="1" cm="1">
        <f t="array" ref="G76">_xlfn.SWITCH($A$2,"average", AVERAGE(Instances!G76:Instances!G76),"median", MEDIAN(Instances!G76:Instances!G76),"min", MIN(Instances!G76:Instances!G76),"max", MAX(Instances!G76:Instances!G76),"diff", MAX(Instances!G76:Instances!G76)-MIN(Instances!G76:Instances!G76))</f>
        <v>0</v>
      </c>
      <c r="H76" s="1"/>
      <c r="I76" s="1"/>
      <c r="J76" s="1" cm="1">
        <f t="array" ref="J76">_xlfn.SWITCH($A$2,"average", AVERAGE(Instances!J76:Instances!J76),"median", MEDIAN(Instances!J76:Instances!J76),"min", MIN(Instances!J76:Instances!J76),"max", MAX(Instances!J76:Instances!J76),"diff", MAX(Instances!J76:Instances!J76)-MIN(Instances!J76:Instances!J76))</f>
        <v>0</v>
      </c>
      <c r="K76" s="1" cm="1">
        <f t="array" ref="K76">_xlfn.SWITCH($A$2,"average", AVERAGE(Instances!K76:Instances!K76),"median", MEDIAN(Instances!K76:Instances!K76),"min", MIN(Instances!K76:Instances!K76),"max", MAX(Instances!K76:Instances!K76),"diff", MAX(Instances!K76:Instances!K76)-MIN(Instances!K76:Instances!K76))</f>
        <v>0</v>
      </c>
      <c r="L76" s="1" cm="1">
        <f t="array" ref="L76">_xlfn.SWITCH($A$2,"average", AVERAGE(Instances!L76:Instances!L76),"median", MEDIAN(Instances!L76:Instances!L76),"min", MIN(Instances!L76:Instances!L76),"max", MAX(Instances!L76:Instances!L76),"diff", MAX(Instances!L76:Instances!L76)-MIN(Instances!L76:Instances!L76))</f>
        <v>0</v>
      </c>
      <c r="M76" s="1" cm="1">
        <f t="array" ref="M76">_xlfn.SWITCH($A$2,"average", AVERAGE(Instances!M76:Instances!M76),"median", MEDIAN(Instances!M76:Instances!M76),"min", MIN(Instances!M76:Instances!M76),"max", MAX(Instances!M76:Instances!M76),"diff", MAX(Instances!M76:Instances!M76)-MIN(Instances!M76:Instances!M76))</f>
        <v>0</v>
      </c>
      <c r="N76" s="1" cm="1">
        <f t="array" ref="N76">_xlfn.SWITCH($A$2,"average", AVERAGE(Instances!N76:Instances!N76),"median", MEDIAN(Instances!N76:Instances!N76),"min", MIN(Instances!N76:Instances!N76),"max", MAX(Instances!N76:Instances!N76),"diff", MAX(Instances!N76:Instances!N76)-MIN(Instances!N76:Instances!N76))</f>
        <v>0</v>
      </c>
      <c r="O76" s="1" cm="1">
        <f t="array" ref="O76">_xlfn.SWITCH($A$2,"average", AVERAGE(Instances!O76:Instances!O76),"median", MEDIAN(Instances!O76:Instances!O76),"min", MIN(Instances!O76:Instances!O76),"max", MAX(Instances!O76:Instances!O76),"diff", MAX(Instances!O76:Instances!O76)-MIN(Instances!O76:Instances!O76))</f>
        <v>0</v>
      </c>
      <c r="P76" s="1" cm="1">
        <f t="array" ref="P76">_xlfn.SWITCH($A$2,"average", AVERAGE(Instances!P76:Instances!P76),"median", MEDIAN(Instances!P76:Instances!P76),"min", MIN(Instances!P76:Instances!P76),"max", MAX(Instances!P76:Instances!P76),"diff", MAX(Instances!P76:Instances!P76)-MIN(Instances!P76:Instances!P76))</f>
        <v>0</v>
      </c>
      <c r="Q76" s="1" cm="1">
        <f t="array" ref="Q76">_xlfn.SWITCH($A$2,"average", AVERAGE(Instances!Q76:Instances!Q76),"median", MEDIAN(Instances!Q76:Instances!Q76),"min", MIN(Instances!Q76:Instances!Q76),"max", MAX(Instances!Q76:Instances!Q76),"diff", MAX(Instances!Q76:Instances!Q76)-MIN(Instances!Q76:Instances!Q76))</f>
        <v>0</v>
      </c>
      <c r="R76" s="1">
        <f>MIN($B76,$D76,$F76,$H76,$J76,$L76,$N76,$P76)</f>
        <v>0</v>
      </c>
      <c r="S76" s="1">
        <f>MIN($C76,$E76,$G76,$I76,$K76,$M76,$O76,$Q76)</f>
        <v>0</v>
      </c>
      <c r="T76" s="1">
        <f>MEDIAN($B76,$D76,$F76,$H76,$J76,$L76,$N76,$P76)</f>
        <v>0</v>
      </c>
      <c r="U76" s="1">
        <f>MEDIAN($C76,$E76,$G76,$I76,$K76,$M76,$O76,$Q76)</f>
        <v>0</v>
      </c>
      <c r="V76" s="1">
        <f>MAX($B76,$D76,$F76,$H76,$J76,$L76,$N76,$P76)</f>
        <v>0</v>
      </c>
      <c r="W76" s="1">
        <f>MAX($C76,$E76,$G76,$I76,$K76,$M76,$O76,$Q76)</f>
        <v>0</v>
      </c>
    </row>
    <row r="77" spans="1:23">
      <c r="A77" s="1" t="s">
        <v>74</v>
      </c>
      <c r="B77" s="1"/>
      <c r="C77" s="1"/>
      <c r="D77" s="1" cm="1">
        <f t="array" ref="D77">_xlfn.SWITCH($A$2,"average", AVERAGE(Instances!D77:Instances!D77),"median", MEDIAN(Instances!D77:Instances!D77),"min", MIN(Instances!D77:Instances!D77),"max", MAX(Instances!D77:Instances!D77),"diff", MAX(Instances!D77:Instances!D77)-MIN(Instances!D77:Instances!D77))</f>
        <v>0</v>
      </c>
      <c r="E77" s="1" cm="1">
        <f t="array" ref="E77">_xlfn.SWITCH($A$2,"average", AVERAGE(Instances!E77:Instances!E77),"median", MEDIAN(Instances!E77:Instances!E77),"min", MIN(Instances!E77:Instances!E77),"max", MAX(Instances!E77:Instances!E77),"diff", MAX(Instances!E77:Instances!E77)-MIN(Instances!E77:Instances!E77))</f>
        <v>0</v>
      </c>
      <c r="F77" s="1" cm="1">
        <f t="array" ref="F77">_xlfn.SWITCH($A$2,"average", AVERAGE(Instances!F77:Instances!F77),"median", MEDIAN(Instances!F77:Instances!F77),"min", MIN(Instances!F77:Instances!F77),"max", MAX(Instances!F77:Instances!F77),"diff", MAX(Instances!F77:Instances!F77)-MIN(Instances!F77:Instances!F77))</f>
        <v>0</v>
      </c>
      <c r="G77" s="1" cm="1">
        <f t="array" ref="G77">_xlfn.SWITCH($A$2,"average", AVERAGE(Instances!G77:Instances!G77),"median", MEDIAN(Instances!G77:Instances!G77),"min", MIN(Instances!G77:Instances!G77),"max", MAX(Instances!G77:Instances!G77),"diff", MAX(Instances!G77:Instances!G77)-MIN(Instances!G77:Instances!G77))</f>
        <v>0</v>
      </c>
      <c r="H77" s="1"/>
      <c r="I77" s="1"/>
      <c r="J77" s="1" cm="1">
        <f t="array" ref="J77">_xlfn.SWITCH($A$2,"average", AVERAGE(Instances!J77:Instances!J77),"median", MEDIAN(Instances!J77:Instances!J77),"min", MIN(Instances!J77:Instances!J77),"max", MAX(Instances!J77:Instances!J77),"diff", MAX(Instances!J77:Instances!J77)-MIN(Instances!J77:Instances!J77))</f>
        <v>0</v>
      </c>
      <c r="K77" s="1" cm="1">
        <f t="array" ref="K77">_xlfn.SWITCH($A$2,"average", AVERAGE(Instances!K77:Instances!K77),"median", MEDIAN(Instances!K77:Instances!K77),"min", MIN(Instances!K77:Instances!K77),"max", MAX(Instances!K77:Instances!K77),"diff", MAX(Instances!K77:Instances!K77)-MIN(Instances!K77:Instances!K77))</f>
        <v>0</v>
      </c>
      <c r="L77" s="1" cm="1">
        <f t="array" ref="L77">_xlfn.SWITCH($A$2,"average", AVERAGE(Instances!L77:Instances!L77),"median", MEDIAN(Instances!L77:Instances!L77),"min", MIN(Instances!L77:Instances!L77),"max", MAX(Instances!L77:Instances!L77),"diff", MAX(Instances!L77:Instances!L77)-MIN(Instances!L77:Instances!L77))</f>
        <v>0</v>
      </c>
      <c r="M77" s="1" cm="1">
        <f t="array" ref="M77">_xlfn.SWITCH($A$2,"average", AVERAGE(Instances!M77:Instances!M77),"median", MEDIAN(Instances!M77:Instances!M77),"min", MIN(Instances!M77:Instances!M77),"max", MAX(Instances!M77:Instances!M77),"diff", MAX(Instances!M77:Instances!M77)-MIN(Instances!M77:Instances!M77))</f>
        <v>0</v>
      </c>
      <c r="N77" s="1" cm="1">
        <f t="array" ref="N77">_xlfn.SWITCH($A$2,"average", AVERAGE(Instances!N77:Instances!N77),"median", MEDIAN(Instances!N77:Instances!N77),"min", MIN(Instances!N77:Instances!N77),"max", MAX(Instances!N77:Instances!N77),"diff", MAX(Instances!N77:Instances!N77)-MIN(Instances!N77:Instances!N77))</f>
        <v>0</v>
      </c>
      <c r="O77" s="1" cm="1">
        <f t="array" ref="O77">_xlfn.SWITCH($A$2,"average", AVERAGE(Instances!O77:Instances!O77),"median", MEDIAN(Instances!O77:Instances!O77),"min", MIN(Instances!O77:Instances!O77),"max", MAX(Instances!O77:Instances!O77),"diff", MAX(Instances!O77:Instances!O77)-MIN(Instances!O77:Instances!O77))</f>
        <v>0</v>
      </c>
      <c r="P77" s="1" cm="1">
        <f t="array" ref="P77">_xlfn.SWITCH($A$2,"average", AVERAGE(Instances!P77:Instances!P77),"median", MEDIAN(Instances!P77:Instances!P77),"min", MIN(Instances!P77:Instances!P77),"max", MAX(Instances!P77:Instances!P77),"diff", MAX(Instances!P77:Instances!P77)-MIN(Instances!P77:Instances!P77))</f>
        <v>0</v>
      </c>
      <c r="Q77" s="1" cm="1">
        <f t="array" ref="Q77">_xlfn.SWITCH($A$2,"average", AVERAGE(Instances!Q77:Instances!Q77),"median", MEDIAN(Instances!Q77:Instances!Q77),"min", MIN(Instances!Q77:Instances!Q77),"max", MAX(Instances!Q77:Instances!Q77),"diff", MAX(Instances!Q77:Instances!Q77)-MIN(Instances!Q77:Instances!Q77))</f>
        <v>0</v>
      </c>
      <c r="R77" s="1">
        <f>MIN($B77,$D77,$F77,$H77,$J77,$L77,$N77,$P77)</f>
        <v>0</v>
      </c>
      <c r="S77" s="1">
        <f>MIN($C77,$E77,$G77,$I77,$K77,$M77,$O77,$Q77)</f>
        <v>0</v>
      </c>
      <c r="T77" s="1">
        <f>MEDIAN($B77,$D77,$F77,$H77,$J77,$L77,$N77,$P77)</f>
        <v>0</v>
      </c>
      <c r="U77" s="1">
        <f>MEDIAN($C77,$E77,$G77,$I77,$K77,$M77,$O77,$Q77)</f>
        <v>0</v>
      </c>
      <c r="V77" s="1">
        <f>MAX($B77,$D77,$F77,$H77,$J77,$L77,$N77,$P77)</f>
        <v>0</v>
      </c>
      <c r="W77" s="1">
        <f>MAX($C77,$E77,$G77,$I77,$K77,$M77,$O77,$Q77)</f>
        <v>0</v>
      </c>
    </row>
    <row r="78" spans="1:23">
      <c r="A78" s="1" t="s">
        <v>75</v>
      </c>
      <c r="B78" s="1"/>
      <c r="C78" s="1"/>
      <c r="D78" s="1" cm="1">
        <f t="array" ref="D78">_xlfn.SWITCH($A$2,"average", AVERAGE(Instances!D78:Instances!D78),"median", MEDIAN(Instances!D78:Instances!D78),"min", MIN(Instances!D78:Instances!D78),"max", MAX(Instances!D78:Instances!D78),"diff", MAX(Instances!D78:Instances!D78)-MIN(Instances!D78:Instances!D78))</f>
        <v>0</v>
      </c>
      <c r="E78" s="1" cm="1">
        <f t="array" ref="E78">_xlfn.SWITCH($A$2,"average", AVERAGE(Instances!E78:Instances!E78),"median", MEDIAN(Instances!E78:Instances!E78),"min", MIN(Instances!E78:Instances!E78),"max", MAX(Instances!E78:Instances!E78),"diff", MAX(Instances!E78:Instances!E78)-MIN(Instances!E78:Instances!E78))</f>
        <v>0</v>
      </c>
      <c r="F78" s="1" cm="1">
        <f t="array" ref="F78">_xlfn.SWITCH($A$2,"average", AVERAGE(Instances!F78:Instances!F78),"median", MEDIAN(Instances!F78:Instances!F78),"min", MIN(Instances!F78:Instances!F78),"max", MAX(Instances!F78:Instances!F78),"diff", MAX(Instances!F78:Instances!F78)-MIN(Instances!F78:Instances!F78))</f>
        <v>0</v>
      </c>
      <c r="G78" s="1" cm="1">
        <f t="array" ref="G78">_xlfn.SWITCH($A$2,"average", AVERAGE(Instances!G78:Instances!G78),"median", MEDIAN(Instances!G78:Instances!G78),"min", MIN(Instances!G78:Instances!G78),"max", MAX(Instances!G78:Instances!G78),"diff", MAX(Instances!G78:Instances!G78)-MIN(Instances!G78:Instances!G78))</f>
        <v>0</v>
      </c>
      <c r="H78" s="1"/>
      <c r="I78" s="1"/>
      <c r="J78" s="1" cm="1">
        <f t="array" ref="J78">_xlfn.SWITCH($A$2,"average", AVERAGE(Instances!J78:Instances!J78),"median", MEDIAN(Instances!J78:Instances!J78),"min", MIN(Instances!J78:Instances!J78),"max", MAX(Instances!J78:Instances!J78),"diff", MAX(Instances!J78:Instances!J78)-MIN(Instances!J78:Instances!J78))</f>
        <v>0</v>
      </c>
      <c r="K78" s="1" cm="1">
        <f t="array" ref="K78">_xlfn.SWITCH($A$2,"average", AVERAGE(Instances!K78:Instances!K78),"median", MEDIAN(Instances!K78:Instances!K78),"min", MIN(Instances!K78:Instances!K78),"max", MAX(Instances!K78:Instances!K78),"diff", MAX(Instances!K78:Instances!K78)-MIN(Instances!K78:Instances!K78))</f>
        <v>0</v>
      </c>
      <c r="L78" s="1" cm="1">
        <f t="array" ref="L78">_xlfn.SWITCH($A$2,"average", AVERAGE(Instances!L78:Instances!L78),"median", MEDIAN(Instances!L78:Instances!L78),"min", MIN(Instances!L78:Instances!L78),"max", MAX(Instances!L78:Instances!L78),"diff", MAX(Instances!L78:Instances!L78)-MIN(Instances!L78:Instances!L78))</f>
        <v>0</v>
      </c>
      <c r="M78" s="1" cm="1">
        <f t="array" ref="M78">_xlfn.SWITCH($A$2,"average", AVERAGE(Instances!M78:Instances!M78),"median", MEDIAN(Instances!M78:Instances!M78),"min", MIN(Instances!M78:Instances!M78),"max", MAX(Instances!M78:Instances!M78),"diff", MAX(Instances!M78:Instances!M78)-MIN(Instances!M78:Instances!M78))</f>
        <v>0</v>
      </c>
      <c r="N78" s="1" cm="1">
        <f t="array" ref="N78">_xlfn.SWITCH($A$2,"average", AVERAGE(Instances!N78:Instances!N78),"median", MEDIAN(Instances!N78:Instances!N78),"min", MIN(Instances!N78:Instances!N78),"max", MAX(Instances!N78:Instances!N78),"diff", MAX(Instances!N78:Instances!N78)-MIN(Instances!N78:Instances!N78))</f>
        <v>0</v>
      </c>
      <c r="O78" s="1" cm="1">
        <f t="array" ref="O78">_xlfn.SWITCH($A$2,"average", AVERAGE(Instances!O78:Instances!O78),"median", MEDIAN(Instances!O78:Instances!O78),"min", MIN(Instances!O78:Instances!O78),"max", MAX(Instances!O78:Instances!O78),"diff", MAX(Instances!O78:Instances!O78)-MIN(Instances!O78:Instances!O78))</f>
        <v>0</v>
      </c>
      <c r="P78" s="1" cm="1">
        <f t="array" ref="P78">_xlfn.SWITCH($A$2,"average", AVERAGE(Instances!P78:Instances!P78),"median", MEDIAN(Instances!P78:Instances!P78),"min", MIN(Instances!P78:Instances!P78),"max", MAX(Instances!P78:Instances!P78),"diff", MAX(Instances!P78:Instances!P78)-MIN(Instances!P78:Instances!P78))</f>
        <v>0</v>
      </c>
      <c r="Q78" s="1" cm="1">
        <f t="array" ref="Q78">_xlfn.SWITCH($A$2,"average", AVERAGE(Instances!Q78:Instances!Q78),"median", MEDIAN(Instances!Q78:Instances!Q78),"min", MIN(Instances!Q78:Instances!Q78),"max", MAX(Instances!Q78:Instances!Q78),"diff", MAX(Instances!Q78:Instances!Q78)-MIN(Instances!Q78:Instances!Q78))</f>
        <v>0</v>
      </c>
      <c r="R78" s="1">
        <f>MIN($B78,$D78,$F78,$H78,$J78,$L78,$N78,$P78)</f>
        <v>0</v>
      </c>
      <c r="S78" s="1">
        <f>MIN($C78,$E78,$G78,$I78,$K78,$M78,$O78,$Q78)</f>
        <v>0</v>
      </c>
      <c r="T78" s="1">
        <f>MEDIAN($B78,$D78,$F78,$H78,$J78,$L78,$N78,$P78)</f>
        <v>0</v>
      </c>
      <c r="U78" s="1">
        <f>MEDIAN($C78,$E78,$G78,$I78,$K78,$M78,$O78,$Q78)</f>
        <v>0</v>
      </c>
      <c r="V78" s="1">
        <f>MAX($B78,$D78,$F78,$H78,$J78,$L78,$N78,$P78)</f>
        <v>0</v>
      </c>
      <c r="W78" s="1">
        <f>MAX($C78,$E78,$G78,$I78,$K78,$M78,$O78,$Q78)</f>
        <v>0</v>
      </c>
    </row>
    <row r="79" spans="1:23">
      <c r="A79" s="1" t="s">
        <v>76</v>
      </c>
      <c r="B79" s="1"/>
      <c r="C79" s="1"/>
      <c r="D79" s="1" cm="1">
        <f t="array" ref="D79">_xlfn.SWITCH($A$2,"average", AVERAGE(Instances!D79:Instances!D79),"median", MEDIAN(Instances!D79:Instances!D79),"min", MIN(Instances!D79:Instances!D79),"max", MAX(Instances!D79:Instances!D79),"diff", MAX(Instances!D79:Instances!D79)-MIN(Instances!D79:Instances!D79))</f>
        <v>0</v>
      </c>
      <c r="E79" s="1" cm="1">
        <f t="array" ref="E79">_xlfn.SWITCH($A$2,"average", AVERAGE(Instances!E79:Instances!E79),"median", MEDIAN(Instances!E79:Instances!E79),"min", MIN(Instances!E79:Instances!E79),"max", MAX(Instances!E79:Instances!E79),"diff", MAX(Instances!E79:Instances!E79)-MIN(Instances!E79:Instances!E79))</f>
        <v>0</v>
      </c>
      <c r="F79" s="1" cm="1">
        <f t="array" ref="F79">_xlfn.SWITCH($A$2,"average", AVERAGE(Instances!F79:Instances!F79),"median", MEDIAN(Instances!F79:Instances!F79),"min", MIN(Instances!F79:Instances!F79),"max", MAX(Instances!F79:Instances!F79),"diff", MAX(Instances!F79:Instances!F79)-MIN(Instances!F79:Instances!F79))</f>
        <v>0</v>
      </c>
      <c r="G79" s="1" cm="1">
        <f t="array" ref="G79">_xlfn.SWITCH($A$2,"average", AVERAGE(Instances!G79:Instances!G79),"median", MEDIAN(Instances!G79:Instances!G79),"min", MIN(Instances!G79:Instances!G79),"max", MAX(Instances!G79:Instances!G79),"diff", MAX(Instances!G79:Instances!G79)-MIN(Instances!G79:Instances!G79))</f>
        <v>0</v>
      </c>
      <c r="H79" s="1"/>
      <c r="I79" s="1"/>
      <c r="J79" s="1" cm="1">
        <f t="array" ref="J79">_xlfn.SWITCH($A$2,"average", AVERAGE(Instances!J79:Instances!J79),"median", MEDIAN(Instances!J79:Instances!J79),"min", MIN(Instances!J79:Instances!J79),"max", MAX(Instances!J79:Instances!J79),"diff", MAX(Instances!J79:Instances!J79)-MIN(Instances!J79:Instances!J79))</f>
        <v>0</v>
      </c>
      <c r="K79" s="1" cm="1">
        <f t="array" ref="K79">_xlfn.SWITCH($A$2,"average", AVERAGE(Instances!K79:Instances!K79),"median", MEDIAN(Instances!K79:Instances!K79),"min", MIN(Instances!K79:Instances!K79),"max", MAX(Instances!K79:Instances!K79),"diff", MAX(Instances!K79:Instances!K79)-MIN(Instances!K79:Instances!K79))</f>
        <v>0</v>
      </c>
      <c r="L79" s="1" cm="1">
        <f t="array" ref="L79">_xlfn.SWITCH($A$2,"average", AVERAGE(Instances!L79:Instances!L79),"median", MEDIAN(Instances!L79:Instances!L79),"min", MIN(Instances!L79:Instances!L79),"max", MAX(Instances!L79:Instances!L79),"diff", MAX(Instances!L79:Instances!L79)-MIN(Instances!L79:Instances!L79))</f>
        <v>0</v>
      </c>
      <c r="M79" s="1" cm="1">
        <f t="array" ref="M79">_xlfn.SWITCH($A$2,"average", AVERAGE(Instances!M79:Instances!M79),"median", MEDIAN(Instances!M79:Instances!M79),"min", MIN(Instances!M79:Instances!M79),"max", MAX(Instances!M79:Instances!M79),"diff", MAX(Instances!M79:Instances!M79)-MIN(Instances!M79:Instances!M79))</f>
        <v>0</v>
      </c>
      <c r="N79" s="1" cm="1">
        <f t="array" ref="N79">_xlfn.SWITCH($A$2,"average", AVERAGE(Instances!N79:Instances!N79),"median", MEDIAN(Instances!N79:Instances!N79),"min", MIN(Instances!N79:Instances!N79),"max", MAX(Instances!N79:Instances!N79),"diff", MAX(Instances!N79:Instances!N79)-MIN(Instances!N79:Instances!N79))</f>
        <v>0</v>
      </c>
      <c r="O79" s="1" cm="1">
        <f t="array" ref="O79">_xlfn.SWITCH($A$2,"average", AVERAGE(Instances!O79:Instances!O79),"median", MEDIAN(Instances!O79:Instances!O79),"min", MIN(Instances!O79:Instances!O79),"max", MAX(Instances!O79:Instances!O79),"diff", MAX(Instances!O79:Instances!O79)-MIN(Instances!O79:Instances!O79))</f>
        <v>0</v>
      </c>
      <c r="P79" s="1" cm="1">
        <f t="array" ref="P79">_xlfn.SWITCH($A$2,"average", AVERAGE(Instances!P79:Instances!P79),"median", MEDIAN(Instances!P79:Instances!P79),"min", MIN(Instances!P79:Instances!P79),"max", MAX(Instances!P79:Instances!P79),"diff", MAX(Instances!P79:Instances!P79)-MIN(Instances!P79:Instances!P79))</f>
        <v>0</v>
      </c>
      <c r="Q79" s="1" cm="1">
        <f t="array" ref="Q79">_xlfn.SWITCH($A$2,"average", AVERAGE(Instances!Q79:Instances!Q79),"median", MEDIAN(Instances!Q79:Instances!Q79),"min", MIN(Instances!Q79:Instances!Q79),"max", MAX(Instances!Q79:Instances!Q79),"diff", MAX(Instances!Q79:Instances!Q79)-MIN(Instances!Q79:Instances!Q79))</f>
        <v>0</v>
      </c>
      <c r="R79" s="1">
        <f>MIN($B79,$D79,$F79,$H79,$J79,$L79,$N79,$P79)</f>
        <v>0</v>
      </c>
      <c r="S79" s="1">
        <f>MIN($C79,$E79,$G79,$I79,$K79,$M79,$O79,$Q79)</f>
        <v>0</v>
      </c>
      <c r="T79" s="1">
        <f>MEDIAN($B79,$D79,$F79,$H79,$J79,$L79,$N79,$P79)</f>
        <v>0</v>
      </c>
      <c r="U79" s="1">
        <f>MEDIAN($C79,$E79,$G79,$I79,$K79,$M79,$O79,$Q79)</f>
        <v>0</v>
      </c>
      <c r="V79" s="1">
        <f>MAX($B79,$D79,$F79,$H79,$J79,$L79,$N79,$P79)</f>
        <v>0</v>
      </c>
      <c r="W79" s="1">
        <f>MAX($C79,$E79,$G79,$I79,$K79,$M79,$O79,$Q79)</f>
        <v>0</v>
      </c>
    </row>
    <row r="80" spans="1:23">
      <c r="A80" s="1" t="s">
        <v>77</v>
      </c>
      <c r="B80" s="1"/>
      <c r="C80" s="1"/>
      <c r="D80" s="1" cm="1">
        <f t="array" ref="D80">_xlfn.SWITCH($A$2,"average", AVERAGE(Instances!D80:Instances!D80),"median", MEDIAN(Instances!D80:Instances!D80),"min", MIN(Instances!D80:Instances!D80),"max", MAX(Instances!D80:Instances!D80),"diff", MAX(Instances!D80:Instances!D80)-MIN(Instances!D80:Instances!D80))</f>
        <v>0</v>
      </c>
      <c r="E80" s="1" cm="1">
        <f t="array" ref="E80">_xlfn.SWITCH($A$2,"average", AVERAGE(Instances!E80:Instances!E80),"median", MEDIAN(Instances!E80:Instances!E80),"min", MIN(Instances!E80:Instances!E80),"max", MAX(Instances!E80:Instances!E80),"diff", MAX(Instances!E80:Instances!E80)-MIN(Instances!E80:Instances!E80))</f>
        <v>0</v>
      </c>
      <c r="F80" s="1" cm="1">
        <f t="array" ref="F80">_xlfn.SWITCH($A$2,"average", AVERAGE(Instances!F80:Instances!F80),"median", MEDIAN(Instances!F80:Instances!F80),"min", MIN(Instances!F80:Instances!F80),"max", MAX(Instances!F80:Instances!F80),"diff", MAX(Instances!F80:Instances!F80)-MIN(Instances!F80:Instances!F80))</f>
        <v>0</v>
      </c>
      <c r="G80" s="1" cm="1">
        <f t="array" ref="G80">_xlfn.SWITCH($A$2,"average", AVERAGE(Instances!G80:Instances!G80),"median", MEDIAN(Instances!G80:Instances!G80),"min", MIN(Instances!G80:Instances!G80),"max", MAX(Instances!G80:Instances!G80),"diff", MAX(Instances!G80:Instances!G80)-MIN(Instances!G80:Instances!G80))</f>
        <v>0</v>
      </c>
      <c r="H80" s="1"/>
      <c r="I80" s="1"/>
      <c r="J80" s="1" cm="1">
        <f t="array" ref="J80">_xlfn.SWITCH($A$2,"average", AVERAGE(Instances!J80:Instances!J80),"median", MEDIAN(Instances!J80:Instances!J80),"min", MIN(Instances!J80:Instances!J80),"max", MAX(Instances!J80:Instances!J80),"diff", MAX(Instances!J80:Instances!J80)-MIN(Instances!J80:Instances!J80))</f>
        <v>0</v>
      </c>
      <c r="K80" s="1" cm="1">
        <f t="array" ref="K80">_xlfn.SWITCH($A$2,"average", AVERAGE(Instances!K80:Instances!K80),"median", MEDIAN(Instances!K80:Instances!K80),"min", MIN(Instances!K80:Instances!K80),"max", MAX(Instances!K80:Instances!K80),"diff", MAX(Instances!K80:Instances!K80)-MIN(Instances!K80:Instances!K80))</f>
        <v>0</v>
      </c>
      <c r="L80" s="1" cm="1">
        <f t="array" ref="L80">_xlfn.SWITCH($A$2,"average", AVERAGE(Instances!L80:Instances!L80),"median", MEDIAN(Instances!L80:Instances!L80),"min", MIN(Instances!L80:Instances!L80),"max", MAX(Instances!L80:Instances!L80),"diff", MAX(Instances!L80:Instances!L80)-MIN(Instances!L80:Instances!L80))</f>
        <v>0</v>
      </c>
      <c r="M80" s="1" cm="1">
        <f t="array" ref="M80">_xlfn.SWITCH($A$2,"average", AVERAGE(Instances!M80:Instances!M80),"median", MEDIAN(Instances!M80:Instances!M80),"min", MIN(Instances!M80:Instances!M80),"max", MAX(Instances!M80:Instances!M80),"diff", MAX(Instances!M80:Instances!M80)-MIN(Instances!M80:Instances!M80))</f>
        <v>0</v>
      </c>
      <c r="N80" s="1" cm="1">
        <f t="array" ref="N80">_xlfn.SWITCH($A$2,"average", AVERAGE(Instances!N80:Instances!N80),"median", MEDIAN(Instances!N80:Instances!N80),"min", MIN(Instances!N80:Instances!N80),"max", MAX(Instances!N80:Instances!N80),"diff", MAX(Instances!N80:Instances!N80)-MIN(Instances!N80:Instances!N80))</f>
        <v>0</v>
      </c>
      <c r="O80" s="1" cm="1">
        <f t="array" ref="O80">_xlfn.SWITCH($A$2,"average", AVERAGE(Instances!O80:Instances!O80),"median", MEDIAN(Instances!O80:Instances!O80),"min", MIN(Instances!O80:Instances!O80),"max", MAX(Instances!O80:Instances!O80),"diff", MAX(Instances!O80:Instances!O80)-MIN(Instances!O80:Instances!O80))</f>
        <v>0</v>
      </c>
      <c r="P80" s="1" cm="1">
        <f t="array" ref="P80">_xlfn.SWITCH($A$2,"average", AVERAGE(Instances!P80:Instances!P80),"median", MEDIAN(Instances!P80:Instances!P80),"min", MIN(Instances!P80:Instances!P80),"max", MAX(Instances!P80:Instances!P80),"diff", MAX(Instances!P80:Instances!P80)-MIN(Instances!P80:Instances!P80))</f>
        <v>0</v>
      </c>
      <c r="Q80" s="1" cm="1">
        <f t="array" ref="Q80">_xlfn.SWITCH($A$2,"average", AVERAGE(Instances!Q80:Instances!Q80),"median", MEDIAN(Instances!Q80:Instances!Q80),"min", MIN(Instances!Q80:Instances!Q80),"max", MAX(Instances!Q80:Instances!Q80),"diff", MAX(Instances!Q80:Instances!Q80)-MIN(Instances!Q80:Instances!Q80))</f>
        <v>0</v>
      </c>
      <c r="R80" s="1">
        <f>MIN($B80,$D80,$F80,$H80,$J80,$L80,$N80,$P80)</f>
        <v>0</v>
      </c>
      <c r="S80" s="1">
        <f>MIN($C80,$E80,$G80,$I80,$K80,$M80,$O80,$Q80)</f>
        <v>0</v>
      </c>
      <c r="T80" s="1">
        <f>MEDIAN($B80,$D80,$F80,$H80,$J80,$L80,$N80,$P80)</f>
        <v>0</v>
      </c>
      <c r="U80" s="1">
        <f>MEDIAN($C80,$E80,$G80,$I80,$K80,$M80,$O80,$Q80)</f>
        <v>0</v>
      </c>
      <c r="V80" s="1">
        <f>MAX($B80,$D80,$F80,$H80,$J80,$L80,$N80,$P80)</f>
        <v>0</v>
      </c>
      <c r="W80" s="1">
        <f>MAX($C80,$E80,$G80,$I80,$K80,$M80,$O80,$Q80)</f>
        <v>0</v>
      </c>
    </row>
    <row r="81" spans="1:23">
      <c r="A81" s="1" t="s">
        <v>78</v>
      </c>
      <c r="B81" s="1"/>
      <c r="C81" s="1"/>
      <c r="D81" s="1" cm="1">
        <f t="array" ref="D81">_xlfn.SWITCH($A$2,"average", AVERAGE(Instances!D81:Instances!D81),"median", MEDIAN(Instances!D81:Instances!D81),"min", MIN(Instances!D81:Instances!D81),"max", MAX(Instances!D81:Instances!D81),"diff", MAX(Instances!D81:Instances!D81)-MIN(Instances!D81:Instances!D81))</f>
        <v>0</v>
      </c>
      <c r="E81" s="1" cm="1">
        <f t="array" ref="E81">_xlfn.SWITCH($A$2,"average", AVERAGE(Instances!E81:Instances!E81),"median", MEDIAN(Instances!E81:Instances!E81),"min", MIN(Instances!E81:Instances!E81),"max", MAX(Instances!E81:Instances!E81),"diff", MAX(Instances!E81:Instances!E81)-MIN(Instances!E81:Instances!E81))</f>
        <v>0</v>
      </c>
      <c r="F81" s="1" cm="1">
        <f t="array" ref="F81">_xlfn.SWITCH($A$2,"average", AVERAGE(Instances!F81:Instances!F81),"median", MEDIAN(Instances!F81:Instances!F81),"min", MIN(Instances!F81:Instances!F81),"max", MAX(Instances!F81:Instances!F81),"diff", MAX(Instances!F81:Instances!F81)-MIN(Instances!F81:Instances!F81))</f>
        <v>0</v>
      </c>
      <c r="G81" s="1" cm="1">
        <f t="array" ref="G81">_xlfn.SWITCH($A$2,"average", AVERAGE(Instances!G81:Instances!G81),"median", MEDIAN(Instances!G81:Instances!G81),"min", MIN(Instances!G81:Instances!G81),"max", MAX(Instances!G81:Instances!G81),"diff", MAX(Instances!G81:Instances!G81)-MIN(Instances!G81:Instances!G81))</f>
        <v>0</v>
      </c>
      <c r="H81" s="1"/>
      <c r="I81" s="1"/>
      <c r="J81" s="1" cm="1">
        <f t="array" ref="J81">_xlfn.SWITCH($A$2,"average", AVERAGE(Instances!J81:Instances!J81),"median", MEDIAN(Instances!J81:Instances!J81),"min", MIN(Instances!J81:Instances!J81),"max", MAX(Instances!J81:Instances!J81),"diff", MAX(Instances!J81:Instances!J81)-MIN(Instances!J81:Instances!J81))</f>
        <v>0</v>
      </c>
      <c r="K81" s="1" cm="1">
        <f t="array" ref="K81">_xlfn.SWITCH($A$2,"average", AVERAGE(Instances!K81:Instances!K81),"median", MEDIAN(Instances!K81:Instances!K81),"min", MIN(Instances!K81:Instances!K81),"max", MAX(Instances!K81:Instances!K81),"diff", MAX(Instances!K81:Instances!K81)-MIN(Instances!K81:Instances!K81))</f>
        <v>0</v>
      </c>
      <c r="L81" s="1" cm="1">
        <f t="array" ref="L81">_xlfn.SWITCH($A$2,"average", AVERAGE(Instances!L81:Instances!L81),"median", MEDIAN(Instances!L81:Instances!L81),"min", MIN(Instances!L81:Instances!L81),"max", MAX(Instances!L81:Instances!L81),"diff", MAX(Instances!L81:Instances!L81)-MIN(Instances!L81:Instances!L81))</f>
        <v>0</v>
      </c>
      <c r="M81" s="1" cm="1">
        <f t="array" ref="M81">_xlfn.SWITCH($A$2,"average", AVERAGE(Instances!M81:Instances!M81),"median", MEDIAN(Instances!M81:Instances!M81),"min", MIN(Instances!M81:Instances!M81),"max", MAX(Instances!M81:Instances!M81),"diff", MAX(Instances!M81:Instances!M81)-MIN(Instances!M81:Instances!M81))</f>
        <v>0</v>
      </c>
      <c r="N81" s="1" cm="1">
        <f t="array" ref="N81">_xlfn.SWITCH($A$2,"average", AVERAGE(Instances!N81:Instances!N81),"median", MEDIAN(Instances!N81:Instances!N81),"min", MIN(Instances!N81:Instances!N81),"max", MAX(Instances!N81:Instances!N81),"diff", MAX(Instances!N81:Instances!N81)-MIN(Instances!N81:Instances!N81))</f>
        <v>0</v>
      </c>
      <c r="O81" s="1" cm="1">
        <f t="array" ref="O81">_xlfn.SWITCH($A$2,"average", AVERAGE(Instances!O81:Instances!O81),"median", MEDIAN(Instances!O81:Instances!O81),"min", MIN(Instances!O81:Instances!O81),"max", MAX(Instances!O81:Instances!O81),"diff", MAX(Instances!O81:Instances!O81)-MIN(Instances!O81:Instances!O81))</f>
        <v>0</v>
      </c>
      <c r="P81" s="1" cm="1">
        <f t="array" ref="P81">_xlfn.SWITCH($A$2,"average", AVERAGE(Instances!P81:Instances!P81),"median", MEDIAN(Instances!P81:Instances!P81),"min", MIN(Instances!P81:Instances!P81),"max", MAX(Instances!P81:Instances!P81),"diff", MAX(Instances!P81:Instances!P81)-MIN(Instances!P81:Instances!P81))</f>
        <v>0</v>
      </c>
      <c r="Q81" s="1" cm="1">
        <f t="array" ref="Q81">_xlfn.SWITCH($A$2,"average", AVERAGE(Instances!Q81:Instances!Q81),"median", MEDIAN(Instances!Q81:Instances!Q81),"min", MIN(Instances!Q81:Instances!Q81),"max", MAX(Instances!Q81:Instances!Q81),"diff", MAX(Instances!Q81:Instances!Q81)-MIN(Instances!Q81:Instances!Q81))</f>
        <v>0</v>
      </c>
      <c r="R81" s="1">
        <f>MIN($B81,$D81,$F81,$H81,$J81,$L81,$N81,$P81)</f>
        <v>0</v>
      </c>
      <c r="S81" s="1">
        <f>MIN($C81,$E81,$G81,$I81,$K81,$M81,$O81,$Q81)</f>
        <v>0</v>
      </c>
      <c r="T81" s="1">
        <f>MEDIAN($B81,$D81,$F81,$H81,$J81,$L81,$N81,$P81)</f>
        <v>0</v>
      </c>
      <c r="U81" s="1">
        <f>MEDIAN($C81,$E81,$G81,$I81,$K81,$M81,$O81,$Q81)</f>
        <v>0</v>
      </c>
      <c r="V81" s="1">
        <f>MAX($B81,$D81,$F81,$H81,$J81,$L81,$N81,$P81)</f>
        <v>0</v>
      </c>
      <c r="W81" s="1">
        <f>MAX($C81,$E81,$G81,$I81,$K81,$M81,$O81,$Q81)</f>
        <v>0</v>
      </c>
    </row>
    <row r="82" spans="1:23">
      <c r="A82" s="1" t="s">
        <v>79</v>
      </c>
      <c r="B82" s="1"/>
      <c r="C82" s="1"/>
      <c r="D82" s="1" cm="1">
        <f t="array" ref="D82">_xlfn.SWITCH($A$2,"average", AVERAGE(Instances!D82:Instances!D82),"median", MEDIAN(Instances!D82:Instances!D82),"min", MIN(Instances!D82:Instances!D82),"max", MAX(Instances!D82:Instances!D82),"diff", MAX(Instances!D82:Instances!D82)-MIN(Instances!D82:Instances!D82))</f>
        <v>0</v>
      </c>
      <c r="E82" s="1" cm="1">
        <f t="array" ref="E82">_xlfn.SWITCH($A$2,"average", AVERAGE(Instances!E82:Instances!E82),"median", MEDIAN(Instances!E82:Instances!E82),"min", MIN(Instances!E82:Instances!E82),"max", MAX(Instances!E82:Instances!E82),"diff", MAX(Instances!E82:Instances!E82)-MIN(Instances!E82:Instances!E82))</f>
        <v>0</v>
      </c>
      <c r="F82" s="1" cm="1">
        <f t="array" ref="F82">_xlfn.SWITCH($A$2,"average", AVERAGE(Instances!F82:Instances!F82),"median", MEDIAN(Instances!F82:Instances!F82),"min", MIN(Instances!F82:Instances!F82),"max", MAX(Instances!F82:Instances!F82),"diff", MAX(Instances!F82:Instances!F82)-MIN(Instances!F82:Instances!F82))</f>
        <v>0</v>
      </c>
      <c r="G82" s="1" cm="1">
        <f t="array" ref="G82">_xlfn.SWITCH($A$2,"average", AVERAGE(Instances!G82:Instances!G82),"median", MEDIAN(Instances!G82:Instances!G82),"min", MIN(Instances!G82:Instances!G82),"max", MAX(Instances!G82:Instances!G82),"diff", MAX(Instances!G82:Instances!G82)-MIN(Instances!G82:Instances!G82))</f>
        <v>0</v>
      </c>
      <c r="H82" s="1"/>
      <c r="I82" s="1"/>
      <c r="J82" s="1" cm="1">
        <f t="array" ref="J82">_xlfn.SWITCH($A$2,"average", AVERAGE(Instances!J82:Instances!J82),"median", MEDIAN(Instances!J82:Instances!J82),"min", MIN(Instances!J82:Instances!J82),"max", MAX(Instances!J82:Instances!J82),"diff", MAX(Instances!J82:Instances!J82)-MIN(Instances!J82:Instances!J82))</f>
        <v>0</v>
      </c>
      <c r="K82" s="1" cm="1">
        <f t="array" ref="K82">_xlfn.SWITCH($A$2,"average", AVERAGE(Instances!K82:Instances!K82),"median", MEDIAN(Instances!K82:Instances!K82),"min", MIN(Instances!K82:Instances!K82),"max", MAX(Instances!K82:Instances!K82),"diff", MAX(Instances!K82:Instances!K82)-MIN(Instances!K82:Instances!K82))</f>
        <v>0</v>
      </c>
      <c r="L82" s="1" cm="1">
        <f t="array" ref="L82">_xlfn.SWITCH($A$2,"average", AVERAGE(Instances!L82:Instances!L82),"median", MEDIAN(Instances!L82:Instances!L82),"min", MIN(Instances!L82:Instances!L82),"max", MAX(Instances!L82:Instances!L82),"diff", MAX(Instances!L82:Instances!L82)-MIN(Instances!L82:Instances!L82))</f>
        <v>0</v>
      </c>
      <c r="M82" s="1" cm="1">
        <f t="array" ref="M82">_xlfn.SWITCH($A$2,"average", AVERAGE(Instances!M82:Instances!M82),"median", MEDIAN(Instances!M82:Instances!M82),"min", MIN(Instances!M82:Instances!M82),"max", MAX(Instances!M82:Instances!M82),"diff", MAX(Instances!M82:Instances!M82)-MIN(Instances!M82:Instances!M82))</f>
        <v>0</v>
      </c>
      <c r="N82" s="1" cm="1">
        <f t="array" ref="N82">_xlfn.SWITCH($A$2,"average", AVERAGE(Instances!N82:Instances!N82),"median", MEDIAN(Instances!N82:Instances!N82),"min", MIN(Instances!N82:Instances!N82),"max", MAX(Instances!N82:Instances!N82),"diff", MAX(Instances!N82:Instances!N82)-MIN(Instances!N82:Instances!N82))</f>
        <v>0</v>
      </c>
      <c r="O82" s="1" cm="1">
        <f t="array" ref="O82">_xlfn.SWITCH($A$2,"average", AVERAGE(Instances!O82:Instances!O82),"median", MEDIAN(Instances!O82:Instances!O82),"min", MIN(Instances!O82:Instances!O82),"max", MAX(Instances!O82:Instances!O82),"diff", MAX(Instances!O82:Instances!O82)-MIN(Instances!O82:Instances!O82))</f>
        <v>0</v>
      </c>
      <c r="P82" s="1" cm="1">
        <f t="array" ref="P82">_xlfn.SWITCH($A$2,"average", AVERAGE(Instances!P82:Instances!P82),"median", MEDIAN(Instances!P82:Instances!P82),"min", MIN(Instances!P82:Instances!P82),"max", MAX(Instances!P82:Instances!P82),"diff", MAX(Instances!P82:Instances!P82)-MIN(Instances!P82:Instances!P82))</f>
        <v>0</v>
      </c>
      <c r="Q82" s="1" cm="1">
        <f t="array" ref="Q82">_xlfn.SWITCH($A$2,"average", AVERAGE(Instances!Q82:Instances!Q82),"median", MEDIAN(Instances!Q82:Instances!Q82),"min", MIN(Instances!Q82:Instances!Q82),"max", MAX(Instances!Q82:Instances!Q82),"diff", MAX(Instances!Q82:Instances!Q82)-MIN(Instances!Q82:Instances!Q82))</f>
        <v>0</v>
      </c>
      <c r="R82" s="1">
        <f>MIN($B82,$D82,$F82,$H82,$J82,$L82,$N82,$P82)</f>
        <v>0</v>
      </c>
      <c r="S82" s="1">
        <f>MIN($C82,$E82,$G82,$I82,$K82,$M82,$O82,$Q82)</f>
        <v>0</v>
      </c>
      <c r="T82" s="1">
        <f>MEDIAN($B82,$D82,$F82,$H82,$J82,$L82,$N82,$P82)</f>
        <v>0</v>
      </c>
      <c r="U82" s="1">
        <f>MEDIAN($C82,$E82,$G82,$I82,$K82,$M82,$O82,$Q82)</f>
        <v>0</v>
      </c>
      <c r="V82" s="1">
        <f>MAX($B82,$D82,$F82,$H82,$J82,$L82,$N82,$P82)</f>
        <v>0</v>
      </c>
      <c r="W82" s="1">
        <f>MAX($C82,$E82,$G82,$I82,$K82,$M82,$O82,$Q82)</f>
        <v>0</v>
      </c>
    </row>
    <row r="83" spans="1:23">
      <c r="A83" s="1" t="s">
        <v>80</v>
      </c>
      <c r="B83" s="1"/>
      <c r="C83" s="1"/>
      <c r="D83" s="1" cm="1">
        <f t="array" ref="D83">_xlfn.SWITCH($A$2,"average", AVERAGE(Instances!D83:Instances!D83),"median", MEDIAN(Instances!D83:Instances!D83),"min", MIN(Instances!D83:Instances!D83),"max", MAX(Instances!D83:Instances!D83),"diff", MAX(Instances!D83:Instances!D83)-MIN(Instances!D83:Instances!D83))</f>
        <v>0</v>
      </c>
      <c r="E83" s="1" cm="1">
        <f t="array" ref="E83">_xlfn.SWITCH($A$2,"average", AVERAGE(Instances!E83:Instances!E83),"median", MEDIAN(Instances!E83:Instances!E83),"min", MIN(Instances!E83:Instances!E83),"max", MAX(Instances!E83:Instances!E83),"diff", MAX(Instances!E83:Instances!E83)-MIN(Instances!E83:Instances!E83))</f>
        <v>0</v>
      </c>
      <c r="F83" s="1" cm="1">
        <f t="array" ref="F83">_xlfn.SWITCH($A$2,"average", AVERAGE(Instances!F83:Instances!F83),"median", MEDIAN(Instances!F83:Instances!F83),"min", MIN(Instances!F83:Instances!F83),"max", MAX(Instances!F83:Instances!F83),"diff", MAX(Instances!F83:Instances!F83)-MIN(Instances!F83:Instances!F83))</f>
        <v>0</v>
      </c>
      <c r="G83" s="1" cm="1">
        <f t="array" ref="G83">_xlfn.SWITCH($A$2,"average", AVERAGE(Instances!G83:Instances!G83),"median", MEDIAN(Instances!G83:Instances!G83),"min", MIN(Instances!G83:Instances!G83),"max", MAX(Instances!G83:Instances!G83),"diff", MAX(Instances!G83:Instances!G83)-MIN(Instances!G83:Instances!G83))</f>
        <v>0</v>
      </c>
      <c r="H83" s="1"/>
      <c r="I83" s="1"/>
      <c r="J83" s="1" cm="1">
        <f t="array" ref="J83">_xlfn.SWITCH($A$2,"average", AVERAGE(Instances!J83:Instances!J83),"median", MEDIAN(Instances!J83:Instances!J83),"min", MIN(Instances!J83:Instances!J83),"max", MAX(Instances!J83:Instances!J83),"diff", MAX(Instances!J83:Instances!J83)-MIN(Instances!J83:Instances!J83))</f>
        <v>0</v>
      </c>
      <c r="K83" s="1" cm="1">
        <f t="array" ref="K83">_xlfn.SWITCH($A$2,"average", AVERAGE(Instances!K83:Instances!K83),"median", MEDIAN(Instances!K83:Instances!K83),"min", MIN(Instances!K83:Instances!K83),"max", MAX(Instances!K83:Instances!K83),"diff", MAX(Instances!K83:Instances!K83)-MIN(Instances!K83:Instances!K83))</f>
        <v>0</v>
      </c>
      <c r="L83" s="1" cm="1">
        <f t="array" ref="L83">_xlfn.SWITCH($A$2,"average", AVERAGE(Instances!L83:Instances!L83),"median", MEDIAN(Instances!L83:Instances!L83),"min", MIN(Instances!L83:Instances!L83),"max", MAX(Instances!L83:Instances!L83),"diff", MAX(Instances!L83:Instances!L83)-MIN(Instances!L83:Instances!L83))</f>
        <v>0</v>
      </c>
      <c r="M83" s="1" cm="1">
        <f t="array" ref="M83">_xlfn.SWITCH($A$2,"average", AVERAGE(Instances!M83:Instances!M83),"median", MEDIAN(Instances!M83:Instances!M83),"min", MIN(Instances!M83:Instances!M83),"max", MAX(Instances!M83:Instances!M83),"diff", MAX(Instances!M83:Instances!M83)-MIN(Instances!M83:Instances!M83))</f>
        <v>0</v>
      </c>
      <c r="N83" s="1" cm="1">
        <f t="array" ref="N83">_xlfn.SWITCH($A$2,"average", AVERAGE(Instances!N83:Instances!N83),"median", MEDIAN(Instances!N83:Instances!N83),"min", MIN(Instances!N83:Instances!N83),"max", MAX(Instances!N83:Instances!N83),"diff", MAX(Instances!N83:Instances!N83)-MIN(Instances!N83:Instances!N83))</f>
        <v>0</v>
      </c>
      <c r="O83" s="1" cm="1">
        <f t="array" ref="O83">_xlfn.SWITCH($A$2,"average", AVERAGE(Instances!O83:Instances!O83),"median", MEDIAN(Instances!O83:Instances!O83),"min", MIN(Instances!O83:Instances!O83),"max", MAX(Instances!O83:Instances!O83),"diff", MAX(Instances!O83:Instances!O83)-MIN(Instances!O83:Instances!O83))</f>
        <v>0</v>
      </c>
      <c r="P83" s="1" cm="1">
        <f t="array" ref="P83">_xlfn.SWITCH($A$2,"average", AVERAGE(Instances!P83:Instances!P83),"median", MEDIAN(Instances!P83:Instances!P83),"min", MIN(Instances!P83:Instances!P83),"max", MAX(Instances!P83:Instances!P83),"diff", MAX(Instances!P83:Instances!P83)-MIN(Instances!P83:Instances!P83))</f>
        <v>0</v>
      </c>
      <c r="Q83" s="1" cm="1">
        <f t="array" ref="Q83">_xlfn.SWITCH($A$2,"average", AVERAGE(Instances!Q83:Instances!Q83),"median", MEDIAN(Instances!Q83:Instances!Q83),"min", MIN(Instances!Q83:Instances!Q83),"max", MAX(Instances!Q83:Instances!Q83),"diff", MAX(Instances!Q83:Instances!Q83)-MIN(Instances!Q83:Instances!Q83))</f>
        <v>0</v>
      </c>
      <c r="R83" s="1">
        <f>MIN($B83,$D83,$F83,$H83,$J83,$L83,$N83,$P83)</f>
        <v>0</v>
      </c>
      <c r="S83" s="1">
        <f>MIN($C83,$E83,$G83,$I83,$K83,$M83,$O83,$Q83)</f>
        <v>0</v>
      </c>
      <c r="T83" s="1">
        <f>MEDIAN($B83,$D83,$F83,$H83,$J83,$L83,$N83,$P83)</f>
        <v>0</v>
      </c>
      <c r="U83" s="1">
        <f>MEDIAN($C83,$E83,$G83,$I83,$K83,$M83,$O83,$Q83)</f>
        <v>0</v>
      </c>
      <c r="V83" s="1">
        <f>MAX($B83,$D83,$F83,$H83,$J83,$L83,$N83,$P83)</f>
        <v>0</v>
      </c>
      <c r="W83" s="1">
        <f>MAX($C83,$E83,$G83,$I83,$K83,$M83,$O83,$Q83)</f>
        <v>0</v>
      </c>
    </row>
    <row r="84" spans="1:23">
      <c r="A84" s="1" t="s">
        <v>81</v>
      </c>
      <c r="B84" s="1"/>
      <c r="C84" s="1"/>
      <c r="D84" s="1" cm="1">
        <f t="array" ref="D84">_xlfn.SWITCH($A$2,"average", AVERAGE(Instances!D84:Instances!D84),"median", MEDIAN(Instances!D84:Instances!D84),"min", MIN(Instances!D84:Instances!D84),"max", MAX(Instances!D84:Instances!D84),"diff", MAX(Instances!D84:Instances!D84)-MIN(Instances!D84:Instances!D84))</f>
        <v>0</v>
      </c>
      <c r="E84" s="1" cm="1">
        <f t="array" ref="E84">_xlfn.SWITCH($A$2,"average", AVERAGE(Instances!E84:Instances!E84),"median", MEDIAN(Instances!E84:Instances!E84),"min", MIN(Instances!E84:Instances!E84),"max", MAX(Instances!E84:Instances!E84),"diff", MAX(Instances!E84:Instances!E84)-MIN(Instances!E84:Instances!E84))</f>
        <v>0</v>
      </c>
      <c r="F84" s="1" cm="1">
        <f t="array" ref="F84">_xlfn.SWITCH($A$2,"average", AVERAGE(Instances!F84:Instances!F84),"median", MEDIAN(Instances!F84:Instances!F84),"min", MIN(Instances!F84:Instances!F84),"max", MAX(Instances!F84:Instances!F84),"diff", MAX(Instances!F84:Instances!F84)-MIN(Instances!F84:Instances!F84))</f>
        <v>0</v>
      </c>
      <c r="G84" s="1" cm="1">
        <f t="array" ref="G84">_xlfn.SWITCH($A$2,"average", AVERAGE(Instances!G84:Instances!G84),"median", MEDIAN(Instances!G84:Instances!G84),"min", MIN(Instances!G84:Instances!G84),"max", MAX(Instances!G84:Instances!G84),"diff", MAX(Instances!G84:Instances!G84)-MIN(Instances!G84:Instances!G84))</f>
        <v>0</v>
      </c>
      <c r="H84" s="1"/>
      <c r="I84" s="1"/>
      <c r="J84" s="1" cm="1">
        <f t="array" ref="J84">_xlfn.SWITCH($A$2,"average", AVERAGE(Instances!J84:Instances!J84),"median", MEDIAN(Instances!J84:Instances!J84),"min", MIN(Instances!J84:Instances!J84),"max", MAX(Instances!J84:Instances!J84),"diff", MAX(Instances!J84:Instances!J84)-MIN(Instances!J84:Instances!J84))</f>
        <v>0</v>
      </c>
      <c r="K84" s="1" cm="1">
        <f t="array" ref="K84">_xlfn.SWITCH($A$2,"average", AVERAGE(Instances!K84:Instances!K84),"median", MEDIAN(Instances!K84:Instances!K84),"min", MIN(Instances!K84:Instances!K84),"max", MAX(Instances!K84:Instances!K84),"diff", MAX(Instances!K84:Instances!K84)-MIN(Instances!K84:Instances!K84))</f>
        <v>0</v>
      </c>
      <c r="L84" s="1" cm="1">
        <f t="array" ref="L84">_xlfn.SWITCH($A$2,"average", AVERAGE(Instances!L84:Instances!L84),"median", MEDIAN(Instances!L84:Instances!L84),"min", MIN(Instances!L84:Instances!L84),"max", MAX(Instances!L84:Instances!L84),"diff", MAX(Instances!L84:Instances!L84)-MIN(Instances!L84:Instances!L84))</f>
        <v>0</v>
      </c>
      <c r="M84" s="1" cm="1">
        <f t="array" ref="M84">_xlfn.SWITCH($A$2,"average", AVERAGE(Instances!M84:Instances!M84),"median", MEDIAN(Instances!M84:Instances!M84),"min", MIN(Instances!M84:Instances!M84),"max", MAX(Instances!M84:Instances!M84),"diff", MAX(Instances!M84:Instances!M84)-MIN(Instances!M84:Instances!M84))</f>
        <v>0</v>
      </c>
      <c r="N84" s="1" cm="1">
        <f t="array" ref="N84">_xlfn.SWITCH($A$2,"average", AVERAGE(Instances!N84:Instances!N84),"median", MEDIAN(Instances!N84:Instances!N84),"min", MIN(Instances!N84:Instances!N84),"max", MAX(Instances!N84:Instances!N84),"diff", MAX(Instances!N84:Instances!N84)-MIN(Instances!N84:Instances!N84))</f>
        <v>0</v>
      </c>
      <c r="O84" s="1" cm="1">
        <f t="array" ref="O84">_xlfn.SWITCH($A$2,"average", AVERAGE(Instances!O84:Instances!O84),"median", MEDIAN(Instances!O84:Instances!O84),"min", MIN(Instances!O84:Instances!O84),"max", MAX(Instances!O84:Instances!O84),"diff", MAX(Instances!O84:Instances!O84)-MIN(Instances!O84:Instances!O84))</f>
        <v>0</v>
      </c>
      <c r="P84" s="1" cm="1">
        <f t="array" ref="P84">_xlfn.SWITCH($A$2,"average", AVERAGE(Instances!P84:Instances!P84),"median", MEDIAN(Instances!P84:Instances!P84),"min", MIN(Instances!P84:Instances!P84),"max", MAX(Instances!P84:Instances!P84),"diff", MAX(Instances!P84:Instances!P84)-MIN(Instances!P84:Instances!P84))</f>
        <v>0</v>
      </c>
      <c r="Q84" s="1" cm="1">
        <f t="array" ref="Q84">_xlfn.SWITCH($A$2,"average", AVERAGE(Instances!Q84:Instances!Q84),"median", MEDIAN(Instances!Q84:Instances!Q84),"min", MIN(Instances!Q84:Instances!Q84),"max", MAX(Instances!Q84:Instances!Q84),"diff", MAX(Instances!Q84:Instances!Q84)-MIN(Instances!Q84:Instances!Q84))</f>
        <v>0</v>
      </c>
      <c r="R84" s="1">
        <f>MIN($B84,$D84,$F84,$H84,$J84,$L84,$N84,$P84)</f>
        <v>0</v>
      </c>
      <c r="S84" s="1">
        <f>MIN($C84,$E84,$G84,$I84,$K84,$M84,$O84,$Q84)</f>
        <v>0</v>
      </c>
      <c r="T84" s="1">
        <f>MEDIAN($B84,$D84,$F84,$H84,$J84,$L84,$N84,$P84)</f>
        <v>0</v>
      </c>
      <c r="U84" s="1">
        <f>MEDIAN($C84,$E84,$G84,$I84,$K84,$M84,$O84,$Q84)</f>
        <v>0</v>
      </c>
      <c r="V84" s="1">
        <f>MAX($B84,$D84,$F84,$H84,$J84,$L84,$N84,$P84)</f>
        <v>0</v>
      </c>
      <c r="W84" s="1">
        <f>MAX($C84,$E84,$G84,$I84,$K84,$M84,$O84,$Q84)</f>
        <v>0</v>
      </c>
    </row>
    <row r="85" spans="1:23">
      <c r="A85" s="1" t="s">
        <v>82</v>
      </c>
      <c r="B85" s="1"/>
      <c r="C85" s="1"/>
      <c r="D85" s="1" cm="1">
        <f t="array" ref="D85">_xlfn.SWITCH($A$2,"average", AVERAGE(Instances!D85:Instances!D85),"median", MEDIAN(Instances!D85:Instances!D85),"min", MIN(Instances!D85:Instances!D85),"max", MAX(Instances!D85:Instances!D85),"diff", MAX(Instances!D85:Instances!D85)-MIN(Instances!D85:Instances!D85))</f>
        <v>0</v>
      </c>
      <c r="E85" s="1" cm="1">
        <f t="array" ref="E85">_xlfn.SWITCH($A$2,"average", AVERAGE(Instances!E85:Instances!E85),"median", MEDIAN(Instances!E85:Instances!E85),"min", MIN(Instances!E85:Instances!E85),"max", MAX(Instances!E85:Instances!E85),"diff", MAX(Instances!E85:Instances!E85)-MIN(Instances!E85:Instances!E85))</f>
        <v>0</v>
      </c>
      <c r="F85" s="1" cm="1">
        <f t="array" ref="F85">_xlfn.SWITCH($A$2,"average", AVERAGE(Instances!F85:Instances!F85),"median", MEDIAN(Instances!F85:Instances!F85),"min", MIN(Instances!F85:Instances!F85),"max", MAX(Instances!F85:Instances!F85),"diff", MAX(Instances!F85:Instances!F85)-MIN(Instances!F85:Instances!F85))</f>
        <v>0</v>
      </c>
      <c r="G85" s="1" cm="1">
        <f t="array" ref="G85">_xlfn.SWITCH($A$2,"average", AVERAGE(Instances!G85:Instances!G85),"median", MEDIAN(Instances!G85:Instances!G85),"min", MIN(Instances!G85:Instances!G85),"max", MAX(Instances!G85:Instances!G85),"diff", MAX(Instances!G85:Instances!G85)-MIN(Instances!G85:Instances!G85))</f>
        <v>0</v>
      </c>
      <c r="H85" s="1"/>
      <c r="I85" s="1"/>
      <c r="J85" s="1" cm="1">
        <f t="array" ref="J85">_xlfn.SWITCH($A$2,"average", AVERAGE(Instances!J85:Instances!J85),"median", MEDIAN(Instances!J85:Instances!J85),"min", MIN(Instances!J85:Instances!J85),"max", MAX(Instances!J85:Instances!J85),"diff", MAX(Instances!J85:Instances!J85)-MIN(Instances!J85:Instances!J85))</f>
        <v>0</v>
      </c>
      <c r="K85" s="1" cm="1">
        <f t="array" ref="K85">_xlfn.SWITCH($A$2,"average", AVERAGE(Instances!K85:Instances!K85),"median", MEDIAN(Instances!K85:Instances!K85),"min", MIN(Instances!K85:Instances!K85),"max", MAX(Instances!K85:Instances!K85),"diff", MAX(Instances!K85:Instances!K85)-MIN(Instances!K85:Instances!K85))</f>
        <v>0</v>
      </c>
      <c r="L85" s="1" cm="1">
        <f t="array" ref="L85">_xlfn.SWITCH($A$2,"average", AVERAGE(Instances!L85:Instances!L85),"median", MEDIAN(Instances!L85:Instances!L85),"min", MIN(Instances!L85:Instances!L85),"max", MAX(Instances!L85:Instances!L85),"diff", MAX(Instances!L85:Instances!L85)-MIN(Instances!L85:Instances!L85))</f>
        <v>0</v>
      </c>
      <c r="M85" s="1" cm="1">
        <f t="array" ref="M85">_xlfn.SWITCH($A$2,"average", AVERAGE(Instances!M85:Instances!M85),"median", MEDIAN(Instances!M85:Instances!M85),"min", MIN(Instances!M85:Instances!M85),"max", MAX(Instances!M85:Instances!M85),"diff", MAX(Instances!M85:Instances!M85)-MIN(Instances!M85:Instances!M85))</f>
        <v>0</v>
      </c>
      <c r="N85" s="1" cm="1">
        <f t="array" ref="N85">_xlfn.SWITCH($A$2,"average", AVERAGE(Instances!N85:Instances!N85),"median", MEDIAN(Instances!N85:Instances!N85),"min", MIN(Instances!N85:Instances!N85),"max", MAX(Instances!N85:Instances!N85),"diff", MAX(Instances!N85:Instances!N85)-MIN(Instances!N85:Instances!N85))</f>
        <v>0</v>
      </c>
      <c r="O85" s="1" cm="1">
        <f t="array" ref="O85">_xlfn.SWITCH($A$2,"average", AVERAGE(Instances!O85:Instances!O85),"median", MEDIAN(Instances!O85:Instances!O85),"min", MIN(Instances!O85:Instances!O85),"max", MAX(Instances!O85:Instances!O85),"diff", MAX(Instances!O85:Instances!O85)-MIN(Instances!O85:Instances!O85))</f>
        <v>0</v>
      </c>
      <c r="P85" s="1" cm="1">
        <f t="array" ref="P85">_xlfn.SWITCH($A$2,"average", AVERAGE(Instances!P85:Instances!P85),"median", MEDIAN(Instances!P85:Instances!P85),"min", MIN(Instances!P85:Instances!P85),"max", MAX(Instances!P85:Instances!P85),"diff", MAX(Instances!P85:Instances!P85)-MIN(Instances!P85:Instances!P85))</f>
        <v>0</v>
      </c>
      <c r="Q85" s="1" cm="1">
        <f t="array" ref="Q85">_xlfn.SWITCH($A$2,"average", AVERAGE(Instances!Q85:Instances!Q85),"median", MEDIAN(Instances!Q85:Instances!Q85),"min", MIN(Instances!Q85:Instances!Q85),"max", MAX(Instances!Q85:Instances!Q85),"diff", MAX(Instances!Q85:Instances!Q85)-MIN(Instances!Q85:Instances!Q85))</f>
        <v>0</v>
      </c>
      <c r="R85" s="1">
        <f>MIN($B85,$D85,$F85,$H85,$J85,$L85,$N85,$P85)</f>
        <v>0</v>
      </c>
      <c r="S85" s="1">
        <f>MIN($C85,$E85,$G85,$I85,$K85,$M85,$O85,$Q85)</f>
        <v>0</v>
      </c>
      <c r="T85" s="1">
        <f>MEDIAN($B85,$D85,$F85,$H85,$J85,$L85,$N85,$P85)</f>
        <v>0</v>
      </c>
      <c r="U85" s="1">
        <f>MEDIAN($C85,$E85,$G85,$I85,$K85,$M85,$O85,$Q85)</f>
        <v>0</v>
      </c>
      <c r="V85" s="1">
        <f>MAX($B85,$D85,$F85,$H85,$J85,$L85,$N85,$P85)</f>
        <v>0</v>
      </c>
      <c r="W85" s="1">
        <f>MAX($C85,$E85,$G85,$I85,$K85,$M85,$O85,$Q85)</f>
        <v>0</v>
      </c>
    </row>
    <row r="86" spans="1:23">
      <c r="A86" s="1" t="s">
        <v>83</v>
      </c>
      <c r="B86" s="1"/>
      <c r="C86" s="1"/>
      <c r="D86" s="1" cm="1">
        <f t="array" ref="D86">_xlfn.SWITCH($A$2,"average", AVERAGE(Instances!D86:Instances!D86),"median", MEDIAN(Instances!D86:Instances!D86),"min", MIN(Instances!D86:Instances!D86),"max", MAX(Instances!D86:Instances!D86),"diff", MAX(Instances!D86:Instances!D86)-MIN(Instances!D86:Instances!D86))</f>
        <v>0</v>
      </c>
      <c r="E86" s="1" cm="1">
        <f t="array" ref="E86">_xlfn.SWITCH($A$2,"average", AVERAGE(Instances!E86:Instances!E86),"median", MEDIAN(Instances!E86:Instances!E86),"min", MIN(Instances!E86:Instances!E86),"max", MAX(Instances!E86:Instances!E86),"diff", MAX(Instances!E86:Instances!E86)-MIN(Instances!E86:Instances!E86))</f>
        <v>0</v>
      </c>
      <c r="F86" s="1" cm="1">
        <f t="array" ref="F86">_xlfn.SWITCH($A$2,"average", AVERAGE(Instances!F86:Instances!F86),"median", MEDIAN(Instances!F86:Instances!F86),"min", MIN(Instances!F86:Instances!F86),"max", MAX(Instances!F86:Instances!F86),"diff", MAX(Instances!F86:Instances!F86)-MIN(Instances!F86:Instances!F86))</f>
        <v>0</v>
      </c>
      <c r="G86" s="1" cm="1">
        <f t="array" ref="G86">_xlfn.SWITCH($A$2,"average", AVERAGE(Instances!G86:Instances!G86),"median", MEDIAN(Instances!G86:Instances!G86),"min", MIN(Instances!G86:Instances!G86),"max", MAX(Instances!G86:Instances!G86),"diff", MAX(Instances!G86:Instances!G86)-MIN(Instances!G86:Instances!G86))</f>
        <v>0</v>
      </c>
      <c r="H86" s="1"/>
      <c r="I86" s="1"/>
      <c r="J86" s="1" cm="1">
        <f t="array" ref="J86">_xlfn.SWITCH($A$2,"average", AVERAGE(Instances!J86:Instances!J86),"median", MEDIAN(Instances!J86:Instances!J86),"min", MIN(Instances!J86:Instances!J86),"max", MAX(Instances!J86:Instances!J86),"diff", MAX(Instances!J86:Instances!J86)-MIN(Instances!J86:Instances!J86))</f>
        <v>0</v>
      </c>
      <c r="K86" s="1" cm="1">
        <f t="array" ref="K86">_xlfn.SWITCH($A$2,"average", AVERAGE(Instances!K86:Instances!K86),"median", MEDIAN(Instances!K86:Instances!K86),"min", MIN(Instances!K86:Instances!K86),"max", MAX(Instances!K86:Instances!K86),"diff", MAX(Instances!K86:Instances!K86)-MIN(Instances!K86:Instances!K86))</f>
        <v>0</v>
      </c>
      <c r="L86" s="1" cm="1">
        <f t="array" ref="L86">_xlfn.SWITCH($A$2,"average", AVERAGE(Instances!L86:Instances!L86),"median", MEDIAN(Instances!L86:Instances!L86),"min", MIN(Instances!L86:Instances!L86),"max", MAX(Instances!L86:Instances!L86),"diff", MAX(Instances!L86:Instances!L86)-MIN(Instances!L86:Instances!L86))</f>
        <v>0</v>
      </c>
      <c r="M86" s="1" cm="1">
        <f t="array" ref="M86">_xlfn.SWITCH($A$2,"average", AVERAGE(Instances!M86:Instances!M86),"median", MEDIAN(Instances!M86:Instances!M86),"min", MIN(Instances!M86:Instances!M86),"max", MAX(Instances!M86:Instances!M86),"diff", MAX(Instances!M86:Instances!M86)-MIN(Instances!M86:Instances!M86))</f>
        <v>0</v>
      </c>
      <c r="N86" s="1" cm="1">
        <f t="array" ref="N86">_xlfn.SWITCH($A$2,"average", AVERAGE(Instances!N86:Instances!N86),"median", MEDIAN(Instances!N86:Instances!N86),"min", MIN(Instances!N86:Instances!N86),"max", MAX(Instances!N86:Instances!N86),"diff", MAX(Instances!N86:Instances!N86)-MIN(Instances!N86:Instances!N86))</f>
        <v>0</v>
      </c>
      <c r="O86" s="1" cm="1">
        <f t="array" ref="O86">_xlfn.SWITCH($A$2,"average", AVERAGE(Instances!O86:Instances!O86),"median", MEDIAN(Instances!O86:Instances!O86),"min", MIN(Instances!O86:Instances!O86),"max", MAX(Instances!O86:Instances!O86),"diff", MAX(Instances!O86:Instances!O86)-MIN(Instances!O86:Instances!O86))</f>
        <v>0</v>
      </c>
      <c r="P86" s="1" cm="1">
        <f t="array" ref="P86">_xlfn.SWITCH($A$2,"average", AVERAGE(Instances!P86:Instances!P86),"median", MEDIAN(Instances!P86:Instances!P86),"min", MIN(Instances!P86:Instances!P86),"max", MAX(Instances!P86:Instances!P86),"diff", MAX(Instances!P86:Instances!P86)-MIN(Instances!P86:Instances!P86))</f>
        <v>0</v>
      </c>
      <c r="Q86" s="1" cm="1">
        <f t="array" ref="Q86">_xlfn.SWITCH($A$2,"average", AVERAGE(Instances!Q86:Instances!Q86),"median", MEDIAN(Instances!Q86:Instances!Q86),"min", MIN(Instances!Q86:Instances!Q86),"max", MAX(Instances!Q86:Instances!Q86),"diff", MAX(Instances!Q86:Instances!Q86)-MIN(Instances!Q86:Instances!Q86))</f>
        <v>0</v>
      </c>
      <c r="R86" s="1">
        <f>MIN($B86,$D86,$F86,$H86,$J86,$L86,$N86,$P86)</f>
        <v>0</v>
      </c>
      <c r="S86" s="1">
        <f>MIN($C86,$E86,$G86,$I86,$K86,$M86,$O86,$Q86)</f>
        <v>0</v>
      </c>
      <c r="T86" s="1">
        <f>MEDIAN($B86,$D86,$F86,$H86,$J86,$L86,$N86,$P86)</f>
        <v>0</v>
      </c>
      <c r="U86" s="1">
        <f>MEDIAN($C86,$E86,$G86,$I86,$K86,$M86,$O86,$Q86)</f>
        <v>0</v>
      </c>
      <c r="V86" s="1">
        <f>MAX($B86,$D86,$F86,$H86,$J86,$L86,$N86,$P86)</f>
        <v>0</v>
      </c>
      <c r="W86" s="1">
        <f>MAX($C86,$E86,$G86,$I86,$K86,$M86,$O86,$Q86)</f>
        <v>0</v>
      </c>
    </row>
    <row r="87" spans="1:23">
      <c r="A87" s="1" t="s">
        <v>84</v>
      </c>
      <c r="B87" s="1"/>
      <c r="C87" s="1"/>
      <c r="D87" s="1" cm="1">
        <f t="array" ref="D87">_xlfn.SWITCH($A$2,"average", AVERAGE(Instances!D87:Instances!D87),"median", MEDIAN(Instances!D87:Instances!D87),"min", MIN(Instances!D87:Instances!D87),"max", MAX(Instances!D87:Instances!D87),"diff", MAX(Instances!D87:Instances!D87)-MIN(Instances!D87:Instances!D87))</f>
        <v>0</v>
      </c>
      <c r="E87" s="1" cm="1">
        <f t="array" ref="E87">_xlfn.SWITCH($A$2,"average", AVERAGE(Instances!E87:Instances!E87),"median", MEDIAN(Instances!E87:Instances!E87),"min", MIN(Instances!E87:Instances!E87),"max", MAX(Instances!E87:Instances!E87),"diff", MAX(Instances!E87:Instances!E87)-MIN(Instances!E87:Instances!E87))</f>
        <v>0</v>
      </c>
      <c r="F87" s="1" cm="1">
        <f t="array" ref="F87">_xlfn.SWITCH($A$2,"average", AVERAGE(Instances!F87:Instances!F87),"median", MEDIAN(Instances!F87:Instances!F87),"min", MIN(Instances!F87:Instances!F87),"max", MAX(Instances!F87:Instances!F87),"diff", MAX(Instances!F87:Instances!F87)-MIN(Instances!F87:Instances!F87))</f>
        <v>0</v>
      </c>
      <c r="G87" s="1" cm="1">
        <f t="array" ref="G87">_xlfn.SWITCH($A$2,"average", AVERAGE(Instances!G87:Instances!G87),"median", MEDIAN(Instances!G87:Instances!G87),"min", MIN(Instances!G87:Instances!G87),"max", MAX(Instances!G87:Instances!G87),"diff", MAX(Instances!G87:Instances!G87)-MIN(Instances!G87:Instances!G87))</f>
        <v>0</v>
      </c>
      <c r="H87" s="1"/>
      <c r="I87" s="1"/>
      <c r="J87" s="1" cm="1">
        <f t="array" ref="J87">_xlfn.SWITCH($A$2,"average", AVERAGE(Instances!J87:Instances!J87),"median", MEDIAN(Instances!J87:Instances!J87),"min", MIN(Instances!J87:Instances!J87),"max", MAX(Instances!J87:Instances!J87),"diff", MAX(Instances!J87:Instances!J87)-MIN(Instances!J87:Instances!J87))</f>
        <v>0</v>
      </c>
      <c r="K87" s="1" cm="1">
        <f t="array" ref="K87">_xlfn.SWITCH($A$2,"average", AVERAGE(Instances!K87:Instances!K87),"median", MEDIAN(Instances!K87:Instances!K87),"min", MIN(Instances!K87:Instances!K87),"max", MAX(Instances!K87:Instances!K87),"diff", MAX(Instances!K87:Instances!K87)-MIN(Instances!K87:Instances!K87))</f>
        <v>0</v>
      </c>
      <c r="L87" s="1" cm="1">
        <f t="array" ref="L87">_xlfn.SWITCH($A$2,"average", AVERAGE(Instances!L87:Instances!L87),"median", MEDIAN(Instances!L87:Instances!L87),"min", MIN(Instances!L87:Instances!L87),"max", MAX(Instances!L87:Instances!L87),"diff", MAX(Instances!L87:Instances!L87)-MIN(Instances!L87:Instances!L87))</f>
        <v>0</v>
      </c>
      <c r="M87" s="1" cm="1">
        <f t="array" ref="M87">_xlfn.SWITCH($A$2,"average", AVERAGE(Instances!M87:Instances!M87),"median", MEDIAN(Instances!M87:Instances!M87),"min", MIN(Instances!M87:Instances!M87),"max", MAX(Instances!M87:Instances!M87),"diff", MAX(Instances!M87:Instances!M87)-MIN(Instances!M87:Instances!M87))</f>
        <v>0</v>
      </c>
      <c r="N87" s="1" cm="1">
        <f t="array" ref="N87">_xlfn.SWITCH($A$2,"average", AVERAGE(Instances!N87:Instances!N87),"median", MEDIAN(Instances!N87:Instances!N87),"min", MIN(Instances!N87:Instances!N87),"max", MAX(Instances!N87:Instances!N87),"diff", MAX(Instances!N87:Instances!N87)-MIN(Instances!N87:Instances!N87))</f>
        <v>0</v>
      </c>
      <c r="O87" s="1" cm="1">
        <f t="array" ref="O87">_xlfn.SWITCH($A$2,"average", AVERAGE(Instances!O87:Instances!O87),"median", MEDIAN(Instances!O87:Instances!O87),"min", MIN(Instances!O87:Instances!O87),"max", MAX(Instances!O87:Instances!O87),"diff", MAX(Instances!O87:Instances!O87)-MIN(Instances!O87:Instances!O87))</f>
        <v>0</v>
      </c>
      <c r="P87" s="1" cm="1">
        <f t="array" ref="P87">_xlfn.SWITCH($A$2,"average", AVERAGE(Instances!P87:Instances!P87),"median", MEDIAN(Instances!P87:Instances!P87),"min", MIN(Instances!P87:Instances!P87),"max", MAX(Instances!P87:Instances!P87),"diff", MAX(Instances!P87:Instances!P87)-MIN(Instances!P87:Instances!P87))</f>
        <v>0</v>
      </c>
      <c r="Q87" s="1" cm="1">
        <f t="array" ref="Q87">_xlfn.SWITCH($A$2,"average", AVERAGE(Instances!Q87:Instances!Q87),"median", MEDIAN(Instances!Q87:Instances!Q87),"min", MIN(Instances!Q87:Instances!Q87),"max", MAX(Instances!Q87:Instances!Q87),"diff", MAX(Instances!Q87:Instances!Q87)-MIN(Instances!Q87:Instances!Q87))</f>
        <v>0</v>
      </c>
      <c r="R87" s="1">
        <f>MIN($B87,$D87,$F87,$H87,$J87,$L87,$N87,$P87)</f>
        <v>0</v>
      </c>
      <c r="S87" s="1">
        <f>MIN($C87,$E87,$G87,$I87,$K87,$M87,$O87,$Q87)</f>
        <v>0</v>
      </c>
      <c r="T87" s="1">
        <f>MEDIAN($B87,$D87,$F87,$H87,$J87,$L87,$N87,$P87)</f>
        <v>0</v>
      </c>
      <c r="U87" s="1">
        <f>MEDIAN($C87,$E87,$G87,$I87,$K87,$M87,$O87,$Q87)</f>
        <v>0</v>
      </c>
      <c r="V87" s="1">
        <f>MAX($B87,$D87,$F87,$H87,$J87,$L87,$N87,$P87)</f>
        <v>0</v>
      </c>
      <c r="W87" s="1">
        <f>MAX($C87,$E87,$G87,$I87,$K87,$M87,$O87,$Q87)</f>
        <v>0</v>
      </c>
    </row>
    <row r="88" spans="1:23">
      <c r="A88" s="1" t="s">
        <v>85</v>
      </c>
      <c r="B88" s="1"/>
      <c r="C88" s="1"/>
      <c r="D88" s="1" cm="1">
        <f t="array" ref="D88">_xlfn.SWITCH($A$2,"average", AVERAGE(Instances!D88:Instances!D88),"median", MEDIAN(Instances!D88:Instances!D88),"min", MIN(Instances!D88:Instances!D88),"max", MAX(Instances!D88:Instances!D88),"diff", MAX(Instances!D88:Instances!D88)-MIN(Instances!D88:Instances!D88))</f>
        <v>0</v>
      </c>
      <c r="E88" s="1" cm="1">
        <f t="array" ref="E88">_xlfn.SWITCH($A$2,"average", AVERAGE(Instances!E88:Instances!E88),"median", MEDIAN(Instances!E88:Instances!E88),"min", MIN(Instances!E88:Instances!E88),"max", MAX(Instances!E88:Instances!E88),"diff", MAX(Instances!E88:Instances!E88)-MIN(Instances!E88:Instances!E88))</f>
        <v>0</v>
      </c>
      <c r="F88" s="1" cm="1">
        <f t="array" ref="F88">_xlfn.SWITCH($A$2,"average", AVERAGE(Instances!F88:Instances!F88),"median", MEDIAN(Instances!F88:Instances!F88),"min", MIN(Instances!F88:Instances!F88),"max", MAX(Instances!F88:Instances!F88),"diff", MAX(Instances!F88:Instances!F88)-MIN(Instances!F88:Instances!F88))</f>
        <v>0</v>
      </c>
      <c r="G88" s="1" cm="1">
        <f t="array" ref="G88">_xlfn.SWITCH($A$2,"average", AVERAGE(Instances!G88:Instances!G88),"median", MEDIAN(Instances!G88:Instances!G88),"min", MIN(Instances!G88:Instances!G88),"max", MAX(Instances!G88:Instances!G88),"diff", MAX(Instances!G88:Instances!G88)-MIN(Instances!G88:Instances!G88))</f>
        <v>0</v>
      </c>
      <c r="H88" s="1"/>
      <c r="I88" s="1"/>
      <c r="J88" s="1" cm="1">
        <f t="array" ref="J88">_xlfn.SWITCH($A$2,"average", AVERAGE(Instances!J88:Instances!J88),"median", MEDIAN(Instances!J88:Instances!J88),"min", MIN(Instances!J88:Instances!J88),"max", MAX(Instances!J88:Instances!J88),"diff", MAX(Instances!J88:Instances!J88)-MIN(Instances!J88:Instances!J88))</f>
        <v>0</v>
      </c>
      <c r="K88" s="1" cm="1">
        <f t="array" ref="K88">_xlfn.SWITCH($A$2,"average", AVERAGE(Instances!K88:Instances!K88),"median", MEDIAN(Instances!K88:Instances!K88),"min", MIN(Instances!K88:Instances!K88),"max", MAX(Instances!K88:Instances!K88),"diff", MAX(Instances!K88:Instances!K88)-MIN(Instances!K88:Instances!K88))</f>
        <v>0</v>
      </c>
      <c r="L88" s="1" cm="1">
        <f t="array" ref="L88">_xlfn.SWITCH($A$2,"average", AVERAGE(Instances!L88:Instances!L88),"median", MEDIAN(Instances!L88:Instances!L88),"min", MIN(Instances!L88:Instances!L88),"max", MAX(Instances!L88:Instances!L88),"diff", MAX(Instances!L88:Instances!L88)-MIN(Instances!L88:Instances!L88))</f>
        <v>0</v>
      </c>
      <c r="M88" s="1" cm="1">
        <f t="array" ref="M88">_xlfn.SWITCH($A$2,"average", AVERAGE(Instances!M88:Instances!M88),"median", MEDIAN(Instances!M88:Instances!M88),"min", MIN(Instances!M88:Instances!M88),"max", MAX(Instances!M88:Instances!M88),"diff", MAX(Instances!M88:Instances!M88)-MIN(Instances!M88:Instances!M88))</f>
        <v>0</v>
      </c>
      <c r="N88" s="1" cm="1">
        <f t="array" ref="N88">_xlfn.SWITCH($A$2,"average", AVERAGE(Instances!N88:Instances!N88),"median", MEDIAN(Instances!N88:Instances!N88),"min", MIN(Instances!N88:Instances!N88),"max", MAX(Instances!N88:Instances!N88),"diff", MAX(Instances!N88:Instances!N88)-MIN(Instances!N88:Instances!N88))</f>
        <v>0</v>
      </c>
      <c r="O88" s="1" cm="1">
        <f t="array" ref="O88">_xlfn.SWITCH($A$2,"average", AVERAGE(Instances!O88:Instances!O88),"median", MEDIAN(Instances!O88:Instances!O88),"min", MIN(Instances!O88:Instances!O88),"max", MAX(Instances!O88:Instances!O88),"diff", MAX(Instances!O88:Instances!O88)-MIN(Instances!O88:Instances!O88))</f>
        <v>0</v>
      </c>
      <c r="P88" s="1" cm="1">
        <f t="array" ref="P88">_xlfn.SWITCH($A$2,"average", AVERAGE(Instances!P88:Instances!P88),"median", MEDIAN(Instances!P88:Instances!P88),"min", MIN(Instances!P88:Instances!P88),"max", MAX(Instances!P88:Instances!P88),"diff", MAX(Instances!P88:Instances!P88)-MIN(Instances!P88:Instances!P88))</f>
        <v>0</v>
      </c>
      <c r="Q88" s="1" cm="1">
        <f t="array" ref="Q88">_xlfn.SWITCH($A$2,"average", AVERAGE(Instances!Q88:Instances!Q88),"median", MEDIAN(Instances!Q88:Instances!Q88),"min", MIN(Instances!Q88:Instances!Q88),"max", MAX(Instances!Q88:Instances!Q88),"diff", MAX(Instances!Q88:Instances!Q88)-MIN(Instances!Q88:Instances!Q88))</f>
        <v>0</v>
      </c>
      <c r="R88" s="1">
        <f>MIN($B88,$D88,$F88,$H88,$J88,$L88,$N88,$P88)</f>
        <v>0</v>
      </c>
      <c r="S88" s="1">
        <f>MIN($C88,$E88,$G88,$I88,$K88,$M88,$O88,$Q88)</f>
        <v>0</v>
      </c>
      <c r="T88" s="1">
        <f>MEDIAN($B88,$D88,$F88,$H88,$J88,$L88,$N88,$P88)</f>
        <v>0</v>
      </c>
      <c r="U88" s="1">
        <f>MEDIAN($C88,$E88,$G88,$I88,$K88,$M88,$O88,$Q88)</f>
        <v>0</v>
      </c>
      <c r="V88" s="1">
        <f>MAX($B88,$D88,$F88,$H88,$J88,$L88,$N88,$P88)</f>
        <v>0</v>
      </c>
      <c r="W88" s="1">
        <f>MAX($C88,$E88,$G88,$I88,$K88,$M88,$O88,$Q88)</f>
        <v>0</v>
      </c>
    </row>
    <row r="89" spans="1:23">
      <c r="A89" s="1" t="s">
        <v>86</v>
      </c>
      <c r="B89" s="1"/>
      <c r="C89" s="1"/>
      <c r="D89" s="1" cm="1">
        <f t="array" ref="D89">_xlfn.SWITCH($A$2,"average", AVERAGE(Instances!D89:Instances!D89),"median", MEDIAN(Instances!D89:Instances!D89),"min", MIN(Instances!D89:Instances!D89),"max", MAX(Instances!D89:Instances!D89),"diff", MAX(Instances!D89:Instances!D89)-MIN(Instances!D89:Instances!D89))</f>
        <v>0</v>
      </c>
      <c r="E89" s="1" cm="1">
        <f t="array" ref="E89">_xlfn.SWITCH($A$2,"average", AVERAGE(Instances!E89:Instances!E89),"median", MEDIAN(Instances!E89:Instances!E89),"min", MIN(Instances!E89:Instances!E89),"max", MAX(Instances!E89:Instances!E89),"diff", MAX(Instances!E89:Instances!E89)-MIN(Instances!E89:Instances!E89))</f>
        <v>0</v>
      </c>
      <c r="F89" s="1" cm="1">
        <f t="array" ref="F89">_xlfn.SWITCH($A$2,"average", AVERAGE(Instances!F89:Instances!F89),"median", MEDIAN(Instances!F89:Instances!F89),"min", MIN(Instances!F89:Instances!F89),"max", MAX(Instances!F89:Instances!F89),"diff", MAX(Instances!F89:Instances!F89)-MIN(Instances!F89:Instances!F89))</f>
        <v>0</v>
      </c>
      <c r="G89" s="1" cm="1">
        <f t="array" ref="G89">_xlfn.SWITCH($A$2,"average", AVERAGE(Instances!G89:Instances!G89),"median", MEDIAN(Instances!G89:Instances!G89),"min", MIN(Instances!G89:Instances!G89),"max", MAX(Instances!G89:Instances!G89),"diff", MAX(Instances!G89:Instances!G89)-MIN(Instances!G89:Instances!G89))</f>
        <v>0</v>
      </c>
      <c r="H89" s="1"/>
      <c r="I89" s="1"/>
      <c r="J89" s="1" cm="1">
        <f t="array" ref="J89">_xlfn.SWITCH($A$2,"average", AVERAGE(Instances!J89:Instances!J89),"median", MEDIAN(Instances!J89:Instances!J89),"min", MIN(Instances!J89:Instances!J89),"max", MAX(Instances!J89:Instances!J89),"diff", MAX(Instances!J89:Instances!J89)-MIN(Instances!J89:Instances!J89))</f>
        <v>0</v>
      </c>
      <c r="K89" s="1" cm="1">
        <f t="array" ref="K89">_xlfn.SWITCH($A$2,"average", AVERAGE(Instances!K89:Instances!K89),"median", MEDIAN(Instances!K89:Instances!K89),"min", MIN(Instances!K89:Instances!K89),"max", MAX(Instances!K89:Instances!K89),"diff", MAX(Instances!K89:Instances!K89)-MIN(Instances!K89:Instances!K89))</f>
        <v>0</v>
      </c>
      <c r="L89" s="1" cm="1">
        <f t="array" ref="L89">_xlfn.SWITCH($A$2,"average", AVERAGE(Instances!L89:Instances!L89),"median", MEDIAN(Instances!L89:Instances!L89),"min", MIN(Instances!L89:Instances!L89),"max", MAX(Instances!L89:Instances!L89),"diff", MAX(Instances!L89:Instances!L89)-MIN(Instances!L89:Instances!L89))</f>
        <v>0</v>
      </c>
      <c r="M89" s="1" cm="1">
        <f t="array" ref="M89">_xlfn.SWITCH($A$2,"average", AVERAGE(Instances!M89:Instances!M89),"median", MEDIAN(Instances!M89:Instances!M89),"min", MIN(Instances!M89:Instances!M89),"max", MAX(Instances!M89:Instances!M89),"diff", MAX(Instances!M89:Instances!M89)-MIN(Instances!M89:Instances!M89))</f>
        <v>0</v>
      </c>
      <c r="N89" s="1" cm="1">
        <f t="array" ref="N89">_xlfn.SWITCH($A$2,"average", AVERAGE(Instances!N89:Instances!N89),"median", MEDIAN(Instances!N89:Instances!N89),"min", MIN(Instances!N89:Instances!N89),"max", MAX(Instances!N89:Instances!N89),"diff", MAX(Instances!N89:Instances!N89)-MIN(Instances!N89:Instances!N89))</f>
        <v>0</v>
      </c>
      <c r="O89" s="1" cm="1">
        <f t="array" ref="O89">_xlfn.SWITCH($A$2,"average", AVERAGE(Instances!O89:Instances!O89),"median", MEDIAN(Instances!O89:Instances!O89),"min", MIN(Instances!O89:Instances!O89),"max", MAX(Instances!O89:Instances!O89),"diff", MAX(Instances!O89:Instances!O89)-MIN(Instances!O89:Instances!O89))</f>
        <v>0</v>
      </c>
      <c r="P89" s="1" cm="1">
        <f t="array" ref="P89">_xlfn.SWITCH($A$2,"average", AVERAGE(Instances!P89:Instances!P89),"median", MEDIAN(Instances!P89:Instances!P89),"min", MIN(Instances!P89:Instances!P89),"max", MAX(Instances!P89:Instances!P89),"diff", MAX(Instances!P89:Instances!P89)-MIN(Instances!P89:Instances!P89))</f>
        <v>0</v>
      </c>
      <c r="Q89" s="1" cm="1">
        <f t="array" ref="Q89">_xlfn.SWITCH($A$2,"average", AVERAGE(Instances!Q89:Instances!Q89),"median", MEDIAN(Instances!Q89:Instances!Q89),"min", MIN(Instances!Q89:Instances!Q89),"max", MAX(Instances!Q89:Instances!Q89),"diff", MAX(Instances!Q89:Instances!Q89)-MIN(Instances!Q89:Instances!Q89))</f>
        <v>0</v>
      </c>
      <c r="R89" s="1">
        <f>MIN($B89,$D89,$F89,$H89,$J89,$L89,$N89,$P89)</f>
        <v>0</v>
      </c>
      <c r="S89" s="1">
        <f>MIN($C89,$E89,$G89,$I89,$K89,$M89,$O89,$Q89)</f>
        <v>0</v>
      </c>
      <c r="T89" s="1">
        <f>MEDIAN($B89,$D89,$F89,$H89,$J89,$L89,$N89,$P89)</f>
        <v>0</v>
      </c>
      <c r="U89" s="1">
        <f>MEDIAN($C89,$E89,$G89,$I89,$K89,$M89,$O89,$Q89)</f>
        <v>0</v>
      </c>
      <c r="V89" s="1">
        <f>MAX($B89,$D89,$F89,$H89,$J89,$L89,$N89,$P89)</f>
        <v>0</v>
      </c>
      <c r="W89" s="1">
        <f>MAX($C89,$E89,$G89,$I89,$K89,$M89,$O89,$Q89)</f>
        <v>0</v>
      </c>
    </row>
    <row r="90" spans="1:23">
      <c r="A90" s="1" t="s">
        <v>87</v>
      </c>
      <c r="B90" s="1"/>
      <c r="C90" s="1"/>
      <c r="D90" s="1" cm="1">
        <f t="array" ref="D90">_xlfn.SWITCH($A$2,"average", AVERAGE(Instances!D90:Instances!D90),"median", MEDIAN(Instances!D90:Instances!D90),"min", MIN(Instances!D90:Instances!D90),"max", MAX(Instances!D90:Instances!D90),"diff", MAX(Instances!D90:Instances!D90)-MIN(Instances!D90:Instances!D90))</f>
        <v>0</v>
      </c>
      <c r="E90" s="1" cm="1">
        <f t="array" ref="E90">_xlfn.SWITCH($A$2,"average", AVERAGE(Instances!E90:Instances!E90),"median", MEDIAN(Instances!E90:Instances!E90),"min", MIN(Instances!E90:Instances!E90),"max", MAX(Instances!E90:Instances!E90),"diff", MAX(Instances!E90:Instances!E90)-MIN(Instances!E90:Instances!E90))</f>
        <v>0</v>
      </c>
      <c r="F90" s="1" cm="1">
        <f t="array" ref="F90">_xlfn.SWITCH($A$2,"average", AVERAGE(Instances!F90:Instances!F90),"median", MEDIAN(Instances!F90:Instances!F90),"min", MIN(Instances!F90:Instances!F90),"max", MAX(Instances!F90:Instances!F90),"diff", MAX(Instances!F90:Instances!F90)-MIN(Instances!F90:Instances!F90))</f>
        <v>0</v>
      </c>
      <c r="G90" s="1" cm="1">
        <f t="array" ref="G90">_xlfn.SWITCH($A$2,"average", AVERAGE(Instances!G90:Instances!G90),"median", MEDIAN(Instances!G90:Instances!G90),"min", MIN(Instances!G90:Instances!G90),"max", MAX(Instances!G90:Instances!G90),"diff", MAX(Instances!G90:Instances!G90)-MIN(Instances!G90:Instances!G90))</f>
        <v>0</v>
      </c>
      <c r="H90" s="1"/>
      <c r="I90" s="1"/>
      <c r="J90" s="1" cm="1">
        <f t="array" ref="J90">_xlfn.SWITCH($A$2,"average", AVERAGE(Instances!J90:Instances!J90),"median", MEDIAN(Instances!J90:Instances!J90),"min", MIN(Instances!J90:Instances!J90),"max", MAX(Instances!J90:Instances!J90),"diff", MAX(Instances!J90:Instances!J90)-MIN(Instances!J90:Instances!J90))</f>
        <v>0</v>
      </c>
      <c r="K90" s="1" cm="1">
        <f t="array" ref="K90">_xlfn.SWITCH($A$2,"average", AVERAGE(Instances!K90:Instances!K90),"median", MEDIAN(Instances!K90:Instances!K90),"min", MIN(Instances!K90:Instances!K90),"max", MAX(Instances!K90:Instances!K90),"diff", MAX(Instances!K90:Instances!K90)-MIN(Instances!K90:Instances!K90))</f>
        <v>0</v>
      </c>
      <c r="L90" s="1" cm="1">
        <f t="array" ref="L90">_xlfn.SWITCH($A$2,"average", AVERAGE(Instances!L90:Instances!L90),"median", MEDIAN(Instances!L90:Instances!L90),"min", MIN(Instances!L90:Instances!L90),"max", MAX(Instances!L90:Instances!L90),"diff", MAX(Instances!L90:Instances!L90)-MIN(Instances!L90:Instances!L90))</f>
        <v>0</v>
      </c>
      <c r="M90" s="1" cm="1">
        <f t="array" ref="M90">_xlfn.SWITCH($A$2,"average", AVERAGE(Instances!M90:Instances!M90),"median", MEDIAN(Instances!M90:Instances!M90),"min", MIN(Instances!M90:Instances!M90),"max", MAX(Instances!M90:Instances!M90),"diff", MAX(Instances!M90:Instances!M90)-MIN(Instances!M90:Instances!M90))</f>
        <v>0</v>
      </c>
      <c r="N90" s="1" cm="1">
        <f t="array" ref="N90">_xlfn.SWITCH($A$2,"average", AVERAGE(Instances!N90:Instances!N90),"median", MEDIAN(Instances!N90:Instances!N90),"min", MIN(Instances!N90:Instances!N90),"max", MAX(Instances!N90:Instances!N90),"diff", MAX(Instances!N90:Instances!N90)-MIN(Instances!N90:Instances!N90))</f>
        <v>0</v>
      </c>
      <c r="O90" s="1" cm="1">
        <f t="array" ref="O90">_xlfn.SWITCH($A$2,"average", AVERAGE(Instances!O90:Instances!O90),"median", MEDIAN(Instances!O90:Instances!O90),"min", MIN(Instances!O90:Instances!O90),"max", MAX(Instances!O90:Instances!O90),"diff", MAX(Instances!O90:Instances!O90)-MIN(Instances!O90:Instances!O90))</f>
        <v>0</v>
      </c>
      <c r="P90" s="1" cm="1">
        <f t="array" ref="P90">_xlfn.SWITCH($A$2,"average", AVERAGE(Instances!P90:Instances!P90),"median", MEDIAN(Instances!P90:Instances!P90),"min", MIN(Instances!P90:Instances!P90),"max", MAX(Instances!P90:Instances!P90),"diff", MAX(Instances!P90:Instances!P90)-MIN(Instances!P90:Instances!P90))</f>
        <v>0</v>
      </c>
      <c r="Q90" s="1" cm="1">
        <f t="array" ref="Q90">_xlfn.SWITCH($A$2,"average", AVERAGE(Instances!Q90:Instances!Q90),"median", MEDIAN(Instances!Q90:Instances!Q90),"min", MIN(Instances!Q90:Instances!Q90),"max", MAX(Instances!Q90:Instances!Q90),"diff", MAX(Instances!Q90:Instances!Q90)-MIN(Instances!Q90:Instances!Q90))</f>
        <v>0</v>
      </c>
      <c r="R90" s="1">
        <f>MIN($B90,$D90,$F90,$H90,$J90,$L90,$N90,$P90)</f>
        <v>0</v>
      </c>
      <c r="S90" s="1">
        <f>MIN($C90,$E90,$G90,$I90,$K90,$M90,$O90,$Q90)</f>
        <v>0</v>
      </c>
      <c r="T90" s="1">
        <f>MEDIAN($B90,$D90,$F90,$H90,$J90,$L90,$N90,$P90)</f>
        <v>0</v>
      </c>
      <c r="U90" s="1">
        <f>MEDIAN($C90,$E90,$G90,$I90,$K90,$M90,$O90,$Q90)</f>
        <v>0</v>
      </c>
      <c r="V90" s="1">
        <f>MAX($B90,$D90,$F90,$H90,$J90,$L90,$N90,$P90)</f>
        <v>0</v>
      </c>
      <c r="W90" s="1">
        <f>MAX($C90,$E90,$G90,$I90,$K90,$M90,$O90,$Q90)</f>
        <v>0</v>
      </c>
    </row>
    <row r="91" spans="1:23">
      <c r="A91" s="1" t="s">
        <v>88</v>
      </c>
      <c r="B91" s="1"/>
      <c r="C91" s="1"/>
      <c r="D91" s="1" cm="1">
        <f t="array" ref="D91">_xlfn.SWITCH($A$2,"average", AVERAGE(Instances!D91:Instances!D91),"median", MEDIAN(Instances!D91:Instances!D91),"min", MIN(Instances!D91:Instances!D91),"max", MAX(Instances!D91:Instances!D91),"diff", MAX(Instances!D91:Instances!D91)-MIN(Instances!D91:Instances!D91))</f>
        <v>0</v>
      </c>
      <c r="E91" s="1" cm="1">
        <f t="array" ref="E91">_xlfn.SWITCH($A$2,"average", AVERAGE(Instances!E91:Instances!E91),"median", MEDIAN(Instances!E91:Instances!E91),"min", MIN(Instances!E91:Instances!E91),"max", MAX(Instances!E91:Instances!E91),"diff", MAX(Instances!E91:Instances!E91)-MIN(Instances!E91:Instances!E91))</f>
        <v>0</v>
      </c>
      <c r="F91" s="1" cm="1">
        <f t="array" ref="F91">_xlfn.SWITCH($A$2,"average", AVERAGE(Instances!F91:Instances!F91),"median", MEDIAN(Instances!F91:Instances!F91),"min", MIN(Instances!F91:Instances!F91),"max", MAX(Instances!F91:Instances!F91),"diff", MAX(Instances!F91:Instances!F91)-MIN(Instances!F91:Instances!F91))</f>
        <v>0</v>
      </c>
      <c r="G91" s="1" cm="1">
        <f t="array" ref="G91">_xlfn.SWITCH($A$2,"average", AVERAGE(Instances!G91:Instances!G91),"median", MEDIAN(Instances!G91:Instances!G91),"min", MIN(Instances!G91:Instances!G91),"max", MAX(Instances!G91:Instances!G91),"diff", MAX(Instances!G91:Instances!G91)-MIN(Instances!G91:Instances!G91))</f>
        <v>0</v>
      </c>
      <c r="H91" s="1"/>
      <c r="I91" s="1"/>
      <c r="J91" s="1" cm="1">
        <f t="array" ref="J91">_xlfn.SWITCH($A$2,"average", AVERAGE(Instances!J91:Instances!J91),"median", MEDIAN(Instances!J91:Instances!J91),"min", MIN(Instances!J91:Instances!J91),"max", MAX(Instances!J91:Instances!J91),"diff", MAX(Instances!J91:Instances!J91)-MIN(Instances!J91:Instances!J91))</f>
        <v>0</v>
      </c>
      <c r="K91" s="1" cm="1">
        <f t="array" ref="K91">_xlfn.SWITCH($A$2,"average", AVERAGE(Instances!K91:Instances!K91),"median", MEDIAN(Instances!K91:Instances!K91),"min", MIN(Instances!K91:Instances!K91),"max", MAX(Instances!K91:Instances!K91),"diff", MAX(Instances!K91:Instances!K91)-MIN(Instances!K91:Instances!K91))</f>
        <v>0</v>
      </c>
      <c r="L91" s="1" cm="1">
        <f t="array" ref="L91">_xlfn.SWITCH($A$2,"average", AVERAGE(Instances!L91:Instances!L91),"median", MEDIAN(Instances!L91:Instances!L91),"min", MIN(Instances!L91:Instances!L91),"max", MAX(Instances!L91:Instances!L91),"diff", MAX(Instances!L91:Instances!L91)-MIN(Instances!L91:Instances!L91))</f>
        <v>0</v>
      </c>
      <c r="M91" s="1" cm="1">
        <f t="array" ref="M91">_xlfn.SWITCH($A$2,"average", AVERAGE(Instances!M91:Instances!M91),"median", MEDIAN(Instances!M91:Instances!M91),"min", MIN(Instances!M91:Instances!M91),"max", MAX(Instances!M91:Instances!M91),"diff", MAX(Instances!M91:Instances!M91)-MIN(Instances!M91:Instances!M91))</f>
        <v>0</v>
      </c>
      <c r="N91" s="1" cm="1">
        <f t="array" ref="N91">_xlfn.SWITCH($A$2,"average", AVERAGE(Instances!N91:Instances!N91),"median", MEDIAN(Instances!N91:Instances!N91),"min", MIN(Instances!N91:Instances!N91),"max", MAX(Instances!N91:Instances!N91),"diff", MAX(Instances!N91:Instances!N91)-MIN(Instances!N91:Instances!N91))</f>
        <v>0</v>
      </c>
      <c r="O91" s="1" cm="1">
        <f t="array" ref="O91">_xlfn.SWITCH($A$2,"average", AVERAGE(Instances!O91:Instances!O91),"median", MEDIAN(Instances!O91:Instances!O91),"min", MIN(Instances!O91:Instances!O91),"max", MAX(Instances!O91:Instances!O91),"diff", MAX(Instances!O91:Instances!O91)-MIN(Instances!O91:Instances!O91))</f>
        <v>0</v>
      </c>
      <c r="P91" s="1" cm="1">
        <f t="array" ref="P91">_xlfn.SWITCH($A$2,"average", AVERAGE(Instances!P91:Instances!P91),"median", MEDIAN(Instances!P91:Instances!P91),"min", MIN(Instances!P91:Instances!P91),"max", MAX(Instances!P91:Instances!P91),"diff", MAX(Instances!P91:Instances!P91)-MIN(Instances!P91:Instances!P91))</f>
        <v>0</v>
      </c>
      <c r="Q91" s="1" cm="1">
        <f t="array" ref="Q91">_xlfn.SWITCH($A$2,"average", AVERAGE(Instances!Q91:Instances!Q91),"median", MEDIAN(Instances!Q91:Instances!Q91),"min", MIN(Instances!Q91:Instances!Q91),"max", MAX(Instances!Q91:Instances!Q91),"diff", MAX(Instances!Q91:Instances!Q91)-MIN(Instances!Q91:Instances!Q91))</f>
        <v>0</v>
      </c>
      <c r="R91" s="1">
        <f>MIN($B91,$D91,$F91,$H91,$J91,$L91,$N91,$P91)</f>
        <v>0</v>
      </c>
      <c r="S91" s="1">
        <f>MIN($C91,$E91,$G91,$I91,$K91,$M91,$O91,$Q91)</f>
        <v>0</v>
      </c>
      <c r="T91" s="1">
        <f>MEDIAN($B91,$D91,$F91,$H91,$J91,$L91,$N91,$P91)</f>
        <v>0</v>
      </c>
      <c r="U91" s="1">
        <f>MEDIAN($C91,$E91,$G91,$I91,$K91,$M91,$O91,$Q91)</f>
        <v>0</v>
      </c>
      <c r="V91" s="1">
        <f>MAX($B91,$D91,$F91,$H91,$J91,$L91,$N91,$P91)</f>
        <v>0</v>
      </c>
      <c r="W91" s="1">
        <f>MAX($C91,$E91,$G91,$I91,$K91,$M91,$O91,$Q91)</f>
        <v>0</v>
      </c>
    </row>
    <row r="92" spans="1:23">
      <c r="A92" s="1" t="s">
        <v>89</v>
      </c>
      <c r="B92" s="1"/>
      <c r="C92" s="1"/>
      <c r="D92" s="1" cm="1">
        <f t="array" ref="D92">_xlfn.SWITCH($A$2,"average", AVERAGE(Instances!D92:Instances!D92),"median", MEDIAN(Instances!D92:Instances!D92),"min", MIN(Instances!D92:Instances!D92),"max", MAX(Instances!D92:Instances!D92),"diff", MAX(Instances!D92:Instances!D92)-MIN(Instances!D92:Instances!D92))</f>
        <v>0</v>
      </c>
      <c r="E92" s="1" cm="1">
        <f t="array" ref="E92">_xlfn.SWITCH($A$2,"average", AVERAGE(Instances!E92:Instances!E92),"median", MEDIAN(Instances!E92:Instances!E92),"min", MIN(Instances!E92:Instances!E92),"max", MAX(Instances!E92:Instances!E92),"diff", MAX(Instances!E92:Instances!E92)-MIN(Instances!E92:Instances!E92))</f>
        <v>0</v>
      </c>
      <c r="F92" s="1" cm="1">
        <f t="array" ref="F92">_xlfn.SWITCH($A$2,"average", AVERAGE(Instances!F92:Instances!F92),"median", MEDIAN(Instances!F92:Instances!F92),"min", MIN(Instances!F92:Instances!F92),"max", MAX(Instances!F92:Instances!F92),"diff", MAX(Instances!F92:Instances!F92)-MIN(Instances!F92:Instances!F92))</f>
        <v>0</v>
      </c>
      <c r="G92" s="1" cm="1">
        <f t="array" ref="G92">_xlfn.SWITCH($A$2,"average", AVERAGE(Instances!G92:Instances!G92),"median", MEDIAN(Instances!G92:Instances!G92),"min", MIN(Instances!G92:Instances!G92),"max", MAX(Instances!G92:Instances!G92),"diff", MAX(Instances!G92:Instances!G92)-MIN(Instances!G92:Instances!G92))</f>
        <v>0</v>
      </c>
      <c r="H92" s="1"/>
      <c r="I92" s="1"/>
      <c r="J92" s="1" cm="1">
        <f t="array" ref="J92">_xlfn.SWITCH($A$2,"average", AVERAGE(Instances!J92:Instances!J92),"median", MEDIAN(Instances!J92:Instances!J92),"min", MIN(Instances!J92:Instances!J92),"max", MAX(Instances!J92:Instances!J92),"diff", MAX(Instances!J92:Instances!J92)-MIN(Instances!J92:Instances!J92))</f>
        <v>0</v>
      </c>
      <c r="K92" s="1" cm="1">
        <f t="array" ref="K92">_xlfn.SWITCH($A$2,"average", AVERAGE(Instances!K92:Instances!K92),"median", MEDIAN(Instances!K92:Instances!K92),"min", MIN(Instances!K92:Instances!K92),"max", MAX(Instances!K92:Instances!K92),"diff", MAX(Instances!K92:Instances!K92)-MIN(Instances!K92:Instances!K92))</f>
        <v>0</v>
      </c>
      <c r="L92" s="1" cm="1">
        <f t="array" ref="L92">_xlfn.SWITCH($A$2,"average", AVERAGE(Instances!L92:Instances!L92),"median", MEDIAN(Instances!L92:Instances!L92),"min", MIN(Instances!L92:Instances!L92),"max", MAX(Instances!L92:Instances!L92),"diff", MAX(Instances!L92:Instances!L92)-MIN(Instances!L92:Instances!L92))</f>
        <v>0</v>
      </c>
      <c r="M92" s="1" cm="1">
        <f t="array" ref="M92">_xlfn.SWITCH($A$2,"average", AVERAGE(Instances!M92:Instances!M92),"median", MEDIAN(Instances!M92:Instances!M92),"min", MIN(Instances!M92:Instances!M92),"max", MAX(Instances!M92:Instances!M92),"diff", MAX(Instances!M92:Instances!M92)-MIN(Instances!M92:Instances!M92))</f>
        <v>0</v>
      </c>
      <c r="N92" s="1" cm="1">
        <f t="array" ref="N92">_xlfn.SWITCH($A$2,"average", AVERAGE(Instances!N92:Instances!N92),"median", MEDIAN(Instances!N92:Instances!N92),"min", MIN(Instances!N92:Instances!N92),"max", MAX(Instances!N92:Instances!N92),"diff", MAX(Instances!N92:Instances!N92)-MIN(Instances!N92:Instances!N92))</f>
        <v>0</v>
      </c>
      <c r="O92" s="1" cm="1">
        <f t="array" ref="O92">_xlfn.SWITCH($A$2,"average", AVERAGE(Instances!O92:Instances!O92),"median", MEDIAN(Instances!O92:Instances!O92),"min", MIN(Instances!O92:Instances!O92),"max", MAX(Instances!O92:Instances!O92),"diff", MAX(Instances!O92:Instances!O92)-MIN(Instances!O92:Instances!O92))</f>
        <v>0</v>
      </c>
      <c r="P92" s="1" cm="1">
        <f t="array" ref="P92">_xlfn.SWITCH($A$2,"average", AVERAGE(Instances!P92:Instances!P92),"median", MEDIAN(Instances!P92:Instances!P92),"min", MIN(Instances!P92:Instances!P92),"max", MAX(Instances!P92:Instances!P92),"diff", MAX(Instances!P92:Instances!P92)-MIN(Instances!P92:Instances!P92))</f>
        <v>0</v>
      </c>
      <c r="Q92" s="1" cm="1">
        <f t="array" ref="Q92">_xlfn.SWITCH($A$2,"average", AVERAGE(Instances!Q92:Instances!Q92),"median", MEDIAN(Instances!Q92:Instances!Q92),"min", MIN(Instances!Q92:Instances!Q92),"max", MAX(Instances!Q92:Instances!Q92),"diff", MAX(Instances!Q92:Instances!Q92)-MIN(Instances!Q92:Instances!Q92))</f>
        <v>0</v>
      </c>
      <c r="R92" s="1">
        <f>MIN($B92,$D92,$F92,$H92,$J92,$L92,$N92,$P92)</f>
        <v>0</v>
      </c>
      <c r="S92" s="1">
        <f>MIN($C92,$E92,$G92,$I92,$K92,$M92,$O92,$Q92)</f>
        <v>0</v>
      </c>
      <c r="T92" s="1">
        <f>MEDIAN($B92,$D92,$F92,$H92,$J92,$L92,$N92,$P92)</f>
        <v>0</v>
      </c>
      <c r="U92" s="1">
        <f>MEDIAN($C92,$E92,$G92,$I92,$K92,$M92,$O92,$Q92)</f>
        <v>0</v>
      </c>
      <c r="V92" s="1">
        <f>MAX($B92,$D92,$F92,$H92,$J92,$L92,$N92,$P92)</f>
        <v>0</v>
      </c>
      <c r="W92" s="1">
        <f>MAX($C92,$E92,$G92,$I92,$K92,$M92,$O92,$Q92)</f>
        <v>0</v>
      </c>
    </row>
    <row r="93" spans="1:23">
      <c r="A93" s="1" t="s">
        <v>90</v>
      </c>
      <c r="B93" s="1"/>
      <c r="C93" s="1"/>
      <c r="D93" s="1" cm="1">
        <f t="array" ref="D93">_xlfn.SWITCH($A$2,"average", AVERAGE(Instances!D93:Instances!D93),"median", MEDIAN(Instances!D93:Instances!D93),"min", MIN(Instances!D93:Instances!D93),"max", MAX(Instances!D93:Instances!D93),"diff", MAX(Instances!D93:Instances!D93)-MIN(Instances!D93:Instances!D93))</f>
        <v>0</v>
      </c>
      <c r="E93" s="1" cm="1">
        <f t="array" ref="E93">_xlfn.SWITCH($A$2,"average", AVERAGE(Instances!E93:Instances!E93),"median", MEDIAN(Instances!E93:Instances!E93),"min", MIN(Instances!E93:Instances!E93),"max", MAX(Instances!E93:Instances!E93),"diff", MAX(Instances!E93:Instances!E93)-MIN(Instances!E93:Instances!E93))</f>
        <v>0</v>
      </c>
      <c r="F93" s="1" cm="1">
        <f t="array" ref="F93">_xlfn.SWITCH($A$2,"average", AVERAGE(Instances!F93:Instances!F93),"median", MEDIAN(Instances!F93:Instances!F93),"min", MIN(Instances!F93:Instances!F93),"max", MAX(Instances!F93:Instances!F93),"diff", MAX(Instances!F93:Instances!F93)-MIN(Instances!F93:Instances!F93))</f>
        <v>0</v>
      </c>
      <c r="G93" s="1" cm="1">
        <f t="array" ref="G93">_xlfn.SWITCH($A$2,"average", AVERAGE(Instances!G93:Instances!G93),"median", MEDIAN(Instances!G93:Instances!G93),"min", MIN(Instances!G93:Instances!G93),"max", MAX(Instances!G93:Instances!G93),"diff", MAX(Instances!G93:Instances!G93)-MIN(Instances!G93:Instances!G93))</f>
        <v>0</v>
      </c>
      <c r="H93" s="1"/>
      <c r="I93" s="1"/>
      <c r="J93" s="1" cm="1">
        <f t="array" ref="J93">_xlfn.SWITCH($A$2,"average", AVERAGE(Instances!J93:Instances!J93),"median", MEDIAN(Instances!J93:Instances!J93),"min", MIN(Instances!J93:Instances!J93),"max", MAX(Instances!J93:Instances!J93),"diff", MAX(Instances!J93:Instances!J93)-MIN(Instances!J93:Instances!J93))</f>
        <v>0</v>
      </c>
      <c r="K93" s="1" cm="1">
        <f t="array" ref="K93">_xlfn.SWITCH($A$2,"average", AVERAGE(Instances!K93:Instances!K93),"median", MEDIAN(Instances!K93:Instances!K93),"min", MIN(Instances!K93:Instances!K93),"max", MAX(Instances!K93:Instances!K93),"diff", MAX(Instances!K93:Instances!K93)-MIN(Instances!K93:Instances!K93))</f>
        <v>0</v>
      </c>
      <c r="L93" s="1" cm="1">
        <f t="array" ref="L93">_xlfn.SWITCH($A$2,"average", AVERAGE(Instances!L93:Instances!L93),"median", MEDIAN(Instances!L93:Instances!L93),"min", MIN(Instances!L93:Instances!L93),"max", MAX(Instances!L93:Instances!L93),"diff", MAX(Instances!L93:Instances!L93)-MIN(Instances!L93:Instances!L93))</f>
        <v>0</v>
      </c>
      <c r="M93" s="1" cm="1">
        <f t="array" ref="M93">_xlfn.SWITCH($A$2,"average", AVERAGE(Instances!M93:Instances!M93),"median", MEDIAN(Instances!M93:Instances!M93),"min", MIN(Instances!M93:Instances!M93),"max", MAX(Instances!M93:Instances!M93),"diff", MAX(Instances!M93:Instances!M93)-MIN(Instances!M93:Instances!M93))</f>
        <v>0</v>
      </c>
      <c r="N93" s="1" cm="1">
        <f t="array" ref="N93">_xlfn.SWITCH($A$2,"average", AVERAGE(Instances!N93:Instances!N93),"median", MEDIAN(Instances!N93:Instances!N93),"min", MIN(Instances!N93:Instances!N93),"max", MAX(Instances!N93:Instances!N93),"diff", MAX(Instances!N93:Instances!N93)-MIN(Instances!N93:Instances!N93))</f>
        <v>0</v>
      </c>
      <c r="O93" s="1" cm="1">
        <f t="array" ref="O93">_xlfn.SWITCH($A$2,"average", AVERAGE(Instances!O93:Instances!O93),"median", MEDIAN(Instances!O93:Instances!O93),"min", MIN(Instances!O93:Instances!O93),"max", MAX(Instances!O93:Instances!O93),"diff", MAX(Instances!O93:Instances!O93)-MIN(Instances!O93:Instances!O93))</f>
        <v>0</v>
      </c>
      <c r="P93" s="1" cm="1">
        <f t="array" ref="P93">_xlfn.SWITCH($A$2,"average", AVERAGE(Instances!P93:Instances!P93),"median", MEDIAN(Instances!P93:Instances!P93),"min", MIN(Instances!P93:Instances!P93),"max", MAX(Instances!P93:Instances!P93),"diff", MAX(Instances!P93:Instances!P93)-MIN(Instances!P93:Instances!P93))</f>
        <v>0</v>
      </c>
      <c r="Q93" s="1" cm="1">
        <f t="array" ref="Q93">_xlfn.SWITCH($A$2,"average", AVERAGE(Instances!Q93:Instances!Q93),"median", MEDIAN(Instances!Q93:Instances!Q93),"min", MIN(Instances!Q93:Instances!Q93),"max", MAX(Instances!Q93:Instances!Q93),"diff", MAX(Instances!Q93:Instances!Q93)-MIN(Instances!Q93:Instances!Q93))</f>
        <v>0</v>
      </c>
      <c r="R93" s="1">
        <f>MIN($B93,$D93,$F93,$H93,$J93,$L93,$N93,$P93)</f>
        <v>0</v>
      </c>
      <c r="S93" s="1">
        <f>MIN($C93,$E93,$G93,$I93,$K93,$M93,$O93,$Q93)</f>
        <v>0</v>
      </c>
      <c r="T93" s="1">
        <f>MEDIAN($B93,$D93,$F93,$H93,$J93,$L93,$N93,$P93)</f>
        <v>0</v>
      </c>
      <c r="U93" s="1">
        <f>MEDIAN($C93,$E93,$G93,$I93,$K93,$M93,$O93,$Q93)</f>
        <v>0</v>
      </c>
      <c r="V93" s="1">
        <f>MAX($B93,$D93,$F93,$H93,$J93,$L93,$N93,$P93)</f>
        <v>0</v>
      </c>
      <c r="W93" s="1">
        <f>MAX($C93,$E93,$G93,$I93,$K93,$M93,$O93,$Q93)</f>
        <v>0</v>
      </c>
    </row>
    <row r="94" spans="1:23">
      <c r="A94" s="1" t="s">
        <v>91</v>
      </c>
      <c r="B94" s="1"/>
      <c r="C94" s="1"/>
      <c r="D94" s="1" cm="1">
        <f t="array" ref="D94">_xlfn.SWITCH($A$2,"average", AVERAGE(Instances!D94:Instances!D94),"median", MEDIAN(Instances!D94:Instances!D94),"min", MIN(Instances!D94:Instances!D94),"max", MAX(Instances!D94:Instances!D94),"diff", MAX(Instances!D94:Instances!D94)-MIN(Instances!D94:Instances!D94))</f>
        <v>0</v>
      </c>
      <c r="E94" s="1" cm="1">
        <f t="array" ref="E94">_xlfn.SWITCH($A$2,"average", AVERAGE(Instances!E94:Instances!E94),"median", MEDIAN(Instances!E94:Instances!E94),"min", MIN(Instances!E94:Instances!E94),"max", MAX(Instances!E94:Instances!E94),"diff", MAX(Instances!E94:Instances!E94)-MIN(Instances!E94:Instances!E94))</f>
        <v>0</v>
      </c>
      <c r="F94" s="1" cm="1">
        <f t="array" ref="F94">_xlfn.SWITCH($A$2,"average", AVERAGE(Instances!F94:Instances!F94),"median", MEDIAN(Instances!F94:Instances!F94),"min", MIN(Instances!F94:Instances!F94),"max", MAX(Instances!F94:Instances!F94),"diff", MAX(Instances!F94:Instances!F94)-MIN(Instances!F94:Instances!F94))</f>
        <v>0</v>
      </c>
      <c r="G94" s="1" cm="1">
        <f t="array" ref="G94">_xlfn.SWITCH($A$2,"average", AVERAGE(Instances!G94:Instances!G94),"median", MEDIAN(Instances!G94:Instances!G94),"min", MIN(Instances!G94:Instances!G94),"max", MAX(Instances!G94:Instances!G94),"diff", MAX(Instances!G94:Instances!G94)-MIN(Instances!G94:Instances!G94))</f>
        <v>0</v>
      </c>
      <c r="H94" s="1"/>
      <c r="I94" s="1"/>
      <c r="J94" s="1" cm="1">
        <f t="array" ref="J94">_xlfn.SWITCH($A$2,"average", AVERAGE(Instances!J94:Instances!J94),"median", MEDIAN(Instances!J94:Instances!J94),"min", MIN(Instances!J94:Instances!J94),"max", MAX(Instances!J94:Instances!J94),"diff", MAX(Instances!J94:Instances!J94)-MIN(Instances!J94:Instances!J94))</f>
        <v>0</v>
      </c>
      <c r="K94" s="1" cm="1">
        <f t="array" ref="K94">_xlfn.SWITCH($A$2,"average", AVERAGE(Instances!K94:Instances!K94),"median", MEDIAN(Instances!K94:Instances!K94),"min", MIN(Instances!K94:Instances!K94),"max", MAX(Instances!K94:Instances!K94),"diff", MAX(Instances!K94:Instances!K94)-MIN(Instances!K94:Instances!K94))</f>
        <v>0</v>
      </c>
      <c r="L94" s="1" cm="1">
        <f t="array" ref="L94">_xlfn.SWITCH($A$2,"average", AVERAGE(Instances!L94:Instances!L94),"median", MEDIAN(Instances!L94:Instances!L94),"min", MIN(Instances!L94:Instances!L94),"max", MAX(Instances!L94:Instances!L94),"diff", MAX(Instances!L94:Instances!L94)-MIN(Instances!L94:Instances!L94))</f>
        <v>0</v>
      </c>
      <c r="M94" s="1" cm="1">
        <f t="array" ref="M94">_xlfn.SWITCH($A$2,"average", AVERAGE(Instances!M94:Instances!M94),"median", MEDIAN(Instances!M94:Instances!M94),"min", MIN(Instances!M94:Instances!M94),"max", MAX(Instances!M94:Instances!M94),"diff", MAX(Instances!M94:Instances!M94)-MIN(Instances!M94:Instances!M94))</f>
        <v>0</v>
      </c>
      <c r="N94" s="1" cm="1">
        <f t="array" ref="N94">_xlfn.SWITCH($A$2,"average", AVERAGE(Instances!N94:Instances!N94),"median", MEDIAN(Instances!N94:Instances!N94),"min", MIN(Instances!N94:Instances!N94),"max", MAX(Instances!N94:Instances!N94),"diff", MAX(Instances!N94:Instances!N94)-MIN(Instances!N94:Instances!N94))</f>
        <v>0</v>
      </c>
      <c r="O94" s="1" cm="1">
        <f t="array" ref="O94">_xlfn.SWITCH($A$2,"average", AVERAGE(Instances!O94:Instances!O94),"median", MEDIAN(Instances!O94:Instances!O94),"min", MIN(Instances!O94:Instances!O94),"max", MAX(Instances!O94:Instances!O94),"diff", MAX(Instances!O94:Instances!O94)-MIN(Instances!O94:Instances!O94))</f>
        <v>0</v>
      </c>
      <c r="P94" s="1" cm="1">
        <f t="array" ref="P94">_xlfn.SWITCH($A$2,"average", AVERAGE(Instances!P94:Instances!P94),"median", MEDIAN(Instances!P94:Instances!P94),"min", MIN(Instances!P94:Instances!P94),"max", MAX(Instances!P94:Instances!P94),"diff", MAX(Instances!P94:Instances!P94)-MIN(Instances!P94:Instances!P94))</f>
        <v>0</v>
      </c>
      <c r="Q94" s="1" cm="1">
        <f t="array" ref="Q94">_xlfn.SWITCH($A$2,"average", AVERAGE(Instances!Q94:Instances!Q94),"median", MEDIAN(Instances!Q94:Instances!Q94),"min", MIN(Instances!Q94:Instances!Q94),"max", MAX(Instances!Q94:Instances!Q94),"diff", MAX(Instances!Q94:Instances!Q94)-MIN(Instances!Q94:Instances!Q94))</f>
        <v>0</v>
      </c>
      <c r="R94" s="1">
        <f>MIN($B94,$D94,$F94,$H94,$J94,$L94,$N94,$P94)</f>
        <v>0</v>
      </c>
      <c r="S94" s="1">
        <f>MIN($C94,$E94,$G94,$I94,$K94,$M94,$O94,$Q94)</f>
        <v>0</v>
      </c>
      <c r="T94" s="1">
        <f>MEDIAN($B94,$D94,$F94,$H94,$J94,$L94,$N94,$P94)</f>
        <v>0</v>
      </c>
      <c r="U94" s="1">
        <f>MEDIAN($C94,$E94,$G94,$I94,$K94,$M94,$O94,$Q94)</f>
        <v>0</v>
      </c>
      <c r="V94" s="1">
        <f>MAX($B94,$D94,$F94,$H94,$J94,$L94,$N94,$P94)</f>
        <v>0</v>
      </c>
      <c r="W94" s="1">
        <f>MAX($C94,$E94,$G94,$I94,$K94,$M94,$O94,$Q94)</f>
        <v>0</v>
      </c>
    </row>
    <row r="95" spans="1:23">
      <c r="A95" s="1" t="s">
        <v>92</v>
      </c>
      <c r="B95" s="1"/>
      <c r="C95" s="1"/>
      <c r="D95" s="1" cm="1">
        <f t="array" ref="D95">_xlfn.SWITCH($A$2,"average", AVERAGE(Instances!D95:Instances!D95),"median", MEDIAN(Instances!D95:Instances!D95),"min", MIN(Instances!D95:Instances!D95),"max", MAX(Instances!D95:Instances!D95),"diff", MAX(Instances!D95:Instances!D95)-MIN(Instances!D95:Instances!D95))</f>
        <v>0</v>
      </c>
      <c r="E95" s="1" cm="1">
        <f t="array" ref="E95">_xlfn.SWITCH($A$2,"average", AVERAGE(Instances!E95:Instances!E95),"median", MEDIAN(Instances!E95:Instances!E95),"min", MIN(Instances!E95:Instances!E95),"max", MAX(Instances!E95:Instances!E95),"diff", MAX(Instances!E95:Instances!E95)-MIN(Instances!E95:Instances!E95))</f>
        <v>0</v>
      </c>
      <c r="F95" s="1" cm="1">
        <f t="array" ref="F95">_xlfn.SWITCH($A$2,"average", AVERAGE(Instances!F95:Instances!F95),"median", MEDIAN(Instances!F95:Instances!F95),"min", MIN(Instances!F95:Instances!F95),"max", MAX(Instances!F95:Instances!F95),"diff", MAX(Instances!F95:Instances!F95)-MIN(Instances!F95:Instances!F95))</f>
        <v>0</v>
      </c>
      <c r="G95" s="1" cm="1">
        <f t="array" ref="G95">_xlfn.SWITCH($A$2,"average", AVERAGE(Instances!G95:Instances!G95),"median", MEDIAN(Instances!G95:Instances!G95),"min", MIN(Instances!G95:Instances!G95),"max", MAX(Instances!G95:Instances!G95),"diff", MAX(Instances!G95:Instances!G95)-MIN(Instances!G95:Instances!G95))</f>
        <v>0</v>
      </c>
      <c r="H95" s="1"/>
      <c r="I95" s="1"/>
      <c r="J95" s="1" cm="1">
        <f t="array" ref="J95">_xlfn.SWITCH($A$2,"average", AVERAGE(Instances!J95:Instances!J95),"median", MEDIAN(Instances!J95:Instances!J95),"min", MIN(Instances!J95:Instances!J95),"max", MAX(Instances!J95:Instances!J95),"diff", MAX(Instances!J95:Instances!J95)-MIN(Instances!J95:Instances!J95))</f>
        <v>0</v>
      </c>
      <c r="K95" s="1" cm="1">
        <f t="array" ref="K95">_xlfn.SWITCH($A$2,"average", AVERAGE(Instances!K95:Instances!K95),"median", MEDIAN(Instances!K95:Instances!K95),"min", MIN(Instances!K95:Instances!K95),"max", MAX(Instances!K95:Instances!K95),"diff", MAX(Instances!K95:Instances!K95)-MIN(Instances!K95:Instances!K95))</f>
        <v>0</v>
      </c>
      <c r="L95" s="1" cm="1">
        <f t="array" ref="L95">_xlfn.SWITCH($A$2,"average", AVERAGE(Instances!L95:Instances!L95),"median", MEDIAN(Instances!L95:Instances!L95),"min", MIN(Instances!L95:Instances!L95),"max", MAX(Instances!L95:Instances!L95),"diff", MAX(Instances!L95:Instances!L95)-MIN(Instances!L95:Instances!L95))</f>
        <v>0</v>
      </c>
      <c r="M95" s="1" cm="1">
        <f t="array" ref="M95">_xlfn.SWITCH($A$2,"average", AVERAGE(Instances!M95:Instances!M95),"median", MEDIAN(Instances!M95:Instances!M95),"min", MIN(Instances!M95:Instances!M95),"max", MAX(Instances!M95:Instances!M95),"diff", MAX(Instances!M95:Instances!M95)-MIN(Instances!M95:Instances!M95))</f>
        <v>0</v>
      </c>
      <c r="N95" s="1" cm="1">
        <f t="array" ref="N95">_xlfn.SWITCH($A$2,"average", AVERAGE(Instances!N95:Instances!N95),"median", MEDIAN(Instances!N95:Instances!N95),"min", MIN(Instances!N95:Instances!N95),"max", MAX(Instances!N95:Instances!N95),"diff", MAX(Instances!N95:Instances!N95)-MIN(Instances!N95:Instances!N95))</f>
        <v>0</v>
      </c>
      <c r="O95" s="1" cm="1">
        <f t="array" ref="O95">_xlfn.SWITCH($A$2,"average", AVERAGE(Instances!O95:Instances!O95),"median", MEDIAN(Instances!O95:Instances!O95),"min", MIN(Instances!O95:Instances!O95),"max", MAX(Instances!O95:Instances!O95),"diff", MAX(Instances!O95:Instances!O95)-MIN(Instances!O95:Instances!O95))</f>
        <v>0</v>
      </c>
      <c r="P95" s="1" cm="1">
        <f t="array" ref="P95">_xlfn.SWITCH($A$2,"average", AVERAGE(Instances!P95:Instances!P95),"median", MEDIAN(Instances!P95:Instances!P95),"min", MIN(Instances!P95:Instances!P95),"max", MAX(Instances!P95:Instances!P95),"diff", MAX(Instances!P95:Instances!P95)-MIN(Instances!P95:Instances!P95))</f>
        <v>0</v>
      </c>
      <c r="Q95" s="1" cm="1">
        <f t="array" ref="Q95">_xlfn.SWITCH($A$2,"average", AVERAGE(Instances!Q95:Instances!Q95),"median", MEDIAN(Instances!Q95:Instances!Q95),"min", MIN(Instances!Q95:Instances!Q95),"max", MAX(Instances!Q95:Instances!Q95),"diff", MAX(Instances!Q95:Instances!Q95)-MIN(Instances!Q95:Instances!Q95))</f>
        <v>0</v>
      </c>
      <c r="R95" s="1">
        <f>MIN($B95,$D95,$F95,$H95,$J95,$L95,$N95,$P95)</f>
        <v>0</v>
      </c>
      <c r="S95" s="1">
        <f>MIN($C95,$E95,$G95,$I95,$K95,$M95,$O95,$Q95)</f>
        <v>0</v>
      </c>
      <c r="T95" s="1">
        <f>MEDIAN($B95,$D95,$F95,$H95,$J95,$L95,$N95,$P95)</f>
        <v>0</v>
      </c>
      <c r="U95" s="1">
        <f>MEDIAN($C95,$E95,$G95,$I95,$K95,$M95,$O95,$Q95)</f>
        <v>0</v>
      </c>
      <c r="V95" s="1">
        <f>MAX($B95,$D95,$F95,$H95,$J95,$L95,$N95,$P95)</f>
        <v>0</v>
      </c>
      <c r="W95" s="1">
        <f>MAX($C95,$E95,$G95,$I95,$K95,$M95,$O95,$Q95)</f>
        <v>0</v>
      </c>
    </row>
    <row r="96" spans="1:23">
      <c r="A96" s="1" t="s">
        <v>93</v>
      </c>
      <c r="B96" s="1"/>
      <c r="C96" s="1"/>
      <c r="D96" s="1" cm="1">
        <f t="array" ref="D96">_xlfn.SWITCH($A$2,"average", AVERAGE(Instances!D96:Instances!D96),"median", MEDIAN(Instances!D96:Instances!D96),"min", MIN(Instances!D96:Instances!D96),"max", MAX(Instances!D96:Instances!D96),"diff", MAX(Instances!D96:Instances!D96)-MIN(Instances!D96:Instances!D96))</f>
        <v>0</v>
      </c>
      <c r="E96" s="1" cm="1">
        <f t="array" ref="E96">_xlfn.SWITCH($A$2,"average", AVERAGE(Instances!E96:Instances!E96),"median", MEDIAN(Instances!E96:Instances!E96),"min", MIN(Instances!E96:Instances!E96),"max", MAX(Instances!E96:Instances!E96),"diff", MAX(Instances!E96:Instances!E96)-MIN(Instances!E96:Instances!E96))</f>
        <v>0</v>
      </c>
      <c r="F96" s="1" cm="1">
        <f t="array" ref="F96">_xlfn.SWITCH($A$2,"average", AVERAGE(Instances!F96:Instances!F96),"median", MEDIAN(Instances!F96:Instances!F96),"min", MIN(Instances!F96:Instances!F96),"max", MAX(Instances!F96:Instances!F96),"diff", MAX(Instances!F96:Instances!F96)-MIN(Instances!F96:Instances!F96))</f>
        <v>0</v>
      </c>
      <c r="G96" s="1" cm="1">
        <f t="array" ref="G96">_xlfn.SWITCH($A$2,"average", AVERAGE(Instances!G96:Instances!G96),"median", MEDIAN(Instances!G96:Instances!G96),"min", MIN(Instances!G96:Instances!G96),"max", MAX(Instances!G96:Instances!G96),"diff", MAX(Instances!G96:Instances!G96)-MIN(Instances!G96:Instances!G96))</f>
        <v>0</v>
      </c>
      <c r="H96" s="1"/>
      <c r="I96" s="1"/>
      <c r="J96" s="1" cm="1">
        <f t="array" ref="J96">_xlfn.SWITCH($A$2,"average", AVERAGE(Instances!J96:Instances!J96),"median", MEDIAN(Instances!J96:Instances!J96),"min", MIN(Instances!J96:Instances!J96),"max", MAX(Instances!J96:Instances!J96),"diff", MAX(Instances!J96:Instances!J96)-MIN(Instances!J96:Instances!J96))</f>
        <v>0</v>
      </c>
      <c r="K96" s="1" cm="1">
        <f t="array" ref="K96">_xlfn.SWITCH($A$2,"average", AVERAGE(Instances!K96:Instances!K96),"median", MEDIAN(Instances!K96:Instances!K96),"min", MIN(Instances!K96:Instances!K96),"max", MAX(Instances!K96:Instances!K96),"diff", MAX(Instances!K96:Instances!K96)-MIN(Instances!K96:Instances!K96))</f>
        <v>0</v>
      </c>
      <c r="L96" s="1" cm="1">
        <f t="array" ref="L96">_xlfn.SWITCH($A$2,"average", AVERAGE(Instances!L96:Instances!L96),"median", MEDIAN(Instances!L96:Instances!L96),"min", MIN(Instances!L96:Instances!L96),"max", MAX(Instances!L96:Instances!L96),"diff", MAX(Instances!L96:Instances!L96)-MIN(Instances!L96:Instances!L96))</f>
        <v>0</v>
      </c>
      <c r="M96" s="1" cm="1">
        <f t="array" ref="M96">_xlfn.SWITCH($A$2,"average", AVERAGE(Instances!M96:Instances!M96),"median", MEDIAN(Instances!M96:Instances!M96),"min", MIN(Instances!M96:Instances!M96),"max", MAX(Instances!M96:Instances!M96),"diff", MAX(Instances!M96:Instances!M96)-MIN(Instances!M96:Instances!M96))</f>
        <v>0</v>
      </c>
      <c r="N96" s="1" cm="1">
        <f t="array" ref="N96">_xlfn.SWITCH($A$2,"average", AVERAGE(Instances!N96:Instances!N96),"median", MEDIAN(Instances!N96:Instances!N96),"min", MIN(Instances!N96:Instances!N96),"max", MAX(Instances!N96:Instances!N96),"diff", MAX(Instances!N96:Instances!N96)-MIN(Instances!N96:Instances!N96))</f>
        <v>0</v>
      </c>
      <c r="O96" s="1" cm="1">
        <f t="array" ref="O96">_xlfn.SWITCH($A$2,"average", AVERAGE(Instances!O96:Instances!O96),"median", MEDIAN(Instances!O96:Instances!O96),"min", MIN(Instances!O96:Instances!O96),"max", MAX(Instances!O96:Instances!O96),"diff", MAX(Instances!O96:Instances!O96)-MIN(Instances!O96:Instances!O96))</f>
        <v>0</v>
      </c>
      <c r="P96" s="1" cm="1">
        <f t="array" ref="P96">_xlfn.SWITCH($A$2,"average", AVERAGE(Instances!P96:Instances!P96),"median", MEDIAN(Instances!P96:Instances!P96),"min", MIN(Instances!P96:Instances!P96),"max", MAX(Instances!P96:Instances!P96),"diff", MAX(Instances!P96:Instances!P96)-MIN(Instances!P96:Instances!P96))</f>
        <v>0</v>
      </c>
      <c r="Q96" s="1" cm="1">
        <f t="array" ref="Q96">_xlfn.SWITCH($A$2,"average", AVERAGE(Instances!Q96:Instances!Q96),"median", MEDIAN(Instances!Q96:Instances!Q96),"min", MIN(Instances!Q96:Instances!Q96),"max", MAX(Instances!Q96:Instances!Q96),"diff", MAX(Instances!Q96:Instances!Q96)-MIN(Instances!Q96:Instances!Q96))</f>
        <v>0</v>
      </c>
      <c r="R96" s="1">
        <f>MIN($B96,$D96,$F96,$H96,$J96,$L96,$N96,$P96)</f>
        <v>0</v>
      </c>
      <c r="S96" s="1">
        <f>MIN($C96,$E96,$G96,$I96,$K96,$M96,$O96,$Q96)</f>
        <v>0</v>
      </c>
      <c r="T96" s="1">
        <f>MEDIAN($B96,$D96,$F96,$H96,$J96,$L96,$N96,$P96)</f>
        <v>0</v>
      </c>
      <c r="U96" s="1">
        <f>MEDIAN($C96,$E96,$G96,$I96,$K96,$M96,$O96,$Q96)</f>
        <v>0</v>
      </c>
      <c r="V96" s="1">
        <f>MAX($B96,$D96,$F96,$H96,$J96,$L96,$N96,$P96)</f>
        <v>0</v>
      </c>
      <c r="W96" s="1">
        <f>MAX($C96,$E96,$G96,$I96,$K96,$M96,$O96,$Q96)</f>
        <v>0</v>
      </c>
    </row>
    <row r="97" spans="1:23">
      <c r="A97" s="1" t="s">
        <v>94</v>
      </c>
      <c r="B97" s="1"/>
      <c r="C97" s="1"/>
      <c r="D97" s="1" cm="1">
        <f t="array" ref="D97">_xlfn.SWITCH($A$2,"average", AVERAGE(Instances!D97:Instances!D97),"median", MEDIAN(Instances!D97:Instances!D97),"min", MIN(Instances!D97:Instances!D97),"max", MAX(Instances!D97:Instances!D97),"diff", MAX(Instances!D97:Instances!D97)-MIN(Instances!D97:Instances!D97))</f>
        <v>0</v>
      </c>
      <c r="E97" s="1" cm="1">
        <f t="array" ref="E97">_xlfn.SWITCH($A$2,"average", AVERAGE(Instances!E97:Instances!E97),"median", MEDIAN(Instances!E97:Instances!E97),"min", MIN(Instances!E97:Instances!E97),"max", MAX(Instances!E97:Instances!E97),"diff", MAX(Instances!E97:Instances!E97)-MIN(Instances!E97:Instances!E97))</f>
        <v>0</v>
      </c>
      <c r="F97" s="1" cm="1">
        <f t="array" ref="F97">_xlfn.SWITCH($A$2,"average", AVERAGE(Instances!F97:Instances!F97),"median", MEDIAN(Instances!F97:Instances!F97),"min", MIN(Instances!F97:Instances!F97),"max", MAX(Instances!F97:Instances!F97),"diff", MAX(Instances!F97:Instances!F97)-MIN(Instances!F97:Instances!F97))</f>
        <v>0</v>
      </c>
      <c r="G97" s="1" cm="1">
        <f t="array" ref="G97">_xlfn.SWITCH($A$2,"average", AVERAGE(Instances!G97:Instances!G97),"median", MEDIAN(Instances!G97:Instances!G97),"min", MIN(Instances!G97:Instances!G97),"max", MAX(Instances!G97:Instances!G97),"diff", MAX(Instances!G97:Instances!G97)-MIN(Instances!G97:Instances!G97))</f>
        <v>0</v>
      </c>
      <c r="H97" s="1"/>
      <c r="I97" s="1"/>
      <c r="J97" s="1" cm="1">
        <f t="array" ref="J97">_xlfn.SWITCH($A$2,"average", AVERAGE(Instances!J97:Instances!J97),"median", MEDIAN(Instances!J97:Instances!J97),"min", MIN(Instances!J97:Instances!J97),"max", MAX(Instances!J97:Instances!J97),"diff", MAX(Instances!J97:Instances!J97)-MIN(Instances!J97:Instances!J97))</f>
        <v>0</v>
      </c>
      <c r="K97" s="1" cm="1">
        <f t="array" ref="K97">_xlfn.SWITCH($A$2,"average", AVERAGE(Instances!K97:Instances!K97),"median", MEDIAN(Instances!K97:Instances!K97),"min", MIN(Instances!K97:Instances!K97),"max", MAX(Instances!K97:Instances!K97),"diff", MAX(Instances!K97:Instances!K97)-MIN(Instances!K97:Instances!K97))</f>
        <v>0</v>
      </c>
      <c r="L97" s="1" cm="1">
        <f t="array" ref="L97">_xlfn.SWITCH($A$2,"average", AVERAGE(Instances!L97:Instances!L97),"median", MEDIAN(Instances!L97:Instances!L97),"min", MIN(Instances!L97:Instances!L97),"max", MAX(Instances!L97:Instances!L97),"diff", MAX(Instances!L97:Instances!L97)-MIN(Instances!L97:Instances!L97))</f>
        <v>0</v>
      </c>
      <c r="M97" s="1" cm="1">
        <f t="array" ref="M97">_xlfn.SWITCH($A$2,"average", AVERAGE(Instances!M97:Instances!M97),"median", MEDIAN(Instances!M97:Instances!M97),"min", MIN(Instances!M97:Instances!M97),"max", MAX(Instances!M97:Instances!M97),"diff", MAX(Instances!M97:Instances!M97)-MIN(Instances!M97:Instances!M97))</f>
        <v>0</v>
      </c>
      <c r="N97" s="1" cm="1">
        <f t="array" ref="N97">_xlfn.SWITCH($A$2,"average", AVERAGE(Instances!N97:Instances!N97),"median", MEDIAN(Instances!N97:Instances!N97),"min", MIN(Instances!N97:Instances!N97),"max", MAX(Instances!N97:Instances!N97),"diff", MAX(Instances!N97:Instances!N97)-MIN(Instances!N97:Instances!N97))</f>
        <v>0</v>
      </c>
      <c r="O97" s="1" cm="1">
        <f t="array" ref="O97">_xlfn.SWITCH($A$2,"average", AVERAGE(Instances!O97:Instances!O97),"median", MEDIAN(Instances!O97:Instances!O97),"min", MIN(Instances!O97:Instances!O97),"max", MAX(Instances!O97:Instances!O97),"diff", MAX(Instances!O97:Instances!O97)-MIN(Instances!O97:Instances!O97))</f>
        <v>0</v>
      </c>
      <c r="P97" s="1" cm="1">
        <f t="array" ref="P97">_xlfn.SWITCH($A$2,"average", AVERAGE(Instances!P97:Instances!P97),"median", MEDIAN(Instances!P97:Instances!P97),"min", MIN(Instances!P97:Instances!P97),"max", MAX(Instances!P97:Instances!P97),"diff", MAX(Instances!P97:Instances!P97)-MIN(Instances!P97:Instances!P97))</f>
        <v>0</v>
      </c>
      <c r="Q97" s="1" cm="1">
        <f t="array" ref="Q97">_xlfn.SWITCH($A$2,"average", AVERAGE(Instances!Q97:Instances!Q97),"median", MEDIAN(Instances!Q97:Instances!Q97),"min", MIN(Instances!Q97:Instances!Q97),"max", MAX(Instances!Q97:Instances!Q97),"diff", MAX(Instances!Q97:Instances!Q97)-MIN(Instances!Q97:Instances!Q97))</f>
        <v>0</v>
      </c>
      <c r="R97" s="1">
        <f>MIN($B97,$D97,$F97,$H97,$J97,$L97,$N97,$P97)</f>
        <v>0</v>
      </c>
      <c r="S97" s="1">
        <f>MIN($C97,$E97,$G97,$I97,$K97,$M97,$O97,$Q97)</f>
        <v>0</v>
      </c>
      <c r="T97" s="1">
        <f>MEDIAN($B97,$D97,$F97,$H97,$J97,$L97,$N97,$P97)</f>
        <v>0</v>
      </c>
      <c r="U97" s="1">
        <f>MEDIAN($C97,$E97,$G97,$I97,$K97,$M97,$O97,$Q97)</f>
        <v>0</v>
      </c>
      <c r="V97" s="1">
        <f>MAX($B97,$D97,$F97,$H97,$J97,$L97,$N97,$P97)</f>
        <v>0</v>
      </c>
      <c r="W97" s="1">
        <f>MAX($C97,$E97,$G97,$I97,$K97,$M97,$O97,$Q97)</f>
        <v>0</v>
      </c>
    </row>
    <row r="98" spans="1:23">
      <c r="A98" s="1" t="s">
        <v>95</v>
      </c>
      <c r="B98" s="1"/>
      <c r="C98" s="1"/>
      <c r="D98" s="1" cm="1">
        <f t="array" ref="D98">_xlfn.SWITCH($A$2,"average", AVERAGE(Instances!D98:Instances!D98),"median", MEDIAN(Instances!D98:Instances!D98),"min", MIN(Instances!D98:Instances!D98),"max", MAX(Instances!D98:Instances!D98),"diff", MAX(Instances!D98:Instances!D98)-MIN(Instances!D98:Instances!D98))</f>
        <v>0</v>
      </c>
      <c r="E98" s="1" cm="1">
        <f t="array" ref="E98">_xlfn.SWITCH($A$2,"average", AVERAGE(Instances!E98:Instances!E98),"median", MEDIAN(Instances!E98:Instances!E98),"min", MIN(Instances!E98:Instances!E98),"max", MAX(Instances!E98:Instances!E98),"diff", MAX(Instances!E98:Instances!E98)-MIN(Instances!E98:Instances!E98))</f>
        <v>0</v>
      </c>
      <c r="F98" s="1" cm="1">
        <f t="array" ref="F98">_xlfn.SWITCH($A$2,"average", AVERAGE(Instances!F98:Instances!F98),"median", MEDIAN(Instances!F98:Instances!F98),"min", MIN(Instances!F98:Instances!F98),"max", MAX(Instances!F98:Instances!F98),"diff", MAX(Instances!F98:Instances!F98)-MIN(Instances!F98:Instances!F98))</f>
        <v>0</v>
      </c>
      <c r="G98" s="1" cm="1">
        <f t="array" ref="G98">_xlfn.SWITCH($A$2,"average", AVERAGE(Instances!G98:Instances!G98),"median", MEDIAN(Instances!G98:Instances!G98),"min", MIN(Instances!G98:Instances!G98),"max", MAX(Instances!G98:Instances!G98),"diff", MAX(Instances!G98:Instances!G98)-MIN(Instances!G98:Instances!G98))</f>
        <v>0</v>
      </c>
      <c r="H98" s="1"/>
      <c r="I98" s="1"/>
      <c r="J98" s="1" cm="1">
        <f t="array" ref="J98">_xlfn.SWITCH($A$2,"average", AVERAGE(Instances!J98:Instances!J98),"median", MEDIAN(Instances!J98:Instances!J98),"min", MIN(Instances!J98:Instances!J98),"max", MAX(Instances!J98:Instances!J98),"diff", MAX(Instances!J98:Instances!J98)-MIN(Instances!J98:Instances!J98))</f>
        <v>0</v>
      </c>
      <c r="K98" s="1" cm="1">
        <f t="array" ref="K98">_xlfn.SWITCH($A$2,"average", AVERAGE(Instances!K98:Instances!K98),"median", MEDIAN(Instances!K98:Instances!K98),"min", MIN(Instances!K98:Instances!K98),"max", MAX(Instances!K98:Instances!K98),"diff", MAX(Instances!K98:Instances!K98)-MIN(Instances!K98:Instances!K98))</f>
        <v>0</v>
      </c>
      <c r="L98" s="1" cm="1">
        <f t="array" ref="L98">_xlfn.SWITCH($A$2,"average", AVERAGE(Instances!L98:Instances!L98),"median", MEDIAN(Instances!L98:Instances!L98),"min", MIN(Instances!L98:Instances!L98),"max", MAX(Instances!L98:Instances!L98),"diff", MAX(Instances!L98:Instances!L98)-MIN(Instances!L98:Instances!L98))</f>
        <v>0</v>
      </c>
      <c r="M98" s="1" cm="1">
        <f t="array" ref="M98">_xlfn.SWITCH($A$2,"average", AVERAGE(Instances!M98:Instances!M98),"median", MEDIAN(Instances!M98:Instances!M98),"min", MIN(Instances!M98:Instances!M98),"max", MAX(Instances!M98:Instances!M98),"diff", MAX(Instances!M98:Instances!M98)-MIN(Instances!M98:Instances!M98))</f>
        <v>0</v>
      </c>
      <c r="N98" s="1" cm="1">
        <f t="array" ref="N98">_xlfn.SWITCH($A$2,"average", AVERAGE(Instances!N98:Instances!N98),"median", MEDIAN(Instances!N98:Instances!N98),"min", MIN(Instances!N98:Instances!N98),"max", MAX(Instances!N98:Instances!N98),"diff", MAX(Instances!N98:Instances!N98)-MIN(Instances!N98:Instances!N98))</f>
        <v>0</v>
      </c>
      <c r="O98" s="1" cm="1">
        <f t="array" ref="O98">_xlfn.SWITCH($A$2,"average", AVERAGE(Instances!O98:Instances!O98),"median", MEDIAN(Instances!O98:Instances!O98),"min", MIN(Instances!O98:Instances!O98),"max", MAX(Instances!O98:Instances!O98),"diff", MAX(Instances!O98:Instances!O98)-MIN(Instances!O98:Instances!O98))</f>
        <v>0</v>
      </c>
      <c r="P98" s="1" cm="1">
        <f t="array" ref="P98">_xlfn.SWITCH($A$2,"average", AVERAGE(Instances!P98:Instances!P98),"median", MEDIAN(Instances!P98:Instances!P98),"min", MIN(Instances!P98:Instances!P98),"max", MAX(Instances!P98:Instances!P98),"diff", MAX(Instances!P98:Instances!P98)-MIN(Instances!P98:Instances!P98))</f>
        <v>0</v>
      </c>
      <c r="Q98" s="1" cm="1">
        <f t="array" ref="Q98">_xlfn.SWITCH($A$2,"average", AVERAGE(Instances!Q98:Instances!Q98),"median", MEDIAN(Instances!Q98:Instances!Q98),"min", MIN(Instances!Q98:Instances!Q98),"max", MAX(Instances!Q98:Instances!Q98),"diff", MAX(Instances!Q98:Instances!Q98)-MIN(Instances!Q98:Instances!Q98))</f>
        <v>0</v>
      </c>
      <c r="R98" s="1">
        <f>MIN($B98,$D98,$F98,$H98,$J98,$L98,$N98,$P98)</f>
        <v>0</v>
      </c>
      <c r="S98" s="1">
        <f>MIN($C98,$E98,$G98,$I98,$K98,$M98,$O98,$Q98)</f>
        <v>0</v>
      </c>
      <c r="T98" s="1">
        <f>MEDIAN($B98,$D98,$F98,$H98,$J98,$L98,$N98,$P98)</f>
        <v>0</v>
      </c>
      <c r="U98" s="1">
        <f>MEDIAN($C98,$E98,$G98,$I98,$K98,$M98,$O98,$Q98)</f>
        <v>0</v>
      </c>
      <c r="V98" s="1">
        <f>MAX($B98,$D98,$F98,$H98,$J98,$L98,$N98,$P98)</f>
        <v>0</v>
      </c>
      <c r="W98" s="1">
        <f>MAX($C98,$E98,$G98,$I98,$K98,$M98,$O98,$Q98)</f>
        <v>0</v>
      </c>
    </row>
    <row r="99" spans="1:23">
      <c r="A99" s="1" t="s">
        <v>96</v>
      </c>
      <c r="B99" s="1"/>
      <c r="C99" s="1"/>
      <c r="D99" s="1" cm="1">
        <f t="array" ref="D99">_xlfn.SWITCH($A$2,"average", AVERAGE(Instances!D99:Instances!D99),"median", MEDIAN(Instances!D99:Instances!D99),"min", MIN(Instances!D99:Instances!D99),"max", MAX(Instances!D99:Instances!D99),"diff", MAX(Instances!D99:Instances!D99)-MIN(Instances!D99:Instances!D99))</f>
        <v>0</v>
      </c>
      <c r="E99" s="1" cm="1">
        <f t="array" ref="E99">_xlfn.SWITCH($A$2,"average", AVERAGE(Instances!E99:Instances!E99),"median", MEDIAN(Instances!E99:Instances!E99),"min", MIN(Instances!E99:Instances!E99),"max", MAX(Instances!E99:Instances!E99),"diff", MAX(Instances!E99:Instances!E99)-MIN(Instances!E99:Instances!E99))</f>
        <v>0</v>
      </c>
      <c r="F99" s="1" cm="1">
        <f t="array" ref="F99">_xlfn.SWITCH($A$2,"average", AVERAGE(Instances!F99:Instances!F99),"median", MEDIAN(Instances!F99:Instances!F99),"min", MIN(Instances!F99:Instances!F99),"max", MAX(Instances!F99:Instances!F99),"diff", MAX(Instances!F99:Instances!F99)-MIN(Instances!F99:Instances!F99))</f>
        <v>0</v>
      </c>
      <c r="G99" s="1" cm="1">
        <f t="array" ref="G99">_xlfn.SWITCH($A$2,"average", AVERAGE(Instances!G99:Instances!G99),"median", MEDIAN(Instances!G99:Instances!G99),"min", MIN(Instances!G99:Instances!G99),"max", MAX(Instances!G99:Instances!G99),"diff", MAX(Instances!G99:Instances!G99)-MIN(Instances!G99:Instances!G99))</f>
        <v>0</v>
      </c>
      <c r="H99" s="1"/>
      <c r="I99" s="1"/>
      <c r="J99" s="1" cm="1">
        <f t="array" ref="J99">_xlfn.SWITCH($A$2,"average", AVERAGE(Instances!J99:Instances!J99),"median", MEDIAN(Instances!J99:Instances!J99),"min", MIN(Instances!J99:Instances!J99),"max", MAX(Instances!J99:Instances!J99),"diff", MAX(Instances!J99:Instances!J99)-MIN(Instances!J99:Instances!J99))</f>
        <v>0</v>
      </c>
      <c r="K99" s="1" cm="1">
        <f t="array" ref="K99">_xlfn.SWITCH($A$2,"average", AVERAGE(Instances!K99:Instances!K99),"median", MEDIAN(Instances!K99:Instances!K99),"min", MIN(Instances!K99:Instances!K99),"max", MAX(Instances!K99:Instances!K99),"diff", MAX(Instances!K99:Instances!K99)-MIN(Instances!K99:Instances!K99))</f>
        <v>0</v>
      </c>
      <c r="L99" s="1" cm="1">
        <f t="array" ref="L99">_xlfn.SWITCH($A$2,"average", AVERAGE(Instances!L99:Instances!L99),"median", MEDIAN(Instances!L99:Instances!L99),"min", MIN(Instances!L99:Instances!L99),"max", MAX(Instances!L99:Instances!L99),"diff", MAX(Instances!L99:Instances!L99)-MIN(Instances!L99:Instances!L99))</f>
        <v>0</v>
      </c>
      <c r="M99" s="1" cm="1">
        <f t="array" ref="M99">_xlfn.SWITCH($A$2,"average", AVERAGE(Instances!M99:Instances!M99),"median", MEDIAN(Instances!M99:Instances!M99),"min", MIN(Instances!M99:Instances!M99),"max", MAX(Instances!M99:Instances!M99),"diff", MAX(Instances!M99:Instances!M99)-MIN(Instances!M99:Instances!M99))</f>
        <v>0</v>
      </c>
      <c r="N99" s="1" cm="1">
        <f t="array" ref="N99">_xlfn.SWITCH($A$2,"average", AVERAGE(Instances!N99:Instances!N99),"median", MEDIAN(Instances!N99:Instances!N99),"min", MIN(Instances!N99:Instances!N99),"max", MAX(Instances!N99:Instances!N99),"diff", MAX(Instances!N99:Instances!N99)-MIN(Instances!N99:Instances!N99))</f>
        <v>0</v>
      </c>
      <c r="O99" s="1" cm="1">
        <f t="array" ref="O99">_xlfn.SWITCH($A$2,"average", AVERAGE(Instances!O99:Instances!O99),"median", MEDIAN(Instances!O99:Instances!O99),"min", MIN(Instances!O99:Instances!O99),"max", MAX(Instances!O99:Instances!O99),"diff", MAX(Instances!O99:Instances!O99)-MIN(Instances!O99:Instances!O99))</f>
        <v>0</v>
      </c>
      <c r="P99" s="1" cm="1">
        <f t="array" ref="P99">_xlfn.SWITCH($A$2,"average", AVERAGE(Instances!P99:Instances!P99),"median", MEDIAN(Instances!P99:Instances!P99),"min", MIN(Instances!P99:Instances!P99),"max", MAX(Instances!P99:Instances!P99),"diff", MAX(Instances!P99:Instances!P99)-MIN(Instances!P99:Instances!P99))</f>
        <v>0</v>
      </c>
      <c r="Q99" s="1" cm="1">
        <f t="array" ref="Q99">_xlfn.SWITCH($A$2,"average", AVERAGE(Instances!Q99:Instances!Q99),"median", MEDIAN(Instances!Q99:Instances!Q99),"min", MIN(Instances!Q99:Instances!Q99),"max", MAX(Instances!Q99:Instances!Q99),"diff", MAX(Instances!Q99:Instances!Q99)-MIN(Instances!Q99:Instances!Q99))</f>
        <v>0</v>
      </c>
      <c r="R99" s="1">
        <f>MIN($B99,$D99,$F99,$H99,$J99,$L99,$N99,$P99)</f>
        <v>0</v>
      </c>
      <c r="S99" s="1">
        <f>MIN($C99,$E99,$G99,$I99,$K99,$M99,$O99,$Q99)</f>
        <v>0</v>
      </c>
      <c r="T99" s="1">
        <f>MEDIAN($B99,$D99,$F99,$H99,$J99,$L99,$N99,$P99)</f>
        <v>0</v>
      </c>
      <c r="U99" s="1">
        <f>MEDIAN($C99,$E99,$G99,$I99,$K99,$M99,$O99,$Q99)</f>
        <v>0</v>
      </c>
      <c r="V99" s="1">
        <f>MAX($B99,$D99,$F99,$H99,$J99,$L99,$N99,$P99)</f>
        <v>0</v>
      </c>
      <c r="W99" s="1">
        <f>MAX($C99,$E99,$G99,$I99,$K99,$M99,$O99,$Q99)</f>
        <v>0</v>
      </c>
    </row>
    <row r="100" spans="1:23">
      <c r="A100" s="1" t="s">
        <v>97</v>
      </c>
      <c r="B100" s="1"/>
      <c r="C100" s="1"/>
      <c r="D100" s="1" cm="1">
        <f t="array" ref="D100">_xlfn.SWITCH($A$2,"average", AVERAGE(Instances!D100:Instances!D100),"median", MEDIAN(Instances!D100:Instances!D100),"min", MIN(Instances!D100:Instances!D100),"max", MAX(Instances!D100:Instances!D100),"diff", MAX(Instances!D100:Instances!D100)-MIN(Instances!D100:Instances!D100))</f>
        <v>0</v>
      </c>
      <c r="E100" s="1" cm="1">
        <f t="array" ref="E100">_xlfn.SWITCH($A$2,"average", AVERAGE(Instances!E100:Instances!E100),"median", MEDIAN(Instances!E100:Instances!E100),"min", MIN(Instances!E100:Instances!E100),"max", MAX(Instances!E100:Instances!E100),"diff", MAX(Instances!E100:Instances!E100)-MIN(Instances!E100:Instances!E100))</f>
        <v>0</v>
      </c>
      <c r="F100" s="1" cm="1">
        <f t="array" ref="F100">_xlfn.SWITCH($A$2,"average", AVERAGE(Instances!F100:Instances!F100),"median", MEDIAN(Instances!F100:Instances!F100),"min", MIN(Instances!F100:Instances!F100),"max", MAX(Instances!F100:Instances!F100),"diff", MAX(Instances!F100:Instances!F100)-MIN(Instances!F100:Instances!F100))</f>
        <v>0</v>
      </c>
      <c r="G100" s="1" cm="1">
        <f t="array" ref="G100">_xlfn.SWITCH($A$2,"average", AVERAGE(Instances!G100:Instances!G100),"median", MEDIAN(Instances!G100:Instances!G100),"min", MIN(Instances!G100:Instances!G100),"max", MAX(Instances!G100:Instances!G100),"diff", MAX(Instances!G100:Instances!G100)-MIN(Instances!G100:Instances!G100))</f>
        <v>0</v>
      </c>
      <c r="H100" s="1"/>
      <c r="I100" s="1"/>
      <c r="J100" s="1" cm="1">
        <f t="array" ref="J100">_xlfn.SWITCH($A$2,"average", AVERAGE(Instances!J100:Instances!J100),"median", MEDIAN(Instances!J100:Instances!J100),"min", MIN(Instances!J100:Instances!J100),"max", MAX(Instances!J100:Instances!J100),"diff", MAX(Instances!J100:Instances!J100)-MIN(Instances!J100:Instances!J100))</f>
        <v>0</v>
      </c>
      <c r="K100" s="1" cm="1">
        <f t="array" ref="K100">_xlfn.SWITCH($A$2,"average", AVERAGE(Instances!K100:Instances!K100),"median", MEDIAN(Instances!K100:Instances!K100),"min", MIN(Instances!K100:Instances!K100),"max", MAX(Instances!K100:Instances!K100),"diff", MAX(Instances!K100:Instances!K100)-MIN(Instances!K100:Instances!K100))</f>
        <v>0</v>
      </c>
      <c r="L100" s="1" cm="1">
        <f t="array" ref="L100">_xlfn.SWITCH($A$2,"average", AVERAGE(Instances!L100:Instances!L100),"median", MEDIAN(Instances!L100:Instances!L100),"min", MIN(Instances!L100:Instances!L100),"max", MAX(Instances!L100:Instances!L100),"diff", MAX(Instances!L100:Instances!L100)-MIN(Instances!L100:Instances!L100))</f>
        <v>0</v>
      </c>
      <c r="M100" s="1" cm="1">
        <f t="array" ref="M100">_xlfn.SWITCH($A$2,"average", AVERAGE(Instances!M100:Instances!M100),"median", MEDIAN(Instances!M100:Instances!M100),"min", MIN(Instances!M100:Instances!M100),"max", MAX(Instances!M100:Instances!M100),"diff", MAX(Instances!M100:Instances!M100)-MIN(Instances!M100:Instances!M100))</f>
        <v>0</v>
      </c>
      <c r="N100" s="1" cm="1">
        <f t="array" ref="N100">_xlfn.SWITCH($A$2,"average", AVERAGE(Instances!N100:Instances!N100),"median", MEDIAN(Instances!N100:Instances!N100),"min", MIN(Instances!N100:Instances!N100),"max", MAX(Instances!N100:Instances!N100),"diff", MAX(Instances!N100:Instances!N100)-MIN(Instances!N100:Instances!N100))</f>
        <v>0</v>
      </c>
      <c r="O100" s="1" cm="1">
        <f t="array" ref="O100">_xlfn.SWITCH($A$2,"average", AVERAGE(Instances!O100:Instances!O100),"median", MEDIAN(Instances!O100:Instances!O100),"min", MIN(Instances!O100:Instances!O100),"max", MAX(Instances!O100:Instances!O100),"diff", MAX(Instances!O100:Instances!O100)-MIN(Instances!O100:Instances!O100))</f>
        <v>0</v>
      </c>
      <c r="P100" s="1" cm="1">
        <f t="array" ref="P100">_xlfn.SWITCH($A$2,"average", AVERAGE(Instances!P100:Instances!P100),"median", MEDIAN(Instances!P100:Instances!P100),"min", MIN(Instances!P100:Instances!P100),"max", MAX(Instances!P100:Instances!P100),"diff", MAX(Instances!P100:Instances!P100)-MIN(Instances!P100:Instances!P100))</f>
        <v>0</v>
      </c>
      <c r="Q100" s="1" cm="1">
        <f t="array" ref="Q100">_xlfn.SWITCH($A$2,"average", AVERAGE(Instances!Q100:Instances!Q100),"median", MEDIAN(Instances!Q100:Instances!Q100),"min", MIN(Instances!Q100:Instances!Q100),"max", MAX(Instances!Q100:Instances!Q100),"diff", MAX(Instances!Q100:Instances!Q100)-MIN(Instances!Q100:Instances!Q100))</f>
        <v>0</v>
      </c>
      <c r="R100" s="1">
        <f>MIN($B100,$D100,$F100,$H100,$J100,$L100,$N100,$P100)</f>
        <v>0</v>
      </c>
      <c r="S100" s="1">
        <f>MIN($C100,$E100,$G100,$I100,$K100,$M100,$O100,$Q100)</f>
        <v>0</v>
      </c>
      <c r="T100" s="1">
        <f>MEDIAN($B100,$D100,$F100,$H100,$J100,$L100,$N100,$P100)</f>
        <v>0</v>
      </c>
      <c r="U100" s="1">
        <f>MEDIAN($C100,$E100,$G100,$I100,$K100,$M100,$O100,$Q100)</f>
        <v>0</v>
      </c>
      <c r="V100" s="1">
        <f>MAX($B100,$D100,$F100,$H100,$J100,$L100,$N100,$P100)</f>
        <v>0</v>
      </c>
      <c r="W100" s="1">
        <f>MAX($C100,$E100,$G100,$I100,$K100,$M100,$O100,$Q100)</f>
        <v>0</v>
      </c>
    </row>
    <row r="101" spans="1:23">
      <c r="A101" s="1" t="s">
        <v>98</v>
      </c>
      <c r="B101" s="1"/>
      <c r="C101" s="1"/>
      <c r="D101" s="1" cm="1">
        <f t="array" ref="D101">_xlfn.SWITCH($A$2,"average", AVERAGE(Instances!D101:Instances!D101),"median", MEDIAN(Instances!D101:Instances!D101),"min", MIN(Instances!D101:Instances!D101),"max", MAX(Instances!D101:Instances!D101),"diff", MAX(Instances!D101:Instances!D101)-MIN(Instances!D101:Instances!D101))</f>
        <v>0</v>
      </c>
      <c r="E101" s="1" cm="1">
        <f t="array" ref="E101">_xlfn.SWITCH($A$2,"average", AVERAGE(Instances!E101:Instances!E101),"median", MEDIAN(Instances!E101:Instances!E101),"min", MIN(Instances!E101:Instances!E101),"max", MAX(Instances!E101:Instances!E101),"diff", MAX(Instances!E101:Instances!E101)-MIN(Instances!E101:Instances!E101))</f>
        <v>0</v>
      </c>
      <c r="F101" s="1" cm="1">
        <f t="array" ref="F101">_xlfn.SWITCH($A$2,"average", AVERAGE(Instances!F101:Instances!F101),"median", MEDIAN(Instances!F101:Instances!F101),"min", MIN(Instances!F101:Instances!F101),"max", MAX(Instances!F101:Instances!F101),"diff", MAX(Instances!F101:Instances!F101)-MIN(Instances!F101:Instances!F101))</f>
        <v>0</v>
      </c>
      <c r="G101" s="1" cm="1">
        <f t="array" ref="G101">_xlfn.SWITCH($A$2,"average", AVERAGE(Instances!G101:Instances!G101),"median", MEDIAN(Instances!G101:Instances!G101),"min", MIN(Instances!G101:Instances!G101),"max", MAX(Instances!G101:Instances!G101),"diff", MAX(Instances!G101:Instances!G101)-MIN(Instances!G101:Instances!G101))</f>
        <v>0</v>
      </c>
      <c r="H101" s="1"/>
      <c r="I101" s="1"/>
      <c r="J101" s="1" cm="1">
        <f t="array" ref="J101">_xlfn.SWITCH($A$2,"average", AVERAGE(Instances!J101:Instances!J101),"median", MEDIAN(Instances!J101:Instances!J101),"min", MIN(Instances!J101:Instances!J101),"max", MAX(Instances!J101:Instances!J101),"diff", MAX(Instances!J101:Instances!J101)-MIN(Instances!J101:Instances!J101))</f>
        <v>0</v>
      </c>
      <c r="K101" s="1" cm="1">
        <f t="array" ref="K101">_xlfn.SWITCH($A$2,"average", AVERAGE(Instances!K101:Instances!K101),"median", MEDIAN(Instances!K101:Instances!K101),"min", MIN(Instances!K101:Instances!K101),"max", MAX(Instances!K101:Instances!K101),"diff", MAX(Instances!K101:Instances!K101)-MIN(Instances!K101:Instances!K101))</f>
        <v>0</v>
      </c>
      <c r="L101" s="1" cm="1">
        <f t="array" ref="L101">_xlfn.SWITCH($A$2,"average", AVERAGE(Instances!L101:Instances!L101),"median", MEDIAN(Instances!L101:Instances!L101),"min", MIN(Instances!L101:Instances!L101),"max", MAX(Instances!L101:Instances!L101),"diff", MAX(Instances!L101:Instances!L101)-MIN(Instances!L101:Instances!L101))</f>
        <v>0</v>
      </c>
      <c r="M101" s="1" cm="1">
        <f t="array" ref="M101">_xlfn.SWITCH($A$2,"average", AVERAGE(Instances!M101:Instances!M101),"median", MEDIAN(Instances!M101:Instances!M101),"min", MIN(Instances!M101:Instances!M101),"max", MAX(Instances!M101:Instances!M101),"diff", MAX(Instances!M101:Instances!M101)-MIN(Instances!M101:Instances!M101))</f>
        <v>0</v>
      </c>
      <c r="N101" s="1" cm="1">
        <f t="array" ref="N101">_xlfn.SWITCH($A$2,"average", AVERAGE(Instances!N101:Instances!N101),"median", MEDIAN(Instances!N101:Instances!N101),"min", MIN(Instances!N101:Instances!N101),"max", MAX(Instances!N101:Instances!N101),"diff", MAX(Instances!N101:Instances!N101)-MIN(Instances!N101:Instances!N101))</f>
        <v>0</v>
      </c>
      <c r="O101" s="1" cm="1">
        <f t="array" ref="O101">_xlfn.SWITCH($A$2,"average", AVERAGE(Instances!O101:Instances!O101),"median", MEDIAN(Instances!O101:Instances!O101),"min", MIN(Instances!O101:Instances!O101),"max", MAX(Instances!O101:Instances!O101),"diff", MAX(Instances!O101:Instances!O101)-MIN(Instances!O101:Instances!O101))</f>
        <v>0</v>
      </c>
      <c r="P101" s="1" cm="1">
        <f t="array" ref="P101">_xlfn.SWITCH($A$2,"average", AVERAGE(Instances!P101:Instances!P101),"median", MEDIAN(Instances!P101:Instances!P101),"min", MIN(Instances!P101:Instances!P101),"max", MAX(Instances!P101:Instances!P101),"diff", MAX(Instances!P101:Instances!P101)-MIN(Instances!P101:Instances!P101))</f>
        <v>0</v>
      </c>
      <c r="Q101" s="1" cm="1">
        <f t="array" ref="Q101">_xlfn.SWITCH($A$2,"average", AVERAGE(Instances!Q101:Instances!Q101),"median", MEDIAN(Instances!Q101:Instances!Q101),"min", MIN(Instances!Q101:Instances!Q101),"max", MAX(Instances!Q101:Instances!Q101),"diff", MAX(Instances!Q101:Instances!Q101)-MIN(Instances!Q101:Instances!Q101))</f>
        <v>0</v>
      </c>
      <c r="R101" s="1">
        <f>MIN($B101,$D101,$F101,$H101,$J101,$L101,$N101,$P101)</f>
        <v>0</v>
      </c>
      <c r="S101" s="1">
        <f>MIN($C101,$E101,$G101,$I101,$K101,$M101,$O101,$Q101)</f>
        <v>0</v>
      </c>
      <c r="T101" s="1">
        <f>MEDIAN($B101,$D101,$F101,$H101,$J101,$L101,$N101,$P101)</f>
        <v>0</v>
      </c>
      <c r="U101" s="1">
        <f>MEDIAN($C101,$E101,$G101,$I101,$K101,$M101,$O101,$Q101)</f>
        <v>0</v>
      </c>
      <c r="V101" s="1">
        <f>MAX($B101,$D101,$F101,$H101,$J101,$L101,$N101,$P101)</f>
        <v>0</v>
      </c>
      <c r="W101" s="1">
        <f>MAX($C101,$E101,$G101,$I101,$K101,$M101,$O101,$Q101)</f>
        <v>0</v>
      </c>
    </row>
    <row r="102" spans="1:23">
      <c r="A102" s="1" t="s">
        <v>99</v>
      </c>
      <c r="B102" s="1"/>
      <c r="C102" s="1"/>
      <c r="D102" s="1" cm="1">
        <f t="array" ref="D102">_xlfn.SWITCH($A$2,"average", AVERAGE(Instances!D102:Instances!D102),"median", MEDIAN(Instances!D102:Instances!D102),"min", MIN(Instances!D102:Instances!D102),"max", MAX(Instances!D102:Instances!D102),"diff", MAX(Instances!D102:Instances!D102)-MIN(Instances!D102:Instances!D102))</f>
        <v>0</v>
      </c>
      <c r="E102" s="1" cm="1">
        <f t="array" ref="E102">_xlfn.SWITCH($A$2,"average", AVERAGE(Instances!E102:Instances!E102),"median", MEDIAN(Instances!E102:Instances!E102),"min", MIN(Instances!E102:Instances!E102),"max", MAX(Instances!E102:Instances!E102),"diff", MAX(Instances!E102:Instances!E102)-MIN(Instances!E102:Instances!E102))</f>
        <v>0</v>
      </c>
      <c r="F102" s="1" cm="1">
        <f t="array" ref="F102">_xlfn.SWITCH($A$2,"average", AVERAGE(Instances!F102:Instances!F102),"median", MEDIAN(Instances!F102:Instances!F102),"min", MIN(Instances!F102:Instances!F102),"max", MAX(Instances!F102:Instances!F102),"diff", MAX(Instances!F102:Instances!F102)-MIN(Instances!F102:Instances!F102))</f>
        <v>0</v>
      </c>
      <c r="G102" s="1" cm="1">
        <f t="array" ref="G102">_xlfn.SWITCH($A$2,"average", AVERAGE(Instances!G102:Instances!G102),"median", MEDIAN(Instances!G102:Instances!G102),"min", MIN(Instances!G102:Instances!G102),"max", MAX(Instances!G102:Instances!G102),"diff", MAX(Instances!G102:Instances!G102)-MIN(Instances!G102:Instances!G102))</f>
        <v>0</v>
      </c>
      <c r="H102" s="1"/>
      <c r="I102" s="1"/>
      <c r="J102" s="1" cm="1">
        <f t="array" ref="J102">_xlfn.SWITCH($A$2,"average", AVERAGE(Instances!J102:Instances!J102),"median", MEDIAN(Instances!J102:Instances!J102),"min", MIN(Instances!J102:Instances!J102),"max", MAX(Instances!J102:Instances!J102),"diff", MAX(Instances!J102:Instances!J102)-MIN(Instances!J102:Instances!J102))</f>
        <v>0</v>
      </c>
      <c r="K102" s="1" cm="1">
        <f t="array" ref="K102">_xlfn.SWITCH($A$2,"average", AVERAGE(Instances!K102:Instances!K102),"median", MEDIAN(Instances!K102:Instances!K102),"min", MIN(Instances!K102:Instances!K102),"max", MAX(Instances!K102:Instances!K102),"diff", MAX(Instances!K102:Instances!K102)-MIN(Instances!K102:Instances!K102))</f>
        <v>0</v>
      </c>
      <c r="L102" s="1" cm="1">
        <f t="array" ref="L102">_xlfn.SWITCH($A$2,"average", AVERAGE(Instances!L102:Instances!L102),"median", MEDIAN(Instances!L102:Instances!L102),"min", MIN(Instances!L102:Instances!L102),"max", MAX(Instances!L102:Instances!L102),"diff", MAX(Instances!L102:Instances!L102)-MIN(Instances!L102:Instances!L102))</f>
        <v>0</v>
      </c>
      <c r="M102" s="1" cm="1">
        <f t="array" ref="M102">_xlfn.SWITCH($A$2,"average", AVERAGE(Instances!M102:Instances!M102),"median", MEDIAN(Instances!M102:Instances!M102),"min", MIN(Instances!M102:Instances!M102),"max", MAX(Instances!M102:Instances!M102),"diff", MAX(Instances!M102:Instances!M102)-MIN(Instances!M102:Instances!M102))</f>
        <v>0</v>
      </c>
      <c r="N102" s="1" cm="1">
        <f t="array" ref="N102">_xlfn.SWITCH($A$2,"average", AVERAGE(Instances!N102:Instances!N102),"median", MEDIAN(Instances!N102:Instances!N102),"min", MIN(Instances!N102:Instances!N102),"max", MAX(Instances!N102:Instances!N102),"diff", MAX(Instances!N102:Instances!N102)-MIN(Instances!N102:Instances!N102))</f>
        <v>0</v>
      </c>
      <c r="O102" s="1" cm="1">
        <f t="array" ref="O102">_xlfn.SWITCH($A$2,"average", AVERAGE(Instances!O102:Instances!O102),"median", MEDIAN(Instances!O102:Instances!O102),"min", MIN(Instances!O102:Instances!O102),"max", MAX(Instances!O102:Instances!O102),"diff", MAX(Instances!O102:Instances!O102)-MIN(Instances!O102:Instances!O102))</f>
        <v>0</v>
      </c>
      <c r="P102" s="1" cm="1">
        <f t="array" ref="P102">_xlfn.SWITCH($A$2,"average", AVERAGE(Instances!P102:Instances!P102),"median", MEDIAN(Instances!P102:Instances!P102),"min", MIN(Instances!P102:Instances!P102),"max", MAX(Instances!P102:Instances!P102),"diff", MAX(Instances!P102:Instances!P102)-MIN(Instances!P102:Instances!P102))</f>
        <v>0</v>
      </c>
      <c r="Q102" s="1" cm="1">
        <f t="array" ref="Q102">_xlfn.SWITCH($A$2,"average", AVERAGE(Instances!Q102:Instances!Q102),"median", MEDIAN(Instances!Q102:Instances!Q102),"min", MIN(Instances!Q102:Instances!Q102),"max", MAX(Instances!Q102:Instances!Q102),"diff", MAX(Instances!Q102:Instances!Q102)-MIN(Instances!Q102:Instances!Q102))</f>
        <v>0</v>
      </c>
      <c r="R102" s="1">
        <f>MIN($B102,$D102,$F102,$H102,$J102,$L102,$N102,$P102)</f>
        <v>0</v>
      </c>
      <c r="S102" s="1">
        <f>MIN($C102,$E102,$G102,$I102,$K102,$M102,$O102,$Q102)</f>
        <v>0</v>
      </c>
      <c r="T102" s="1">
        <f>MEDIAN($B102,$D102,$F102,$H102,$J102,$L102,$N102,$P102)</f>
        <v>0</v>
      </c>
      <c r="U102" s="1">
        <f>MEDIAN($C102,$E102,$G102,$I102,$K102,$M102,$O102,$Q102)</f>
        <v>0</v>
      </c>
      <c r="V102" s="1">
        <f>MAX($B102,$D102,$F102,$H102,$J102,$L102,$N102,$P102)</f>
        <v>0</v>
      </c>
      <c r="W102" s="1">
        <f>MAX($C102,$E102,$G102,$I102,$K102,$M102,$O102,$Q102)</f>
        <v>0</v>
      </c>
    </row>
    <row r="103" spans="1:23">
      <c r="A103" s="1" t="s">
        <v>100</v>
      </c>
      <c r="B103" s="1"/>
      <c r="C103" s="1"/>
      <c r="D103" s="1" cm="1">
        <f t="array" ref="D103">_xlfn.SWITCH($A$2,"average", AVERAGE(Instances!D103:Instances!D103),"median", MEDIAN(Instances!D103:Instances!D103),"min", MIN(Instances!D103:Instances!D103),"max", MAX(Instances!D103:Instances!D103),"diff", MAX(Instances!D103:Instances!D103)-MIN(Instances!D103:Instances!D103))</f>
        <v>0</v>
      </c>
      <c r="E103" s="1" cm="1">
        <f t="array" ref="E103">_xlfn.SWITCH($A$2,"average", AVERAGE(Instances!E103:Instances!E103),"median", MEDIAN(Instances!E103:Instances!E103),"min", MIN(Instances!E103:Instances!E103),"max", MAX(Instances!E103:Instances!E103),"diff", MAX(Instances!E103:Instances!E103)-MIN(Instances!E103:Instances!E103))</f>
        <v>0</v>
      </c>
      <c r="F103" s="1" cm="1">
        <f t="array" ref="F103">_xlfn.SWITCH($A$2,"average", AVERAGE(Instances!F103:Instances!F103),"median", MEDIAN(Instances!F103:Instances!F103),"min", MIN(Instances!F103:Instances!F103),"max", MAX(Instances!F103:Instances!F103),"diff", MAX(Instances!F103:Instances!F103)-MIN(Instances!F103:Instances!F103))</f>
        <v>0</v>
      </c>
      <c r="G103" s="1" cm="1">
        <f t="array" ref="G103">_xlfn.SWITCH($A$2,"average", AVERAGE(Instances!G103:Instances!G103),"median", MEDIAN(Instances!G103:Instances!G103),"min", MIN(Instances!G103:Instances!G103),"max", MAX(Instances!G103:Instances!G103),"diff", MAX(Instances!G103:Instances!G103)-MIN(Instances!G103:Instances!G103))</f>
        <v>0</v>
      </c>
      <c r="H103" s="1"/>
      <c r="I103" s="1"/>
      <c r="J103" s="1" cm="1">
        <f t="array" ref="J103">_xlfn.SWITCH($A$2,"average", AVERAGE(Instances!J103:Instances!J103),"median", MEDIAN(Instances!J103:Instances!J103),"min", MIN(Instances!J103:Instances!J103),"max", MAX(Instances!J103:Instances!J103),"diff", MAX(Instances!J103:Instances!J103)-MIN(Instances!J103:Instances!J103))</f>
        <v>0</v>
      </c>
      <c r="K103" s="1" cm="1">
        <f t="array" ref="K103">_xlfn.SWITCH($A$2,"average", AVERAGE(Instances!K103:Instances!K103),"median", MEDIAN(Instances!K103:Instances!K103),"min", MIN(Instances!K103:Instances!K103),"max", MAX(Instances!K103:Instances!K103),"diff", MAX(Instances!K103:Instances!K103)-MIN(Instances!K103:Instances!K103))</f>
        <v>0</v>
      </c>
      <c r="L103" s="1" cm="1">
        <f t="array" ref="L103">_xlfn.SWITCH($A$2,"average", AVERAGE(Instances!L103:Instances!L103),"median", MEDIAN(Instances!L103:Instances!L103),"min", MIN(Instances!L103:Instances!L103),"max", MAX(Instances!L103:Instances!L103),"diff", MAX(Instances!L103:Instances!L103)-MIN(Instances!L103:Instances!L103))</f>
        <v>0</v>
      </c>
      <c r="M103" s="1" cm="1">
        <f t="array" ref="M103">_xlfn.SWITCH($A$2,"average", AVERAGE(Instances!M103:Instances!M103),"median", MEDIAN(Instances!M103:Instances!M103),"min", MIN(Instances!M103:Instances!M103),"max", MAX(Instances!M103:Instances!M103),"diff", MAX(Instances!M103:Instances!M103)-MIN(Instances!M103:Instances!M103))</f>
        <v>0</v>
      </c>
      <c r="N103" s="1" cm="1">
        <f t="array" ref="N103">_xlfn.SWITCH($A$2,"average", AVERAGE(Instances!N103:Instances!N103),"median", MEDIAN(Instances!N103:Instances!N103),"min", MIN(Instances!N103:Instances!N103),"max", MAX(Instances!N103:Instances!N103),"diff", MAX(Instances!N103:Instances!N103)-MIN(Instances!N103:Instances!N103))</f>
        <v>0</v>
      </c>
      <c r="O103" s="1" cm="1">
        <f t="array" ref="O103">_xlfn.SWITCH($A$2,"average", AVERAGE(Instances!O103:Instances!O103),"median", MEDIAN(Instances!O103:Instances!O103),"min", MIN(Instances!O103:Instances!O103),"max", MAX(Instances!O103:Instances!O103),"diff", MAX(Instances!O103:Instances!O103)-MIN(Instances!O103:Instances!O103))</f>
        <v>0</v>
      </c>
      <c r="P103" s="1" cm="1">
        <f t="array" ref="P103">_xlfn.SWITCH($A$2,"average", AVERAGE(Instances!P103:Instances!P103),"median", MEDIAN(Instances!P103:Instances!P103),"min", MIN(Instances!P103:Instances!P103),"max", MAX(Instances!P103:Instances!P103),"diff", MAX(Instances!P103:Instances!P103)-MIN(Instances!P103:Instances!P103))</f>
        <v>0</v>
      </c>
      <c r="Q103" s="1" cm="1">
        <f t="array" ref="Q103">_xlfn.SWITCH($A$2,"average", AVERAGE(Instances!Q103:Instances!Q103),"median", MEDIAN(Instances!Q103:Instances!Q103),"min", MIN(Instances!Q103:Instances!Q103),"max", MAX(Instances!Q103:Instances!Q103),"diff", MAX(Instances!Q103:Instances!Q103)-MIN(Instances!Q103:Instances!Q103))</f>
        <v>0</v>
      </c>
      <c r="R103" s="1">
        <f>MIN($B103,$D103,$F103,$H103,$J103,$L103,$N103,$P103)</f>
        <v>0</v>
      </c>
      <c r="S103" s="1">
        <f>MIN($C103,$E103,$G103,$I103,$K103,$M103,$O103,$Q103)</f>
        <v>0</v>
      </c>
      <c r="T103" s="1">
        <f>MEDIAN($B103,$D103,$F103,$H103,$J103,$L103,$N103,$P103)</f>
        <v>0</v>
      </c>
      <c r="U103" s="1">
        <f>MEDIAN($C103,$E103,$G103,$I103,$K103,$M103,$O103,$Q103)</f>
        <v>0</v>
      </c>
      <c r="V103" s="1">
        <f>MAX($B103,$D103,$F103,$H103,$J103,$L103,$N103,$P103)</f>
        <v>0</v>
      </c>
      <c r="W103" s="1">
        <f>MAX($C103,$E103,$G103,$I103,$K103,$M103,$O103,$Q103)</f>
        <v>0</v>
      </c>
    </row>
    <row r="104" spans="1:23">
      <c r="A104" s="1" t="s">
        <v>101</v>
      </c>
      <c r="B104" s="1"/>
      <c r="C104" s="1"/>
      <c r="D104" s="1" cm="1">
        <f t="array" ref="D104">_xlfn.SWITCH($A$2,"average", AVERAGE(Instances!D104:Instances!D104),"median", MEDIAN(Instances!D104:Instances!D104),"min", MIN(Instances!D104:Instances!D104),"max", MAX(Instances!D104:Instances!D104),"diff", MAX(Instances!D104:Instances!D104)-MIN(Instances!D104:Instances!D104))</f>
        <v>0</v>
      </c>
      <c r="E104" s="1" cm="1">
        <f t="array" ref="E104">_xlfn.SWITCH($A$2,"average", AVERAGE(Instances!E104:Instances!E104),"median", MEDIAN(Instances!E104:Instances!E104),"min", MIN(Instances!E104:Instances!E104),"max", MAX(Instances!E104:Instances!E104),"diff", MAX(Instances!E104:Instances!E104)-MIN(Instances!E104:Instances!E104))</f>
        <v>0</v>
      </c>
      <c r="F104" s="1" cm="1">
        <f t="array" ref="F104">_xlfn.SWITCH($A$2,"average", AVERAGE(Instances!F104:Instances!F104),"median", MEDIAN(Instances!F104:Instances!F104),"min", MIN(Instances!F104:Instances!F104),"max", MAX(Instances!F104:Instances!F104),"diff", MAX(Instances!F104:Instances!F104)-MIN(Instances!F104:Instances!F104))</f>
        <v>0</v>
      </c>
      <c r="G104" s="1" cm="1">
        <f t="array" ref="G104">_xlfn.SWITCH($A$2,"average", AVERAGE(Instances!G104:Instances!G104),"median", MEDIAN(Instances!G104:Instances!G104),"min", MIN(Instances!G104:Instances!G104),"max", MAX(Instances!G104:Instances!G104),"diff", MAX(Instances!G104:Instances!G104)-MIN(Instances!G104:Instances!G104))</f>
        <v>0</v>
      </c>
      <c r="H104" s="1"/>
      <c r="I104" s="1"/>
      <c r="J104" s="1" cm="1">
        <f t="array" ref="J104">_xlfn.SWITCH($A$2,"average", AVERAGE(Instances!J104:Instances!J104),"median", MEDIAN(Instances!J104:Instances!J104),"min", MIN(Instances!J104:Instances!J104),"max", MAX(Instances!J104:Instances!J104),"diff", MAX(Instances!J104:Instances!J104)-MIN(Instances!J104:Instances!J104))</f>
        <v>0</v>
      </c>
      <c r="K104" s="1" cm="1">
        <f t="array" ref="K104">_xlfn.SWITCH($A$2,"average", AVERAGE(Instances!K104:Instances!K104),"median", MEDIAN(Instances!K104:Instances!K104),"min", MIN(Instances!K104:Instances!K104),"max", MAX(Instances!K104:Instances!K104),"diff", MAX(Instances!K104:Instances!K104)-MIN(Instances!K104:Instances!K104))</f>
        <v>0</v>
      </c>
      <c r="L104" s="1" cm="1">
        <f t="array" ref="L104">_xlfn.SWITCH($A$2,"average", AVERAGE(Instances!L104:Instances!L104),"median", MEDIAN(Instances!L104:Instances!L104),"min", MIN(Instances!L104:Instances!L104),"max", MAX(Instances!L104:Instances!L104),"diff", MAX(Instances!L104:Instances!L104)-MIN(Instances!L104:Instances!L104))</f>
        <v>0</v>
      </c>
      <c r="M104" s="1" cm="1">
        <f t="array" ref="M104">_xlfn.SWITCH($A$2,"average", AVERAGE(Instances!M104:Instances!M104),"median", MEDIAN(Instances!M104:Instances!M104),"min", MIN(Instances!M104:Instances!M104),"max", MAX(Instances!M104:Instances!M104),"diff", MAX(Instances!M104:Instances!M104)-MIN(Instances!M104:Instances!M104))</f>
        <v>0</v>
      </c>
      <c r="N104" s="1" cm="1">
        <f t="array" ref="N104">_xlfn.SWITCH($A$2,"average", AVERAGE(Instances!N104:Instances!N104),"median", MEDIAN(Instances!N104:Instances!N104),"min", MIN(Instances!N104:Instances!N104),"max", MAX(Instances!N104:Instances!N104),"diff", MAX(Instances!N104:Instances!N104)-MIN(Instances!N104:Instances!N104))</f>
        <v>0</v>
      </c>
      <c r="O104" s="1" cm="1">
        <f t="array" ref="O104">_xlfn.SWITCH($A$2,"average", AVERAGE(Instances!O104:Instances!O104),"median", MEDIAN(Instances!O104:Instances!O104),"min", MIN(Instances!O104:Instances!O104),"max", MAX(Instances!O104:Instances!O104),"diff", MAX(Instances!O104:Instances!O104)-MIN(Instances!O104:Instances!O104))</f>
        <v>0</v>
      </c>
      <c r="P104" s="1" cm="1">
        <f t="array" ref="P104">_xlfn.SWITCH($A$2,"average", AVERAGE(Instances!P104:Instances!P104),"median", MEDIAN(Instances!P104:Instances!P104),"min", MIN(Instances!P104:Instances!P104),"max", MAX(Instances!P104:Instances!P104),"diff", MAX(Instances!P104:Instances!P104)-MIN(Instances!P104:Instances!P104))</f>
        <v>0</v>
      </c>
      <c r="Q104" s="1" cm="1">
        <f t="array" ref="Q104">_xlfn.SWITCH($A$2,"average", AVERAGE(Instances!Q104:Instances!Q104),"median", MEDIAN(Instances!Q104:Instances!Q104),"min", MIN(Instances!Q104:Instances!Q104),"max", MAX(Instances!Q104:Instances!Q104),"diff", MAX(Instances!Q104:Instances!Q104)-MIN(Instances!Q104:Instances!Q104))</f>
        <v>0</v>
      </c>
      <c r="R104" s="1">
        <f>MIN($B104,$D104,$F104,$H104,$J104,$L104,$N104,$P104)</f>
        <v>0</v>
      </c>
      <c r="S104" s="1">
        <f>MIN($C104,$E104,$G104,$I104,$K104,$M104,$O104,$Q104)</f>
        <v>0</v>
      </c>
      <c r="T104" s="1">
        <f>MEDIAN($B104,$D104,$F104,$H104,$J104,$L104,$N104,$P104)</f>
        <v>0</v>
      </c>
      <c r="U104" s="1">
        <f>MEDIAN($C104,$E104,$G104,$I104,$K104,$M104,$O104,$Q104)</f>
        <v>0</v>
      </c>
      <c r="V104" s="1">
        <f>MAX($B104,$D104,$F104,$H104,$J104,$L104,$N104,$P104)</f>
        <v>0</v>
      </c>
      <c r="W104" s="1">
        <f>MAX($C104,$E104,$G104,$I104,$K104,$M104,$O104,$Q104)</f>
        <v>0</v>
      </c>
    </row>
    <row r="105" spans="1:23">
      <c r="A105" s="1" t="s">
        <v>102</v>
      </c>
      <c r="B105" s="1"/>
      <c r="C105" s="1"/>
      <c r="D105" s="1" cm="1">
        <f t="array" ref="D105">_xlfn.SWITCH($A$2,"average", AVERAGE(Instances!D105:Instances!D105),"median", MEDIAN(Instances!D105:Instances!D105),"min", MIN(Instances!D105:Instances!D105),"max", MAX(Instances!D105:Instances!D105),"diff", MAX(Instances!D105:Instances!D105)-MIN(Instances!D105:Instances!D105))</f>
        <v>0</v>
      </c>
      <c r="E105" s="1" cm="1">
        <f t="array" ref="E105">_xlfn.SWITCH($A$2,"average", AVERAGE(Instances!E105:Instances!E105),"median", MEDIAN(Instances!E105:Instances!E105),"min", MIN(Instances!E105:Instances!E105),"max", MAX(Instances!E105:Instances!E105),"diff", MAX(Instances!E105:Instances!E105)-MIN(Instances!E105:Instances!E105))</f>
        <v>0</v>
      </c>
      <c r="F105" s="1" cm="1">
        <f t="array" ref="F105">_xlfn.SWITCH($A$2,"average", AVERAGE(Instances!F105:Instances!F105),"median", MEDIAN(Instances!F105:Instances!F105),"min", MIN(Instances!F105:Instances!F105),"max", MAX(Instances!F105:Instances!F105),"diff", MAX(Instances!F105:Instances!F105)-MIN(Instances!F105:Instances!F105))</f>
        <v>0</v>
      </c>
      <c r="G105" s="1" cm="1">
        <f t="array" ref="G105">_xlfn.SWITCH($A$2,"average", AVERAGE(Instances!G105:Instances!G105),"median", MEDIAN(Instances!G105:Instances!G105),"min", MIN(Instances!G105:Instances!G105),"max", MAX(Instances!G105:Instances!G105),"diff", MAX(Instances!G105:Instances!G105)-MIN(Instances!G105:Instances!G105))</f>
        <v>0</v>
      </c>
      <c r="H105" s="1"/>
      <c r="I105" s="1"/>
      <c r="J105" s="1" cm="1">
        <f t="array" ref="J105">_xlfn.SWITCH($A$2,"average", AVERAGE(Instances!J105:Instances!J105),"median", MEDIAN(Instances!J105:Instances!J105),"min", MIN(Instances!J105:Instances!J105),"max", MAX(Instances!J105:Instances!J105),"diff", MAX(Instances!J105:Instances!J105)-MIN(Instances!J105:Instances!J105))</f>
        <v>0</v>
      </c>
      <c r="K105" s="1" cm="1">
        <f t="array" ref="K105">_xlfn.SWITCH($A$2,"average", AVERAGE(Instances!K105:Instances!K105),"median", MEDIAN(Instances!K105:Instances!K105),"min", MIN(Instances!K105:Instances!K105),"max", MAX(Instances!K105:Instances!K105),"diff", MAX(Instances!K105:Instances!K105)-MIN(Instances!K105:Instances!K105))</f>
        <v>0</v>
      </c>
      <c r="L105" s="1" cm="1">
        <f t="array" ref="L105">_xlfn.SWITCH($A$2,"average", AVERAGE(Instances!L105:Instances!L105),"median", MEDIAN(Instances!L105:Instances!L105),"min", MIN(Instances!L105:Instances!L105),"max", MAX(Instances!L105:Instances!L105),"diff", MAX(Instances!L105:Instances!L105)-MIN(Instances!L105:Instances!L105))</f>
        <v>0</v>
      </c>
      <c r="M105" s="1" cm="1">
        <f t="array" ref="M105">_xlfn.SWITCH($A$2,"average", AVERAGE(Instances!M105:Instances!M105),"median", MEDIAN(Instances!M105:Instances!M105),"min", MIN(Instances!M105:Instances!M105),"max", MAX(Instances!M105:Instances!M105),"diff", MAX(Instances!M105:Instances!M105)-MIN(Instances!M105:Instances!M105))</f>
        <v>0</v>
      </c>
      <c r="N105" s="1" cm="1">
        <f t="array" ref="N105">_xlfn.SWITCH($A$2,"average", AVERAGE(Instances!N105:Instances!N105),"median", MEDIAN(Instances!N105:Instances!N105),"min", MIN(Instances!N105:Instances!N105),"max", MAX(Instances!N105:Instances!N105),"diff", MAX(Instances!N105:Instances!N105)-MIN(Instances!N105:Instances!N105))</f>
        <v>0</v>
      </c>
      <c r="O105" s="1" cm="1">
        <f t="array" ref="O105">_xlfn.SWITCH($A$2,"average", AVERAGE(Instances!O105:Instances!O105),"median", MEDIAN(Instances!O105:Instances!O105),"min", MIN(Instances!O105:Instances!O105),"max", MAX(Instances!O105:Instances!O105),"diff", MAX(Instances!O105:Instances!O105)-MIN(Instances!O105:Instances!O105))</f>
        <v>0</v>
      </c>
      <c r="P105" s="1" cm="1">
        <f t="array" ref="P105">_xlfn.SWITCH($A$2,"average", AVERAGE(Instances!P105:Instances!P105),"median", MEDIAN(Instances!P105:Instances!P105),"min", MIN(Instances!P105:Instances!P105),"max", MAX(Instances!P105:Instances!P105),"diff", MAX(Instances!P105:Instances!P105)-MIN(Instances!P105:Instances!P105))</f>
        <v>0</v>
      </c>
      <c r="Q105" s="1" cm="1">
        <f t="array" ref="Q105">_xlfn.SWITCH($A$2,"average", AVERAGE(Instances!Q105:Instances!Q105),"median", MEDIAN(Instances!Q105:Instances!Q105),"min", MIN(Instances!Q105:Instances!Q105),"max", MAX(Instances!Q105:Instances!Q105),"diff", MAX(Instances!Q105:Instances!Q105)-MIN(Instances!Q105:Instances!Q105))</f>
        <v>0</v>
      </c>
      <c r="R105" s="1">
        <f>MIN($B105,$D105,$F105,$H105,$J105,$L105,$N105,$P105)</f>
        <v>0</v>
      </c>
      <c r="S105" s="1">
        <f>MIN($C105,$E105,$G105,$I105,$K105,$M105,$O105,$Q105)</f>
        <v>0</v>
      </c>
      <c r="T105" s="1">
        <f>MEDIAN($B105,$D105,$F105,$H105,$J105,$L105,$N105,$P105)</f>
        <v>0</v>
      </c>
      <c r="U105" s="1">
        <f>MEDIAN($C105,$E105,$G105,$I105,$K105,$M105,$O105,$Q105)</f>
        <v>0</v>
      </c>
      <c r="V105" s="1">
        <f>MAX($B105,$D105,$F105,$H105,$J105,$L105,$N105,$P105)</f>
        <v>0</v>
      </c>
      <c r="W105" s="1">
        <f>MAX($C105,$E105,$G105,$I105,$K105,$M105,$O105,$Q105)</f>
        <v>0</v>
      </c>
    </row>
    <row r="106" spans="1:23">
      <c r="A106" s="1" t="s">
        <v>103</v>
      </c>
      <c r="B106" s="1"/>
      <c r="C106" s="1"/>
      <c r="D106" s="1" cm="1">
        <f t="array" ref="D106">_xlfn.SWITCH($A$2,"average", AVERAGE(Instances!D106:Instances!D106),"median", MEDIAN(Instances!D106:Instances!D106),"min", MIN(Instances!D106:Instances!D106),"max", MAX(Instances!D106:Instances!D106),"diff", MAX(Instances!D106:Instances!D106)-MIN(Instances!D106:Instances!D106))</f>
        <v>0</v>
      </c>
      <c r="E106" s="1" cm="1">
        <f t="array" ref="E106">_xlfn.SWITCH($A$2,"average", AVERAGE(Instances!E106:Instances!E106),"median", MEDIAN(Instances!E106:Instances!E106),"min", MIN(Instances!E106:Instances!E106),"max", MAX(Instances!E106:Instances!E106),"diff", MAX(Instances!E106:Instances!E106)-MIN(Instances!E106:Instances!E106))</f>
        <v>0</v>
      </c>
      <c r="F106" s="1" cm="1">
        <f t="array" ref="F106">_xlfn.SWITCH($A$2,"average", AVERAGE(Instances!F106:Instances!F106),"median", MEDIAN(Instances!F106:Instances!F106),"min", MIN(Instances!F106:Instances!F106),"max", MAX(Instances!F106:Instances!F106),"diff", MAX(Instances!F106:Instances!F106)-MIN(Instances!F106:Instances!F106))</f>
        <v>0</v>
      </c>
      <c r="G106" s="1" cm="1">
        <f t="array" ref="G106">_xlfn.SWITCH($A$2,"average", AVERAGE(Instances!G106:Instances!G106),"median", MEDIAN(Instances!G106:Instances!G106),"min", MIN(Instances!G106:Instances!G106),"max", MAX(Instances!G106:Instances!G106),"diff", MAX(Instances!G106:Instances!G106)-MIN(Instances!G106:Instances!G106))</f>
        <v>0</v>
      </c>
      <c r="H106" s="1"/>
      <c r="I106" s="1"/>
      <c r="J106" s="1" cm="1">
        <f t="array" ref="J106">_xlfn.SWITCH($A$2,"average", AVERAGE(Instances!J106:Instances!J106),"median", MEDIAN(Instances!J106:Instances!J106),"min", MIN(Instances!J106:Instances!J106),"max", MAX(Instances!J106:Instances!J106),"diff", MAX(Instances!J106:Instances!J106)-MIN(Instances!J106:Instances!J106))</f>
        <v>0</v>
      </c>
      <c r="K106" s="1" cm="1">
        <f t="array" ref="K106">_xlfn.SWITCH($A$2,"average", AVERAGE(Instances!K106:Instances!K106),"median", MEDIAN(Instances!K106:Instances!K106),"min", MIN(Instances!K106:Instances!K106),"max", MAX(Instances!K106:Instances!K106),"diff", MAX(Instances!K106:Instances!K106)-MIN(Instances!K106:Instances!K106))</f>
        <v>0</v>
      </c>
      <c r="L106" s="1" cm="1">
        <f t="array" ref="L106">_xlfn.SWITCH($A$2,"average", AVERAGE(Instances!L106:Instances!L106),"median", MEDIAN(Instances!L106:Instances!L106),"min", MIN(Instances!L106:Instances!L106),"max", MAX(Instances!L106:Instances!L106),"diff", MAX(Instances!L106:Instances!L106)-MIN(Instances!L106:Instances!L106))</f>
        <v>0</v>
      </c>
      <c r="M106" s="1" cm="1">
        <f t="array" ref="M106">_xlfn.SWITCH($A$2,"average", AVERAGE(Instances!M106:Instances!M106),"median", MEDIAN(Instances!M106:Instances!M106),"min", MIN(Instances!M106:Instances!M106),"max", MAX(Instances!M106:Instances!M106),"diff", MAX(Instances!M106:Instances!M106)-MIN(Instances!M106:Instances!M106))</f>
        <v>0</v>
      </c>
      <c r="N106" s="1" cm="1">
        <f t="array" ref="N106">_xlfn.SWITCH($A$2,"average", AVERAGE(Instances!N106:Instances!N106),"median", MEDIAN(Instances!N106:Instances!N106),"min", MIN(Instances!N106:Instances!N106),"max", MAX(Instances!N106:Instances!N106),"diff", MAX(Instances!N106:Instances!N106)-MIN(Instances!N106:Instances!N106))</f>
        <v>0</v>
      </c>
      <c r="O106" s="1" cm="1">
        <f t="array" ref="O106">_xlfn.SWITCH($A$2,"average", AVERAGE(Instances!O106:Instances!O106),"median", MEDIAN(Instances!O106:Instances!O106),"min", MIN(Instances!O106:Instances!O106),"max", MAX(Instances!O106:Instances!O106),"diff", MAX(Instances!O106:Instances!O106)-MIN(Instances!O106:Instances!O106))</f>
        <v>0</v>
      </c>
      <c r="P106" s="1" cm="1">
        <f t="array" ref="P106">_xlfn.SWITCH($A$2,"average", AVERAGE(Instances!P106:Instances!P106),"median", MEDIAN(Instances!P106:Instances!P106),"min", MIN(Instances!P106:Instances!P106),"max", MAX(Instances!P106:Instances!P106),"diff", MAX(Instances!P106:Instances!P106)-MIN(Instances!P106:Instances!P106))</f>
        <v>0</v>
      </c>
      <c r="Q106" s="1" cm="1">
        <f t="array" ref="Q106">_xlfn.SWITCH($A$2,"average", AVERAGE(Instances!Q106:Instances!Q106),"median", MEDIAN(Instances!Q106:Instances!Q106),"min", MIN(Instances!Q106:Instances!Q106),"max", MAX(Instances!Q106:Instances!Q106),"diff", MAX(Instances!Q106:Instances!Q106)-MIN(Instances!Q106:Instances!Q106))</f>
        <v>0</v>
      </c>
      <c r="R106" s="1">
        <f>MIN($B106,$D106,$F106,$H106,$J106,$L106,$N106,$P106)</f>
        <v>0</v>
      </c>
      <c r="S106" s="1">
        <f>MIN($C106,$E106,$G106,$I106,$K106,$M106,$O106,$Q106)</f>
        <v>0</v>
      </c>
      <c r="T106" s="1">
        <f>MEDIAN($B106,$D106,$F106,$H106,$J106,$L106,$N106,$P106)</f>
        <v>0</v>
      </c>
      <c r="U106" s="1">
        <f>MEDIAN($C106,$E106,$G106,$I106,$K106,$M106,$O106,$Q106)</f>
        <v>0</v>
      </c>
      <c r="V106" s="1">
        <f>MAX($B106,$D106,$F106,$H106,$J106,$L106,$N106,$P106)</f>
        <v>0</v>
      </c>
      <c r="W106" s="1">
        <f>MAX($C106,$E106,$G106,$I106,$K106,$M106,$O106,$Q106)</f>
        <v>0</v>
      </c>
    </row>
    <row r="107" spans="1:23">
      <c r="A107" s="1" t="s">
        <v>104</v>
      </c>
      <c r="B107" s="1"/>
      <c r="C107" s="1"/>
      <c r="D107" s="1" cm="1">
        <f t="array" ref="D107">_xlfn.SWITCH($A$2,"average", AVERAGE(Instances!D107:Instances!D107),"median", MEDIAN(Instances!D107:Instances!D107),"min", MIN(Instances!D107:Instances!D107),"max", MAX(Instances!D107:Instances!D107),"diff", MAX(Instances!D107:Instances!D107)-MIN(Instances!D107:Instances!D107))</f>
        <v>0</v>
      </c>
      <c r="E107" s="1" cm="1">
        <f t="array" ref="E107">_xlfn.SWITCH($A$2,"average", AVERAGE(Instances!E107:Instances!E107),"median", MEDIAN(Instances!E107:Instances!E107),"min", MIN(Instances!E107:Instances!E107),"max", MAX(Instances!E107:Instances!E107),"diff", MAX(Instances!E107:Instances!E107)-MIN(Instances!E107:Instances!E107))</f>
        <v>0</v>
      </c>
      <c r="F107" s="1" cm="1">
        <f t="array" ref="F107">_xlfn.SWITCH($A$2,"average", AVERAGE(Instances!F107:Instances!F107),"median", MEDIAN(Instances!F107:Instances!F107),"min", MIN(Instances!F107:Instances!F107),"max", MAX(Instances!F107:Instances!F107),"diff", MAX(Instances!F107:Instances!F107)-MIN(Instances!F107:Instances!F107))</f>
        <v>0</v>
      </c>
      <c r="G107" s="1" cm="1">
        <f t="array" ref="G107">_xlfn.SWITCH($A$2,"average", AVERAGE(Instances!G107:Instances!G107),"median", MEDIAN(Instances!G107:Instances!G107),"min", MIN(Instances!G107:Instances!G107),"max", MAX(Instances!G107:Instances!G107),"diff", MAX(Instances!G107:Instances!G107)-MIN(Instances!G107:Instances!G107))</f>
        <v>0</v>
      </c>
      <c r="H107" s="1"/>
      <c r="I107" s="1"/>
      <c r="J107" s="1" cm="1">
        <f t="array" ref="J107">_xlfn.SWITCH($A$2,"average", AVERAGE(Instances!J107:Instances!J107),"median", MEDIAN(Instances!J107:Instances!J107),"min", MIN(Instances!J107:Instances!J107),"max", MAX(Instances!J107:Instances!J107),"diff", MAX(Instances!J107:Instances!J107)-MIN(Instances!J107:Instances!J107))</f>
        <v>0</v>
      </c>
      <c r="K107" s="1" cm="1">
        <f t="array" ref="K107">_xlfn.SWITCH($A$2,"average", AVERAGE(Instances!K107:Instances!K107),"median", MEDIAN(Instances!K107:Instances!K107),"min", MIN(Instances!K107:Instances!K107),"max", MAX(Instances!K107:Instances!K107),"diff", MAX(Instances!K107:Instances!K107)-MIN(Instances!K107:Instances!K107))</f>
        <v>0</v>
      </c>
      <c r="L107" s="1" cm="1">
        <f t="array" ref="L107">_xlfn.SWITCH($A$2,"average", AVERAGE(Instances!L107:Instances!L107),"median", MEDIAN(Instances!L107:Instances!L107),"min", MIN(Instances!L107:Instances!L107),"max", MAX(Instances!L107:Instances!L107),"diff", MAX(Instances!L107:Instances!L107)-MIN(Instances!L107:Instances!L107))</f>
        <v>0</v>
      </c>
      <c r="M107" s="1" cm="1">
        <f t="array" ref="M107">_xlfn.SWITCH($A$2,"average", AVERAGE(Instances!M107:Instances!M107),"median", MEDIAN(Instances!M107:Instances!M107),"min", MIN(Instances!M107:Instances!M107),"max", MAX(Instances!M107:Instances!M107),"diff", MAX(Instances!M107:Instances!M107)-MIN(Instances!M107:Instances!M107))</f>
        <v>0</v>
      </c>
      <c r="N107" s="1" cm="1">
        <f t="array" ref="N107">_xlfn.SWITCH($A$2,"average", AVERAGE(Instances!N107:Instances!N107),"median", MEDIAN(Instances!N107:Instances!N107),"min", MIN(Instances!N107:Instances!N107),"max", MAX(Instances!N107:Instances!N107),"diff", MAX(Instances!N107:Instances!N107)-MIN(Instances!N107:Instances!N107))</f>
        <v>0</v>
      </c>
      <c r="O107" s="1" cm="1">
        <f t="array" ref="O107">_xlfn.SWITCH($A$2,"average", AVERAGE(Instances!O107:Instances!O107),"median", MEDIAN(Instances!O107:Instances!O107),"min", MIN(Instances!O107:Instances!O107),"max", MAX(Instances!O107:Instances!O107),"diff", MAX(Instances!O107:Instances!O107)-MIN(Instances!O107:Instances!O107))</f>
        <v>0</v>
      </c>
      <c r="P107" s="1" cm="1">
        <f t="array" ref="P107">_xlfn.SWITCH($A$2,"average", AVERAGE(Instances!P107:Instances!P107),"median", MEDIAN(Instances!P107:Instances!P107),"min", MIN(Instances!P107:Instances!P107),"max", MAX(Instances!P107:Instances!P107),"diff", MAX(Instances!P107:Instances!P107)-MIN(Instances!P107:Instances!P107))</f>
        <v>0</v>
      </c>
      <c r="Q107" s="1" cm="1">
        <f t="array" ref="Q107">_xlfn.SWITCH($A$2,"average", AVERAGE(Instances!Q107:Instances!Q107),"median", MEDIAN(Instances!Q107:Instances!Q107),"min", MIN(Instances!Q107:Instances!Q107),"max", MAX(Instances!Q107:Instances!Q107),"diff", MAX(Instances!Q107:Instances!Q107)-MIN(Instances!Q107:Instances!Q107))</f>
        <v>0</v>
      </c>
      <c r="R107" s="1">
        <f>MIN($B107,$D107,$F107,$H107,$J107,$L107,$N107,$P107)</f>
        <v>0</v>
      </c>
      <c r="S107" s="1">
        <f>MIN($C107,$E107,$G107,$I107,$K107,$M107,$O107,$Q107)</f>
        <v>0</v>
      </c>
      <c r="T107" s="1">
        <f>MEDIAN($B107,$D107,$F107,$H107,$J107,$L107,$N107,$P107)</f>
        <v>0</v>
      </c>
      <c r="U107" s="1">
        <f>MEDIAN($C107,$E107,$G107,$I107,$K107,$M107,$O107,$Q107)</f>
        <v>0</v>
      </c>
      <c r="V107" s="1">
        <f>MAX($B107,$D107,$F107,$H107,$J107,$L107,$N107,$P107)</f>
        <v>0</v>
      </c>
      <c r="W107" s="1">
        <f>MAX($C107,$E107,$G107,$I107,$K107,$M107,$O107,$Q107)</f>
        <v>0</v>
      </c>
    </row>
    <row r="108" spans="1:23">
      <c r="A108" s="1" t="s">
        <v>105</v>
      </c>
      <c r="B108" s="1"/>
      <c r="C108" s="1"/>
      <c r="D108" s="1" cm="1">
        <f t="array" ref="D108">_xlfn.SWITCH($A$2,"average", AVERAGE(Instances!D108:Instances!D108),"median", MEDIAN(Instances!D108:Instances!D108),"min", MIN(Instances!D108:Instances!D108),"max", MAX(Instances!D108:Instances!D108),"diff", MAX(Instances!D108:Instances!D108)-MIN(Instances!D108:Instances!D108))</f>
        <v>0</v>
      </c>
      <c r="E108" s="1" cm="1">
        <f t="array" ref="E108">_xlfn.SWITCH($A$2,"average", AVERAGE(Instances!E108:Instances!E108),"median", MEDIAN(Instances!E108:Instances!E108),"min", MIN(Instances!E108:Instances!E108),"max", MAX(Instances!E108:Instances!E108),"diff", MAX(Instances!E108:Instances!E108)-MIN(Instances!E108:Instances!E108))</f>
        <v>0</v>
      </c>
      <c r="F108" s="1" cm="1">
        <f t="array" ref="F108">_xlfn.SWITCH($A$2,"average", AVERAGE(Instances!F108:Instances!F108),"median", MEDIAN(Instances!F108:Instances!F108),"min", MIN(Instances!F108:Instances!F108),"max", MAX(Instances!F108:Instances!F108),"diff", MAX(Instances!F108:Instances!F108)-MIN(Instances!F108:Instances!F108))</f>
        <v>0</v>
      </c>
      <c r="G108" s="1" cm="1">
        <f t="array" ref="G108">_xlfn.SWITCH($A$2,"average", AVERAGE(Instances!G108:Instances!G108),"median", MEDIAN(Instances!G108:Instances!G108),"min", MIN(Instances!G108:Instances!G108),"max", MAX(Instances!G108:Instances!G108),"diff", MAX(Instances!G108:Instances!G108)-MIN(Instances!G108:Instances!G108))</f>
        <v>0</v>
      </c>
      <c r="H108" s="1"/>
      <c r="I108" s="1"/>
      <c r="J108" s="1" cm="1">
        <f t="array" ref="J108">_xlfn.SWITCH($A$2,"average", AVERAGE(Instances!J108:Instances!J108),"median", MEDIAN(Instances!J108:Instances!J108),"min", MIN(Instances!J108:Instances!J108),"max", MAX(Instances!J108:Instances!J108),"diff", MAX(Instances!J108:Instances!J108)-MIN(Instances!J108:Instances!J108))</f>
        <v>0</v>
      </c>
      <c r="K108" s="1" cm="1">
        <f t="array" ref="K108">_xlfn.SWITCH($A$2,"average", AVERAGE(Instances!K108:Instances!K108),"median", MEDIAN(Instances!K108:Instances!K108),"min", MIN(Instances!K108:Instances!K108),"max", MAX(Instances!K108:Instances!K108),"diff", MAX(Instances!K108:Instances!K108)-MIN(Instances!K108:Instances!K108))</f>
        <v>0</v>
      </c>
      <c r="L108" s="1" cm="1">
        <f t="array" ref="L108">_xlfn.SWITCH($A$2,"average", AVERAGE(Instances!L108:Instances!L108),"median", MEDIAN(Instances!L108:Instances!L108),"min", MIN(Instances!L108:Instances!L108),"max", MAX(Instances!L108:Instances!L108),"diff", MAX(Instances!L108:Instances!L108)-MIN(Instances!L108:Instances!L108))</f>
        <v>0</v>
      </c>
      <c r="M108" s="1" cm="1">
        <f t="array" ref="M108">_xlfn.SWITCH($A$2,"average", AVERAGE(Instances!M108:Instances!M108),"median", MEDIAN(Instances!M108:Instances!M108),"min", MIN(Instances!M108:Instances!M108),"max", MAX(Instances!M108:Instances!M108),"diff", MAX(Instances!M108:Instances!M108)-MIN(Instances!M108:Instances!M108))</f>
        <v>0</v>
      </c>
      <c r="N108" s="1" cm="1">
        <f t="array" ref="N108">_xlfn.SWITCH($A$2,"average", AVERAGE(Instances!N108:Instances!N108),"median", MEDIAN(Instances!N108:Instances!N108),"min", MIN(Instances!N108:Instances!N108),"max", MAX(Instances!N108:Instances!N108),"diff", MAX(Instances!N108:Instances!N108)-MIN(Instances!N108:Instances!N108))</f>
        <v>0</v>
      </c>
      <c r="O108" s="1" cm="1">
        <f t="array" ref="O108">_xlfn.SWITCH($A$2,"average", AVERAGE(Instances!O108:Instances!O108),"median", MEDIAN(Instances!O108:Instances!O108),"min", MIN(Instances!O108:Instances!O108),"max", MAX(Instances!O108:Instances!O108),"diff", MAX(Instances!O108:Instances!O108)-MIN(Instances!O108:Instances!O108))</f>
        <v>0</v>
      </c>
      <c r="P108" s="1" cm="1">
        <f t="array" ref="P108">_xlfn.SWITCH($A$2,"average", AVERAGE(Instances!P108:Instances!P108),"median", MEDIAN(Instances!P108:Instances!P108),"min", MIN(Instances!P108:Instances!P108),"max", MAX(Instances!P108:Instances!P108),"diff", MAX(Instances!P108:Instances!P108)-MIN(Instances!P108:Instances!P108))</f>
        <v>0</v>
      </c>
      <c r="Q108" s="1" cm="1">
        <f t="array" ref="Q108">_xlfn.SWITCH($A$2,"average", AVERAGE(Instances!Q108:Instances!Q108),"median", MEDIAN(Instances!Q108:Instances!Q108),"min", MIN(Instances!Q108:Instances!Q108),"max", MAX(Instances!Q108:Instances!Q108),"diff", MAX(Instances!Q108:Instances!Q108)-MIN(Instances!Q108:Instances!Q108))</f>
        <v>0</v>
      </c>
      <c r="R108" s="1">
        <f>MIN($B108,$D108,$F108,$H108,$J108,$L108,$N108,$P108)</f>
        <v>0</v>
      </c>
      <c r="S108" s="1">
        <f>MIN($C108,$E108,$G108,$I108,$K108,$M108,$O108,$Q108)</f>
        <v>0</v>
      </c>
      <c r="T108" s="1">
        <f>MEDIAN($B108,$D108,$F108,$H108,$J108,$L108,$N108,$P108)</f>
        <v>0</v>
      </c>
      <c r="U108" s="1">
        <f>MEDIAN($C108,$E108,$G108,$I108,$K108,$M108,$O108,$Q108)</f>
        <v>0</v>
      </c>
      <c r="V108" s="1">
        <f>MAX($B108,$D108,$F108,$H108,$J108,$L108,$N108,$P108)</f>
        <v>0</v>
      </c>
      <c r="W108" s="1">
        <f>MAX($C108,$E108,$G108,$I108,$K108,$M108,$O108,$Q108)</f>
        <v>0</v>
      </c>
    </row>
    <row r="109" spans="1:23">
      <c r="A109" s="1" t="s">
        <v>106</v>
      </c>
      <c r="B109" s="1"/>
      <c r="C109" s="1"/>
      <c r="D109" s="1" cm="1">
        <f t="array" ref="D109">_xlfn.SWITCH($A$2,"average", AVERAGE(Instances!D109:Instances!D109),"median", MEDIAN(Instances!D109:Instances!D109),"min", MIN(Instances!D109:Instances!D109),"max", MAX(Instances!D109:Instances!D109),"diff", MAX(Instances!D109:Instances!D109)-MIN(Instances!D109:Instances!D109))</f>
        <v>0</v>
      </c>
      <c r="E109" s="1" cm="1">
        <f t="array" ref="E109">_xlfn.SWITCH($A$2,"average", AVERAGE(Instances!E109:Instances!E109),"median", MEDIAN(Instances!E109:Instances!E109),"min", MIN(Instances!E109:Instances!E109),"max", MAX(Instances!E109:Instances!E109),"diff", MAX(Instances!E109:Instances!E109)-MIN(Instances!E109:Instances!E109))</f>
        <v>0</v>
      </c>
      <c r="F109" s="1" cm="1">
        <f t="array" ref="F109">_xlfn.SWITCH($A$2,"average", AVERAGE(Instances!F109:Instances!F109),"median", MEDIAN(Instances!F109:Instances!F109),"min", MIN(Instances!F109:Instances!F109),"max", MAX(Instances!F109:Instances!F109),"diff", MAX(Instances!F109:Instances!F109)-MIN(Instances!F109:Instances!F109))</f>
        <v>0</v>
      </c>
      <c r="G109" s="1" cm="1">
        <f t="array" ref="G109">_xlfn.SWITCH($A$2,"average", AVERAGE(Instances!G109:Instances!G109),"median", MEDIAN(Instances!G109:Instances!G109),"min", MIN(Instances!G109:Instances!G109),"max", MAX(Instances!G109:Instances!G109),"diff", MAX(Instances!G109:Instances!G109)-MIN(Instances!G109:Instances!G109))</f>
        <v>0</v>
      </c>
      <c r="H109" s="1"/>
      <c r="I109" s="1"/>
      <c r="J109" s="1" cm="1">
        <f t="array" ref="J109">_xlfn.SWITCH($A$2,"average", AVERAGE(Instances!J109:Instances!J109),"median", MEDIAN(Instances!J109:Instances!J109),"min", MIN(Instances!J109:Instances!J109),"max", MAX(Instances!J109:Instances!J109),"diff", MAX(Instances!J109:Instances!J109)-MIN(Instances!J109:Instances!J109))</f>
        <v>0</v>
      </c>
      <c r="K109" s="1" cm="1">
        <f t="array" ref="K109">_xlfn.SWITCH($A$2,"average", AVERAGE(Instances!K109:Instances!K109),"median", MEDIAN(Instances!K109:Instances!K109),"min", MIN(Instances!K109:Instances!K109),"max", MAX(Instances!K109:Instances!K109),"diff", MAX(Instances!K109:Instances!K109)-MIN(Instances!K109:Instances!K109))</f>
        <v>0</v>
      </c>
      <c r="L109" s="1" cm="1">
        <f t="array" ref="L109">_xlfn.SWITCH($A$2,"average", AVERAGE(Instances!L109:Instances!L109),"median", MEDIAN(Instances!L109:Instances!L109),"min", MIN(Instances!L109:Instances!L109),"max", MAX(Instances!L109:Instances!L109),"diff", MAX(Instances!L109:Instances!L109)-MIN(Instances!L109:Instances!L109))</f>
        <v>0</v>
      </c>
      <c r="M109" s="1" cm="1">
        <f t="array" ref="M109">_xlfn.SWITCH($A$2,"average", AVERAGE(Instances!M109:Instances!M109),"median", MEDIAN(Instances!M109:Instances!M109),"min", MIN(Instances!M109:Instances!M109),"max", MAX(Instances!M109:Instances!M109),"diff", MAX(Instances!M109:Instances!M109)-MIN(Instances!M109:Instances!M109))</f>
        <v>0</v>
      </c>
      <c r="N109" s="1" cm="1">
        <f t="array" ref="N109">_xlfn.SWITCH($A$2,"average", AVERAGE(Instances!N109:Instances!N109),"median", MEDIAN(Instances!N109:Instances!N109),"min", MIN(Instances!N109:Instances!N109),"max", MAX(Instances!N109:Instances!N109),"diff", MAX(Instances!N109:Instances!N109)-MIN(Instances!N109:Instances!N109))</f>
        <v>0</v>
      </c>
      <c r="O109" s="1" cm="1">
        <f t="array" ref="O109">_xlfn.SWITCH($A$2,"average", AVERAGE(Instances!O109:Instances!O109),"median", MEDIAN(Instances!O109:Instances!O109),"min", MIN(Instances!O109:Instances!O109),"max", MAX(Instances!O109:Instances!O109),"diff", MAX(Instances!O109:Instances!O109)-MIN(Instances!O109:Instances!O109))</f>
        <v>0</v>
      </c>
      <c r="P109" s="1" cm="1">
        <f t="array" ref="P109">_xlfn.SWITCH($A$2,"average", AVERAGE(Instances!P109:Instances!P109),"median", MEDIAN(Instances!P109:Instances!P109),"min", MIN(Instances!P109:Instances!P109),"max", MAX(Instances!P109:Instances!P109),"diff", MAX(Instances!P109:Instances!P109)-MIN(Instances!P109:Instances!P109))</f>
        <v>0</v>
      </c>
      <c r="Q109" s="1" cm="1">
        <f t="array" ref="Q109">_xlfn.SWITCH($A$2,"average", AVERAGE(Instances!Q109:Instances!Q109),"median", MEDIAN(Instances!Q109:Instances!Q109),"min", MIN(Instances!Q109:Instances!Q109),"max", MAX(Instances!Q109:Instances!Q109),"diff", MAX(Instances!Q109:Instances!Q109)-MIN(Instances!Q109:Instances!Q109))</f>
        <v>0</v>
      </c>
      <c r="R109" s="1">
        <f>MIN($B109,$D109,$F109,$H109,$J109,$L109,$N109,$P109)</f>
        <v>0</v>
      </c>
      <c r="S109" s="1">
        <f>MIN($C109,$E109,$G109,$I109,$K109,$M109,$O109,$Q109)</f>
        <v>0</v>
      </c>
      <c r="T109" s="1">
        <f>MEDIAN($B109,$D109,$F109,$H109,$J109,$L109,$N109,$P109)</f>
        <v>0</v>
      </c>
      <c r="U109" s="1">
        <f>MEDIAN($C109,$E109,$G109,$I109,$K109,$M109,$O109,$Q109)</f>
        <v>0</v>
      </c>
      <c r="V109" s="1">
        <f>MAX($B109,$D109,$F109,$H109,$J109,$L109,$N109,$P109)</f>
        <v>0</v>
      </c>
      <c r="W109" s="1">
        <f>MAX($C109,$E109,$G109,$I109,$K109,$M109,$O109,$Q109)</f>
        <v>0</v>
      </c>
    </row>
    <row r="110" spans="1:23">
      <c r="A110" s="1" t="s">
        <v>107</v>
      </c>
      <c r="B110" s="1"/>
      <c r="C110" s="1"/>
      <c r="D110" s="1" cm="1">
        <f t="array" ref="D110">_xlfn.SWITCH($A$2,"average", AVERAGE(Instances!D110:Instances!D110),"median", MEDIAN(Instances!D110:Instances!D110),"min", MIN(Instances!D110:Instances!D110),"max", MAX(Instances!D110:Instances!D110),"diff", MAX(Instances!D110:Instances!D110)-MIN(Instances!D110:Instances!D110))</f>
        <v>0</v>
      </c>
      <c r="E110" s="1" cm="1">
        <f t="array" ref="E110">_xlfn.SWITCH($A$2,"average", AVERAGE(Instances!E110:Instances!E110),"median", MEDIAN(Instances!E110:Instances!E110),"min", MIN(Instances!E110:Instances!E110),"max", MAX(Instances!E110:Instances!E110),"diff", MAX(Instances!E110:Instances!E110)-MIN(Instances!E110:Instances!E110))</f>
        <v>0</v>
      </c>
      <c r="F110" s="1" cm="1">
        <f t="array" ref="F110">_xlfn.SWITCH($A$2,"average", AVERAGE(Instances!F110:Instances!F110),"median", MEDIAN(Instances!F110:Instances!F110),"min", MIN(Instances!F110:Instances!F110),"max", MAX(Instances!F110:Instances!F110),"diff", MAX(Instances!F110:Instances!F110)-MIN(Instances!F110:Instances!F110))</f>
        <v>0</v>
      </c>
      <c r="G110" s="1" cm="1">
        <f t="array" ref="G110">_xlfn.SWITCH($A$2,"average", AVERAGE(Instances!G110:Instances!G110),"median", MEDIAN(Instances!G110:Instances!G110),"min", MIN(Instances!G110:Instances!G110),"max", MAX(Instances!G110:Instances!G110),"diff", MAX(Instances!G110:Instances!G110)-MIN(Instances!G110:Instances!G110))</f>
        <v>0</v>
      </c>
      <c r="H110" s="1"/>
      <c r="I110" s="1"/>
      <c r="J110" s="1" cm="1">
        <f t="array" ref="J110">_xlfn.SWITCH($A$2,"average", AVERAGE(Instances!J110:Instances!J110),"median", MEDIAN(Instances!J110:Instances!J110),"min", MIN(Instances!J110:Instances!J110),"max", MAX(Instances!J110:Instances!J110),"diff", MAX(Instances!J110:Instances!J110)-MIN(Instances!J110:Instances!J110))</f>
        <v>0</v>
      </c>
      <c r="K110" s="1" cm="1">
        <f t="array" ref="K110">_xlfn.SWITCH($A$2,"average", AVERAGE(Instances!K110:Instances!K110),"median", MEDIAN(Instances!K110:Instances!K110),"min", MIN(Instances!K110:Instances!K110),"max", MAX(Instances!K110:Instances!K110),"diff", MAX(Instances!K110:Instances!K110)-MIN(Instances!K110:Instances!K110))</f>
        <v>0</v>
      </c>
      <c r="L110" s="1" cm="1">
        <f t="array" ref="L110">_xlfn.SWITCH($A$2,"average", AVERAGE(Instances!L110:Instances!L110),"median", MEDIAN(Instances!L110:Instances!L110),"min", MIN(Instances!L110:Instances!L110),"max", MAX(Instances!L110:Instances!L110),"diff", MAX(Instances!L110:Instances!L110)-MIN(Instances!L110:Instances!L110))</f>
        <v>0</v>
      </c>
      <c r="M110" s="1" cm="1">
        <f t="array" ref="M110">_xlfn.SWITCH($A$2,"average", AVERAGE(Instances!M110:Instances!M110),"median", MEDIAN(Instances!M110:Instances!M110),"min", MIN(Instances!M110:Instances!M110),"max", MAX(Instances!M110:Instances!M110),"diff", MAX(Instances!M110:Instances!M110)-MIN(Instances!M110:Instances!M110))</f>
        <v>0</v>
      </c>
      <c r="N110" s="1" cm="1">
        <f t="array" ref="N110">_xlfn.SWITCH($A$2,"average", AVERAGE(Instances!N110:Instances!N110),"median", MEDIAN(Instances!N110:Instances!N110),"min", MIN(Instances!N110:Instances!N110),"max", MAX(Instances!N110:Instances!N110),"diff", MAX(Instances!N110:Instances!N110)-MIN(Instances!N110:Instances!N110))</f>
        <v>0</v>
      </c>
      <c r="O110" s="1" cm="1">
        <f t="array" ref="O110">_xlfn.SWITCH($A$2,"average", AVERAGE(Instances!O110:Instances!O110),"median", MEDIAN(Instances!O110:Instances!O110),"min", MIN(Instances!O110:Instances!O110),"max", MAX(Instances!O110:Instances!O110),"diff", MAX(Instances!O110:Instances!O110)-MIN(Instances!O110:Instances!O110))</f>
        <v>0</v>
      </c>
      <c r="P110" s="1" cm="1">
        <f t="array" ref="P110">_xlfn.SWITCH($A$2,"average", AVERAGE(Instances!P110:Instances!P110),"median", MEDIAN(Instances!P110:Instances!P110),"min", MIN(Instances!P110:Instances!P110),"max", MAX(Instances!P110:Instances!P110),"diff", MAX(Instances!P110:Instances!P110)-MIN(Instances!P110:Instances!P110))</f>
        <v>0</v>
      </c>
      <c r="Q110" s="1" cm="1">
        <f t="array" ref="Q110">_xlfn.SWITCH($A$2,"average", AVERAGE(Instances!Q110:Instances!Q110),"median", MEDIAN(Instances!Q110:Instances!Q110),"min", MIN(Instances!Q110:Instances!Q110),"max", MAX(Instances!Q110:Instances!Q110),"diff", MAX(Instances!Q110:Instances!Q110)-MIN(Instances!Q110:Instances!Q110))</f>
        <v>0</v>
      </c>
      <c r="R110" s="1">
        <f>MIN($B110,$D110,$F110,$H110,$J110,$L110,$N110,$P110)</f>
        <v>0</v>
      </c>
      <c r="S110" s="1">
        <f>MIN($C110,$E110,$G110,$I110,$K110,$M110,$O110,$Q110)</f>
        <v>0</v>
      </c>
      <c r="T110" s="1">
        <f>MEDIAN($B110,$D110,$F110,$H110,$J110,$L110,$N110,$P110)</f>
        <v>0</v>
      </c>
      <c r="U110" s="1">
        <f>MEDIAN($C110,$E110,$G110,$I110,$K110,$M110,$O110,$Q110)</f>
        <v>0</v>
      </c>
      <c r="V110" s="1">
        <f>MAX($B110,$D110,$F110,$H110,$J110,$L110,$N110,$P110)</f>
        <v>0</v>
      </c>
      <c r="W110" s="1">
        <f>MAX($C110,$E110,$G110,$I110,$K110,$M110,$O110,$Q110)</f>
        <v>0</v>
      </c>
    </row>
    <row r="111" spans="1:23">
      <c r="A111" s="1" t="s">
        <v>108</v>
      </c>
      <c r="B111" s="1"/>
      <c r="C111" s="1"/>
      <c r="D111" s="1" cm="1">
        <f t="array" ref="D111">_xlfn.SWITCH($A$2,"average", AVERAGE(Instances!D111:Instances!D111),"median", MEDIAN(Instances!D111:Instances!D111),"min", MIN(Instances!D111:Instances!D111),"max", MAX(Instances!D111:Instances!D111),"diff", MAX(Instances!D111:Instances!D111)-MIN(Instances!D111:Instances!D111))</f>
        <v>0</v>
      </c>
      <c r="E111" s="1" cm="1">
        <f t="array" ref="E111">_xlfn.SWITCH($A$2,"average", AVERAGE(Instances!E111:Instances!E111),"median", MEDIAN(Instances!E111:Instances!E111),"min", MIN(Instances!E111:Instances!E111),"max", MAX(Instances!E111:Instances!E111),"diff", MAX(Instances!E111:Instances!E111)-MIN(Instances!E111:Instances!E111))</f>
        <v>0</v>
      </c>
      <c r="F111" s="1" cm="1">
        <f t="array" ref="F111">_xlfn.SWITCH($A$2,"average", AVERAGE(Instances!F111:Instances!F111),"median", MEDIAN(Instances!F111:Instances!F111),"min", MIN(Instances!F111:Instances!F111),"max", MAX(Instances!F111:Instances!F111),"diff", MAX(Instances!F111:Instances!F111)-MIN(Instances!F111:Instances!F111))</f>
        <v>0</v>
      </c>
      <c r="G111" s="1" cm="1">
        <f t="array" ref="G111">_xlfn.SWITCH($A$2,"average", AVERAGE(Instances!G111:Instances!G111),"median", MEDIAN(Instances!G111:Instances!G111),"min", MIN(Instances!G111:Instances!G111),"max", MAX(Instances!G111:Instances!G111),"diff", MAX(Instances!G111:Instances!G111)-MIN(Instances!G111:Instances!G111))</f>
        <v>0</v>
      </c>
      <c r="H111" s="1"/>
      <c r="I111" s="1"/>
      <c r="J111" s="1" cm="1">
        <f t="array" ref="J111">_xlfn.SWITCH($A$2,"average", AVERAGE(Instances!J111:Instances!J111),"median", MEDIAN(Instances!J111:Instances!J111),"min", MIN(Instances!J111:Instances!J111),"max", MAX(Instances!J111:Instances!J111),"diff", MAX(Instances!J111:Instances!J111)-MIN(Instances!J111:Instances!J111))</f>
        <v>0</v>
      </c>
      <c r="K111" s="1" cm="1">
        <f t="array" ref="K111">_xlfn.SWITCH($A$2,"average", AVERAGE(Instances!K111:Instances!K111),"median", MEDIAN(Instances!K111:Instances!K111),"min", MIN(Instances!K111:Instances!K111),"max", MAX(Instances!K111:Instances!K111),"diff", MAX(Instances!K111:Instances!K111)-MIN(Instances!K111:Instances!K111))</f>
        <v>0</v>
      </c>
      <c r="L111" s="1" cm="1">
        <f t="array" ref="L111">_xlfn.SWITCH($A$2,"average", AVERAGE(Instances!L111:Instances!L111),"median", MEDIAN(Instances!L111:Instances!L111),"min", MIN(Instances!L111:Instances!L111),"max", MAX(Instances!L111:Instances!L111),"diff", MAX(Instances!L111:Instances!L111)-MIN(Instances!L111:Instances!L111))</f>
        <v>0</v>
      </c>
      <c r="M111" s="1" cm="1">
        <f t="array" ref="M111">_xlfn.SWITCH($A$2,"average", AVERAGE(Instances!M111:Instances!M111),"median", MEDIAN(Instances!M111:Instances!M111),"min", MIN(Instances!M111:Instances!M111),"max", MAX(Instances!M111:Instances!M111),"diff", MAX(Instances!M111:Instances!M111)-MIN(Instances!M111:Instances!M111))</f>
        <v>0</v>
      </c>
      <c r="N111" s="1" cm="1">
        <f t="array" ref="N111">_xlfn.SWITCH($A$2,"average", AVERAGE(Instances!N111:Instances!N111),"median", MEDIAN(Instances!N111:Instances!N111),"min", MIN(Instances!N111:Instances!N111),"max", MAX(Instances!N111:Instances!N111),"diff", MAX(Instances!N111:Instances!N111)-MIN(Instances!N111:Instances!N111))</f>
        <v>0</v>
      </c>
      <c r="O111" s="1" cm="1">
        <f t="array" ref="O111">_xlfn.SWITCH($A$2,"average", AVERAGE(Instances!O111:Instances!O111),"median", MEDIAN(Instances!O111:Instances!O111),"min", MIN(Instances!O111:Instances!O111),"max", MAX(Instances!O111:Instances!O111),"diff", MAX(Instances!O111:Instances!O111)-MIN(Instances!O111:Instances!O111))</f>
        <v>0</v>
      </c>
      <c r="P111" s="1" cm="1">
        <f t="array" ref="P111">_xlfn.SWITCH($A$2,"average", AVERAGE(Instances!P111:Instances!P111),"median", MEDIAN(Instances!P111:Instances!P111),"min", MIN(Instances!P111:Instances!P111),"max", MAX(Instances!P111:Instances!P111),"diff", MAX(Instances!P111:Instances!P111)-MIN(Instances!P111:Instances!P111))</f>
        <v>0</v>
      </c>
      <c r="Q111" s="1" cm="1">
        <f t="array" ref="Q111">_xlfn.SWITCH($A$2,"average", AVERAGE(Instances!Q111:Instances!Q111),"median", MEDIAN(Instances!Q111:Instances!Q111),"min", MIN(Instances!Q111:Instances!Q111),"max", MAX(Instances!Q111:Instances!Q111),"diff", MAX(Instances!Q111:Instances!Q111)-MIN(Instances!Q111:Instances!Q111))</f>
        <v>0</v>
      </c>
      <c r="R111" s="1">
        <f>MIN($B111,$D111,$F111,$H111,$J111,$L111,$N111,$P111)</f>
        <v>0</v>
      </c>
      <c r="S111" s="1">
        <f>MIN($C111,$E111,$G111,$I111,$K111,$M111,$O111,$Q111)</f>
        <v>0</v>
      </c>
      <c r="T111" s="1">
        <f>MEDIAN($B111,$D111,$F111,$H111,$J111,$L111,$N111,$P111)</f>
        <v>0</v>
      </c>
      <c r="U111" s="1">
        <f>MEDIAN($C111,$E111,$G111,$I111,$K111,$M111,$O111,$Q111)</f>
        <v>0</v>
      </c>
      <c r="V111" s="1">
        <f>MAX($B111,$D111,$F111,$H111,$J111,$L111,$N111,$P111)</f>
        <v>0</v>
      </c>
      <c r="W111" s="1">
        <f>MAX($C111,$E111,$G111,$I111,$K111,$M111,$O111,$Q111)</f>
        <v>0</v>
      </c>
    </row>
    <row r="112" spans="1:23">
      <c r="A112" s="1" t="s">
        <v>109</v>
      </c>
      <c r="B112" s="1"/>
      <c r="C112" s="1"/>
      <c r="D112" s="1" cm="1">
        <f t="array" ref="D112">_xlfn.SWITCH($A$2,"average", AVERAGE(Instances!D112:Instances!D112),"median", MEDIAN(Instances!D112:Instances!D112),"min", MIN(Instances!D112:Instances!D112),"max", MAX(Instances!D112:Instances!D112),"diff", MAX(Instances!D112:Instances!D112)-MIN(Instances!D112:Instances!D112))</f>
        <v>0</v>
      </c>
      <c r="E112" s="1" cm="1">
        <f t="array" ref="E112">_xlfn.SWITCH($A$2,"average", AVERAGE(Instances!E112:Instances!E112),"median", MEDIAN(Instances!E112:Instances!E112),"min", MIN(Instances!E112:Instances!E112),"max", MAX(Instances!E112:Instances!E112),"diff", MAX(Instances!E112:Instances!E112)-MIN(Instances!E112:Instances!E112))</f>
        <v>0</v>
      </c>
      <c r="F112" s="1" cm="1">
        <f t="array" ref="F112">_xlfn.SWITCH($A$2,"average", AVERAGE(Instances!F112:Instances!F112),"median", MEDIAN(Instances!F112:Instances!F112),"min", MIN(Instances!F112:Instances!F112),"max", MAX(Instances!F112:Instances!F112),"diff", MAX(Instances!F112:Instances!F112)-MIN(Instances!F112:Instances!F112))</f>
        <v>0</v>
      </c>
      <c r="G112" s="1" cm="1">
        <f t="array" ref="G112">_xlfn.SWITCH($A$2,"average", AVERAGE(Instances!G112:Instances!G112),"median", MEDIAN(Instances!G112:Instances!G112),"min", MIN(Instances!G112:Instances!G112),"max", MAX(Instances!G112:Instances!G112),"diff", MAX(Instances!G112:Instances!G112)-MIN(Instances!G112:Instances!G112))</f>
        <v>0</v>
      </c>
      <c r="H112" s="1"/>
      <c r="I112" s="1"/>
      <c r="J112" s="1" cm="1">
        <f t="array" ref="J112">_xlfn.SWITCH($A$2,"average", AVERAGE(Instances!J112:Instances!J112),"median", MEDIAN(Instances!J112:Instances!J112),"min", MIN(Instances!J112:Instances!J112),"max", MAX(Instances!J112:Instances!J112),"diff", MAX(Instances!J112:Instances!J112)-MIN(Instances!J112:Instances!J112))</f>
        <v>0</v>
      </c>
      <c r="K112" s="1" cm="1">
        <f t="array" ref="K112">_xlfn.SWITCH($A$2,"average", AVERAGE(Instances!K112:Instances!K112),"median", MEDIAN(Instances!K112:Instances!K112),"min", MIN(Instances!K112:Instances!K112),"max", MAX(Instances!K112:Instances!K112),"diff", MAX(Instances!K112:Instances!K112)-MIN(Instances!K112:Instances!K112))</f>
        <v>0</v>
      </c>
      <c r="L112" s="1" cm="1">
        <f t="array" ref="L112">_xlfn.SWITCH($A$2,"average", AVERAGE(Instances!L112:Instances!L112),"median", MEDIAN(Instances!L112:Instances!L112),"min", MIN(Instances!L112:Instances!L112),"max", MAX(Instances!L112:Instances!L112),"diff", MAX(Instances!L112:Instances!L112)-MIN(Instances!L112:Instances!L112))</f>
        <v>0</v>
      </c>
      <c r="M112" s="1" cm="1">
        <f t="array" ref="M112">_xlfn.SWITCH($A$2,"average", AVERAGE(Instances!M112:Instances!M112),"median", MEDIAN(Instances!M112:Instances!M112),"min", MIN(Instances!M112:Instances!M112),"max", MAX(Instances!M112:Instances!M112),"diff", MAX(Instances!M112:Instances!M112)-MIN(Instances!M112:Instances!M112))</f>
        <v>0</v>
      </c>
      <c r="N112" s="1" cm="1">
        <f t="array" ref="N112">_xlfn.SWITCH($A$2,"average", AVERAGE(Instances!N112:Instances!N112),"median", MEDIAN(Instances!N112:Instances!N112),"min", MIN(Instances!N112:Instances!N112),"max", MAX(Instances!N112:Instances!N112),"diff", MAX(Instances!N112:Instances!N112)-MIN(Instances!N112:Instances!N112))</f>
        <v>0</v>
      </c>
      <c r="O112" s="1" cm="1">
        <f t="array" ref="O112">_xlfn.SWITCH($A$2,"average", AVERAGE(Instances!O112:Instances!O112),"median", MEDIAN(Instances!O112:Instances!O112),"min", MIN(Instances!O112:Instances!O112),"max", MAX(Instances!O112:Instances!O112),"diff", MAX(Instances!O112:Instances!O112)-MIN(Instances!O112:Instances!O112))</f>
        <v>0</v>
      </c>
      <c r="P112" s="1" cm="1">
        <f t="array" ref="P112">_xlfn.SWITCH($A$2,"average", AVERAGE(Instances!P112:Instances!P112),"median", MEDIAN(Instances!P112:Instances!P112),"min", MIN(Instances!P112:Instances!P112),"max", MAX(Instances!P112:Instances!P112),"diff", MAX(Instances!P112:Instances!P112)-MIN(Instances!P112:Instances!P112))</f>
        <v>0</v>
      </c>
      <c r="Q112" s="1" cm="1">
        <f t="array" ref="Q112">_xlfn.SWITCH($A$2,"average", AVERAGE(Instances!Q112:Instances!Q112),"median", MEDIAN(Instances!Q112:Instances!Q112),"min", MIN(Instances!Q112:Instances!Q112),"max", MAX(Instances!Q112:Instances!Q112),"diff", MAX(Instances!Q112:Instances!Q112)-MIN(Instances!Q112:Instances!Q112))</f>
        <v>0</v>
      </c>
      <c r="R112" s="1">
        <f>MIN($B112,$D112,$F112,$H112,$J112,$L112,$N112,$P112)</f>
        <v>0</v>
      </c>
      <c r="S112" s="1">
        <f>MIN($C112,$E112,$G112,$I112,$K112,$M112,$O112,$Q112)</f>
        <v>0</v>
      </c>
      <c r="T112" s="1">
        <f>MEDIAN($B112,$D112,$F112,$H112,$J112,$L112,$N112,$P112)</f>
        <v>0</v>
      </c>
      <c r="U112" s="1">
        <f>MEDIAN($C112,$E112,$G112,$I112,$K112,$M112,$O112,$Q112)</f>
        <v>0</v>
      </c>
      <c r="V112" s="1">
        <f>MAX($B112,$D112,$F112,$H112,$J112,$L112,$N112,$P112)</f>
        <v>0</v>
      </c>
      <c r="W112" s="1">
        <f>MAX($C112,$E112,$G112,$I112,$K112,$M112,$O112,$Q112)</f>
        <v>0</v>
      </c>
    </row>
    <row r="113" spans="1:23">
      <c r="A113" s="1" t="s">
        <v>110</v>
      </c>
      <c r="B113" s="1"/>
      <c r="C113" s="1"/>
      <c r="D113" s="1" cm="1">
        <f t="array" ref="D113">_xlfn.SWITCH($A$2,"average", AVERAGE(Instances!D113:Instances!D113),"median", MEDIAN(Instances!D113:Instances!D113),"min", MIN(Instances!D113:Instances!D113),"max", MAX(Instances!D113:Instances!D113),"diff", MAX(Instances!D113:Instances!D113)-MIN(Instances!D113:Instances!D113))</f>
        <v>0</v>
      </c>
      <c r="E113" s="1" cm="1">
        <f t="array" ref="E113">_xlfn.SWITCH($A$2,"average", AVERAGE(Instances!E113:Instances!E113),"median", MEDIAN(Instances!E113:Instances!E113),"min", MIN(Instances!E113:Instances!E113),"max", MAX(Instances!E113:Instances!E113),"diff", MAX(Instances!E113:Instances!E113)-MIN(Instances!E113:Instances!E113))</f>
        <v>0</v>
      </c>
      <c r="F113" s="1" cm="1">
        <f t="array" ref="F113">_xlfn.SWITCH($A$2,"average", AVERAGE(Instances!F113:Instances!F113),"median", MEDIAN(Instances!F113:Instances!F113),"min", MIN(Instances!F113:Instances!F113),"max", MAX(Instances!F113:Instances!F113),"diff", MAX(Instances!F113:Instances!F113)-MIN(Instances!F113:Instances!F113))</f>
        <v>0</v>
      </c>
      <c r="G113" s="1" cm="1">
        <f t="array" ref="G113">_xlfn.SWITCH($A$2,"average", AVERAGE(Instances!G113:Instances!G113),"median", MEDIAN(Instances!G113:Instances!G113),"min", MIN(Instances!G113:Instances!G113),"max", MAX(Instances!G113:Instances!G113),"diff", MAX(Instances!G113:Instances!G113)-MIN(Instances!G113:Instances!G113))</f>
        <v>0</v>
      </c>
      <c r="H113" s="1"/>
      <c r="I113" s="1"/>
      <c r="J113" s="1" cm="1">
        <f t="array" ref="J113">_xlfn.SWITCH($A$2,"average", AVERAGE(Instances!J113:Instances!J113),"median", MEDIAN(Instances!J113:Instances!J113),"min", MIN(Instances!J113:Instances!J113),"max", MAX(Instances!J113:Instances!J113),"diff", MAX(Instances!J113:Instances!J113)-MIN(Instances!J113:Instances!J113))</f>
        <v>0</v>
      </c>
      <c r="K113" s="1" cm="1">
        <f t="array" ref="K113">_xlfn.SWITCH($A$2,"average", AVERAGE(Instances!K113:Instances!K113),"median", MEDIAN(Instances!K113:Instances!K113),"min", MIN(Instances!K113:Instances!K113),"max", MAX(Instances!K113:Instances!K113),"diff", MAX(Instances!K113:Instances!K113)-MIN(Instances!K113:Instances!K113))</f>
        <v>0</v>
      </c>
      <c r="L113" s="1" cm="1">
        <f t="array" ref="L113">_xlfn.SWITCH($A$2,"average", AVERAGE(Instances!L113:Instances!L113),"median", MEDIAN(Instances!L113:Instances!L113),"min", MIN(Instances!L113:Instances!L113),"max", MAX(Instances!L113:Instances!L113),"diff", MAX(Instances!L113:Instances!L113)-MIN(Instances!L113:Instances!L113))</f>
        <v>0</v>
      </c>
      <c r="M113" s="1" cm="1">
        <f t="array" ref="M113">_xlfn.SWITCH($A$2,"average", AVERAGE(Instances!M113:Instances!M113),"median", MEDIAN(Instances!M113:Instances!M113),"min", MIN(Instances!M113:Instances!M113),"max", MAX(Instances!M113:Instances!M113),"diff", MAX(Instances!M113:Instances!M113)-MIN(Instances!M113:Instances!M113))</f>
        <v>0</v>
      </c>
      <c r="N113" s="1" cm="1">
        <f t="array" ref="N113">_xlfn.SWITCH($A$2,"average", AVERAGE(Instances!N113:Instances!N113),"median", MEDIAN(Instances!N113:Instances!N113),"min", MIN(Instances!N113:Instances!N113),"max", MAX(Instances!N113:Instances!N113),"diff", MAX(Instances!N113:Instances!N113)-MIN(Instances!N113:Instances!N113))</f>
        <v>0</v>
      </c>
      <c r="O113" s="1" cm="1">
        <f t="array" ref="O113">_xlfn.SWITCH($A$2,"average", AVERAGE(Instances!O113:Instances!O113),"median", MEDIAN(Instances!O113:Instances!O113),"min", MIN(Instances!O113:Instances!O113),"max", MAX(Instances!O113:Instances!O113),"diff", MAX(Instances!O113:Instances!O113)-MIN(Instances!O113:Instances!O113))</f>
        <v>0</v>
      </c>
      <c r="P113" s="1" cm="1">
        <f t="array" ref="P113">_xlfn.SWITCH($A$2,"average", AVERAGE(Instances!P113:Instances!P113),"median", MEDIAN(Instances!P113:Instances!P113),"min", MIN(Instances!P113:Instances!P113),"max", MAX(Instances!P113:Instances!P113),"diff", MAX(Instances!P113:Instances!P113)-MIN(Instances!P113:Instances!P113))</f>
        <v>0</v>
      </c>
      <c r="Q113" s="1" cm="1">
        <f t="array" ref="Q113">_xlfn.SWITCH($A$2,"average", AVERAGE(Instances!Q113:Instances!Q113),"median", MEDIAN(Instances!Q113:Instances!Q113),"min", MIN(Instances!Q113:Instances!Q113),"max", MAX(Instances!Q113:Instances!Q113),"diff", MAX(Instances!Q113:Instances!Q113)-MIN(Instances!Q113:Instances!Q113))</f>
        <v>0</v>
      </c>
      <c r="R113" s="1">
        <f>MIN($B113,$D113,$F113,$H113,$J113,$L113,$N113,$P113)</f>
        <v>0</v>
      </c>
      <c r="S113" s="1">
        <f>MIN($C113,$E113,$G113,$I113,$K113,$M113,$O113,$Q113)</f>
        <v>0</v>
      </c>
      <c r="T113" s="1">
        <f>MEDIAN($B113,$D113,$F113,$H113,$J113,$L113,$N113,$P113)</f>
        <v>0</v>
      </c>
      <c r="U113" s="1">
        <f>MEDIAN($C113,$E113,$G113,$I113,$K113,$M113,$O113,$Q113)</f>
        <v>0</v>
      </c>
      <c r="V113" s="1">
        <f>MAX($B113,$D113,$F113,$H113,$J113,$L113,$N113,$P113)</f>
        <v>0</v>
      </c>
      <c r="W113" s="1">
        <f>MAX($C113,$E113,$G113,$I113,$K113,$M113,$O113,$Q113)</f>
        <v>0</v>
      </c>
    </row>
    <row r="114" spans="1:23">
      <c r="A114" s="1" t="s">
        <v>111</v>
      </c>
      <c r="B114" s="1"/>
      <c r="C114" s="1"/>
      <c r="D114" s="1" cm="1">
        <f t="array" ref="D114">_xlfn.SWITCH($A$2,"average", AVERAGE(Instances!D114:Instances!D114),"median", MEDIAN(Instances!D114:Instances!D114),"min", MIN(Instances!D114:Instances!D114),"max", MAX(Instances!D114:Instances!D114),"diff", MAX(Instances!D114:Instances!D114)-MIN(Instances!D114:Instances!D114))</f>
        <v>0</v>
      </c>
      <c r="E114" s="1" cm="1">
        <f t="array" ref="E114">_xlfn.SWITCH($A$2,"average", AVERAGE(Instances!E114:Instances!E114),"median", MEDIAN(Instances!E114:Instances!E114),"min", MIN(Instances!E114:Instances!E114),"max", MAX(Instances!E114:Instances!E114),"diff", MAX(Instances!E114:Instances!E114)-MIN(Instances!E114:Instances!E114))</f>
        <v>0</v>
      </c>
      <c r="F114" s="1" cm="1">
        <f t="array" ref="F114">_xlfn.SWITCH($A$2,"average", AVERAGE(Instances!F114:Instances!F114),"median", MEDIAN(Instances!F114:Instances!F114),"min", MIN(Instances!F114:Instances!F114),"max", MAX(Instances!F114:Instances!F114),"diff", MAX(Instances!F114:Instances!F114)-MIN(Instances!F114:Instances!F114))</f>
        <v>0</v>
      </c>
      <c r="G114" s="1" cm="1">
        <f t="array" ref="G114">_xlfn.SWITCH($A$2,"average", AVERAGE(Instances!G114:Instances!G114),"median", MEDIAN(Instances!G114:Instances!G114),"min", MIN(Instances!G114:Instances!G114),"max", MAX(Instances!G114:Instances!G114),"diff", MAX(Instances!G114:Instances!G114)-MIN(Instances!G114:Instances!G114))</f>
        <v>0</v>
      </c>
      <c r="H114" s="1"/>
      <c r="I114" s="1"/>
      <c r="J114" s="1" cm="1">
        <f t="array" ref="J114">_xlfn.SWITCH($A$2,"average", AVERAGE(Instances!J114:Instances!J114),"median", MEDIAN(Instances!J114:Instances!J114),"min", MIN(Instances!J114:Instances!J114),"max", MAX(Instances!J114:Instances!J114),"diff", MAX(Instances!J114:Instances!J114)-MIN(Instances!J114:Instances!J114))</f>
        <v>0</v>
      </c>
      <c r="K114" s="1" cm="1">
        <f t="array" ref="K114">_xlfn.SWITCH($A$2,"average", AVERAGE(Instances!K114:Instances!K114),"median", MEDIAN(Instances!K114:Instances!K114),"min", MIN(Instances!K114:Instances!K114),"max", MAX(Instances!K114:Instances!K114),"diff", MAX(Instances!K114:Instances!K114)-MIN(Instances!K114:Instances!K114))</f>
        <v>0</v>
      </c>
      <c r="L114" s="1" cm="1">
        <f t="array" ref="L114">_xlfn.SWITCH($A$2,"average", AVERAGE(Instances!L114:Instances!L114),"median", MEDIAN(Instances!L114:Instances!L114),"min", MIN(Instances!L114:Instances!L114),"max", MAX(Instances!L114:Instances!L114),"diff", MAX(Instances!L114:Instances!L114)-MIN(Instances!L114:Instances!L114))</f>
        <v>0</v>
      </c>
      <c r="M114" s="1" cm="1">
        <f t="array" ref="M114">_xlfn.SWITCH($A$2,"average", AVERAGE(Instances!M114:Instances!M114),"median", MEDIAN(Instances!M114:Instances!M114),"min", MIN(Instances!M114:Instances!M114),"max", MAX(Instances!M114:Instances!M114),"diff", MAX(Instances!M114:Instances!M114)-MIN(Instances!M114:Instances!M114))</f>
        <v>0</v>
      </c>
      <c r="N114" s="1" cm="1">
        <f t="array" ref="N114">_xlfn.SWITCH($A$2,"average", AVERAGE(Instances!N114:Instances!N114),"median", MEDIAN(Instances!N114:Instances!N114),"min", MIN(Instances!N114:Instances!N114),"max", MAX(Instances!N114:Instances!N114),"diff", MAX(Instances!N114:Instances!N114)-MIN(Instances!N114:Instances!N114))</f>
        <v>0</v>
      </c>
      <c r="O114" s="1" cm="1">
        <f t="array" ref="O114">_xlfn.SWITCH($A$2,"average", AVERAGE(Instances!O114:Instances!O114),"median", MEDIAN(Instances!O114:Instances!O114),"min", MIN(Instances!O114:Instances!O114),"max", MAX(Instances!O114:Instances!O114),"diff", MAX(Instances!O114:Instances!O114)-MIN(Instances!O114:Instances!O114))</f>
        <v>0</v>
      </c>
      <c r="P114" s="1" cm="1">
        <f t="array" ref="P114">_xlfn.SWITCH($A$2,"average", AVERAGE(Instances!P114:Instances!P114),"median", MEDIAN(Instances!P114:Instances!P114),"min", MIN(Instances!P114:Instances!P114),"max", MAX(Instances!P114:Instances!P114),"diff", MAX(Instances!P114:Instances!P114)-MIN(Instances!P114:Instances!P114))</f>
        <v>0</v>
      </c>
      <c r="Q114" s="1" cm="1">
        <f t="array" ref="Q114">_xlfn.SWITCH($A$2,"average", AVERAGE(Instances!Q114:Instances!Q114),"median", MEDIAN(Instances!Q114:Instances!Q114),"min", MIN(Instances!Q114:Instances!Q114),"max", MAX(Instances!Q114:Instances!Q114),"diff", MAX(Instances!Q114:Instances!Q114)-MIN(Instances!Q114:Instances!Q114))</f>
        <v>0</v>
      </c>
      <c r="R114" s="1">
        <f>MIN($B114,$D114,$F114,$H114,$J114,$L114,$N114,$P114)</f>
        <v>0</v>
      </c>
      <c r="S114" s="1">
        <f>MIN($C114,$E114,$G114,$I114,$K114,$M114,$O114,$Q114)</f>
        <v>0</v>
      </c>
      <c r="T114" s="1">
        <f>MEDIAN($B114,$D114,$F114,$H114,$J114,$L114,$N114,$P114)</f>
        <v>0</v>
      </c>
      <c r="U114" s="1">
        <f>MEDIAN($C114,$E114,$G114,$I114,$K114,$M114,$O114,$Q114)</f>
        <v>0</v>
      </c>
      <c r="V114" s="1">
        <f>MAX($B114,$D114,$F114,$H114,$J114,$L114,$N114,$P114)</f>
        <v>0</v>
      </c>
      <c r="W114" s="1">
        <f>MAX($C114,$E114,$G114,$I114,$K114,$M114,$O114,$Q114)</f>
        <v>0</v>
      </c>
    </row>
    <row r="115" spans="1:23">
      <c r="A115" s="1" t="s">
        <v>112</v>
      </c>
      <c r="B115" s="1"/>
      <c r="C115" s="1"/>
      <c r="D115" s="1" cm="1">
        <f t="array" ref="D115">_xlfn.SWITCH($A$2,"average", AVERAGE(Instances!D115:Instances!D115),"median", MEDIAN(Instances!D115:Instances!D115),"min", MIN(Instances!D115:Instances!D115),"max", MAX(Instances!D115:Instances!D115),"diff", MAX(Instances!D115:Instances!D115)-MIN(Instances!D115:Instances!D115))</f>
        <v>0</v>
      </c>
      <c r="E115" s="1" cm="1">
        <f t="array" ref="E115">_xlfn.SWITCH($A$2,"average", AVERAGE(Instances!E115:Instances!E115),"median", MEDIAN(Instances!E115:Instances!E115),"min", MIN(Instances!E115:Instances!E115),"max", MAX(Instances!E115:Instances!E115),"diff", MAX(Instances!E115:Instances!E115)-MIN(Instances!E115:Instances!E115))</f>
        <v>0</v>
      </c>
      <c r="F115" s="1" cm="1">
        <f t="array" ref="F115">_xlfn.SWITCH($A$2,"average", AVERAGE(Instances!F115:Instances!F115),"median", MEDIAN(Instances!F115:Instances!F115),"min", MIN(Instances!F115:Instances!F115),"max", MAX(Instances!F115:Instances!F115),"diff", MAX(Instances!F115:Instances!F115)-MIN(Instances!F115:Instances!F115))</f>
        <v>0</v>
      </c>
      <c r="G115" s="1" cm="1">
        <f t="array" ref="G115">_xlfn.SWITCH($A$2,"average", AVERAGE(Instances!G115:Instances!G115),"median", MEDIAN(Instances!G115:Instances!G115),"min", MIN(Instances!G115:Instances!G115),"max", MAX(Instances!G115:Instances!G115),"diff", MAX(Instances!G115:Instances!G115)-MIN(Instances!G115:Instances!G115))</f>
        <v>0</v>
      </c>
      <c r="H115" s="1"/>
      <c r="I115" s="1"/>
      <c r="J115" s="1" cm="1">
        <f t="array" ref="J115">_xlfn.SWITCH($A$2,"average", AVERAGE(Instances!J115:Instances!J115),"median", MEDIAN(Instances!J115:Instances!J115),"min", MIN(Instances!J115:Instances!J115),"max", MAX(Instances!J115:Instances!J115),"diff", MAX(Instances!J115:Instances!J115)-MIN(Instances!J115:Instances!J115))</f>
        <v>0</v>
      </c>
      <c r="K115" s="1" cm="1">
        <f t="array" ref="K115">_xlfn.SWITCH($A$2,"average", AVERAGE(Instances!K115:Instances!K115),"median", MEDIAN(Instances!K115:Instances!K115),"min", MIN(Instances!K115:Instances!K115),"max", MAX(Instances!K115:Instances!K115),"diff", MAX(Instances!K115:Instances!K115)-MIN(Instances!K115:Instances!K115))</f>
        <v>0</v>
      </c>
      <c r="L115" s="1" cm="1">
        <f t="array" ref="L115">_xlfn.SWITCH($A$2,"average", AVERAGE(Instances!L115:Instances!L115),"median", MEDIAN(Instances!L115:Instances!L115),"min", MIN(Instances!L115:Instances!L115),"max", MAX(Instances!L115:Instances!L115),"diff", MAX(Instances!L115:Instances!L115)-MIN(Instances!L115:Instances!L115))</f>
        <v>0</v>
      </c>
      <c r="M115" s="1" cm="1">
        <f t="array" ref="M115">_xlfn.SWITCH($A$2,"average", AVERAGE(Instances!M115:Instances!M115),"median", MEDIAN(Instances!M115:Instances!M115),"min", MIN(Instances!M115:Instances!M115),"max", MAX(Instances!M115:Instances!M115),"diff", MAX(Instances!M115:Instances!M115)-MIN(Instances!M115:Instances!M115))</f>
        <v>0</v>
      </c>
      <c r="N115" s="1" cm="1">
        <f t="array" ref="N115">_xlfn.SWITCH($A$2,"average", AVERAGE(Instances!N115:Instances!N115),"median", MEDIAN(Instances!N115:Instances!N115),"min", MIN(Instances!N115:Instances!N115),"max", MAX(Instances!N115:Instances!N115),"diff", MAX(Instances!N115:Instances!N115)-MIN(Instances!N115:Instances!N115))</f>
        <v>0</v>
      </c>
      <c r="O115" s="1" cm="1">
        <f t="array" ref="O115">_xlfn.SWITCH($A$2,"average", AVERAGE(Instances!O115:Instances!O115),"median", MEDIAN(Instances!O115:Instances!O115),"min", MIN(Instances!O115:Instances!O115),"max", MAX(Instances!O115:Instances!O115),"diff", MAX(Instances!O115:Instances!O115)-MIN(Instances!O115:Instances!O115))</f>
        <v>0</v>
      </c>
      <c r="P115" s="1" cm="1">
        <f t="array" ref="P115">_xlfn.SWITCH($A$2,"average", AVERAGE(Instances!P115:Instances!P115),"median", MEDIAN(Instances!P115:Instances!P115),"min", MIN(Instances!P115:Instances!P115),"max", MAX(Instances!P115:Instances!P115),"diff", MAX(Instances!P115:Instances!P115)-MIN(Instances!P115:Instances!P115))</f>
        <v>0</v>
      </c>
      <c r="Q115" s="1" cm="1">
        <f t="array" ref="Q115">_xlfn.SWITCH($A$2,"average", AVERAGE(Instances!Q115:Instances!Q115),"median", MEDIAN(Instances!Q115:Instances!Q115),"min", MIN(Instances!Q115:Instances!Q115),"max", MAX(Instances!Q115:Instances!Q115),"diff", MAX(Instances!Q115:Instances!Q115)-MIN(Instances!Q115:Instances!Q115))</f>
        <v>0</v>
      </c>
      <c r="R115" s="1">
        <f>MIN($B115,$D115,$F115,$H115,$J115,$L115,$N115,$P115)</f>
        <v>0</v>
      </c>
      <c r="S115" s="1">
        <f>MIN($C115,$E115,$G115,$I115,$K115,$M115,$O115,$Q115)</f>
        <v>0</v>
      </c>
      <c r="T115" s="1">
        <f>MEDIAN($B115,$D115,$F115,$H115,$J115,$L115,$N115,$P115)</f>
        <v>0</v>
      </c>
      <c r="U115" s="1">
        <f>MEDIAN($C115,$E115,$G115,$I115,$K115,$M115,$O115,$Q115)</f>
        <v>0</v>
      </c>
      <c r="V115" s="1">
        <f>MAX($B115,$D115,$F115,$H115,$J115,$L115,$N115,$P115)</f>
        <v>0</v>
      </c>
      <c r="W115" s="1">
        <f>MAX($C115,$E115,$G115,$I115,$K115,$M115,$O115,$Q115)</f>
        <v>0</v>
      </c>
    </row>
    <row r="116" spans="1:23">
      <c r="A116" s="1" t="s">
        <v>113</v>
      </c>
      <c r="B116" s="1"/>
      <c r="C116" s="1"/>
      <c r="D116" s="1" cm="1">
        <f t="array" ref="D116">_xlfn.SWITCH($A$2,"average", AVERAGE(Instances!D116:Instances!D116),"median", MEDIAN(Instances!D116:Instances!D116),"min", MIN(Instances!D116:Instances!D116),"max", MAX(Instances!D116:Instances!D116),"diff", MAX(Instances!D116:Instances!D116)-MIN(Instances!D116:Instances!D116))</f>
        <v>0</v>
      </c>
      <c r="E116" s="1" cm="1">
        <f t="array" ref="E116">_xlfn.SWITCH($A$2,"average", AVERAGE(Instances!E116:Instances!E116),"median", MEDIAN(Instances!E116:Instances!E116),"min", MIN(Instances!E116:Instances!E116),"max", MAX(Instances!E116:Instances!E116),"diff", MAX(Instances!E116:Instances!E116)-MIN(Instances!E116:Instances!E116))</f>
        <v>0</v>
      </c>
      <c r="F116" s="1" cm="1">
        <f t="array" ref="F116">_xlfn.SWITCH($A$2,"average", AVERAGE(Instances!F116:Instances!F116),"median", MEDIAN(Instances!F116:Instances!F116),"min", MIN(Instances!F116:Instances!F116),"max", MAX(Instances!F116:Instances!F116),"diff", MAX(Instances!F116:Instances!F116)-MIN(Instances!F116:Instances!F116))</f>
        <v>0</v>
      </c>
      <c r="G116" s="1" cm="1">
        <f t="array" ref="G116">_xlfn.SWITCH($A$2,"average", AVERAGE(Instances!G116:Instances!G116),"median", MEDIAN(Instances!G116:Instances!G116),"min", MIN(Instances!G116:Instances!G116),"max", MAX(Instances!G116:Instances!G116),"diff", MAX(Instances!G116:Instances!G116)-MIN(Instances!G116:Instances!G116))</f>
        <v>0</v>
      </c>
      <c r="H116" s="1"/>
      <c r="I116" s="1"/>
      <c r="J116" s="1" cm="1">
        <f t="array" ref="J116">_xlfn.SWITCH($A$2,"average", AVERAGE(Instances!J116:Instances!J116),"median", MEDIAN(Instances!J116:Instances!J116),"min", MIN(Instances!J116:Instances!J116),"max", MAX(Instances!J116:Instances!J116),"diff", MAX(Instances!J116:Instances!J116)-MIN(Instances!J116:Instances!J116))</f>
        <v>0</v>
      </c>
      <c r="K116" s="1" cm="1">
        <f t="array" ref="K116">_xlfn.SWITCH($A$2,"average", AVERAGE(Instances!K116:Instances!K116),"median", MEDIAN(Instances!K116:Instances!K116),"min", MIN(Instances!K116:Instances!K116),"max", MAX(Instances!K116:Instances!K116),"diff", MAX(Instances!K116:Instances!K116)-MIN(Instances!K116:Instances!K116))</f>
        <v>0</v>
      </c>
      <c r="L116" s="1" cm="1">
        <f t="array" ref="L116">_xlfn.SWITCH($A$2,"average", AVERAGE(Instances!L116:Instances!L116),"median", MEDIAN(Instances!L116:Instances!L116),"min", MIN(Instances!L116:Instances!L116),"max", MAX(Instances!L116:Instances!L116),"diff", MAX(Instances!L116:Instances!L116)-MIN(Instances!L116:Instances!L116))</f>
        <v>0</v>
      </c>
      <c r="M116" s="1" cm="1">
        <f t="array" ref="M116">_xlfn.SWITCH($A$2,"average", AVERAGE(Instances!M116:Instances!M116),"median", MEDIAN(Instances!M116:Instances!M116),"min", MIN(Instances!M116:Instances!M116),"max", MAX(Instances!M116:Instances!M116),"diff", MAX(Instances!M116:Instances!M116)-MIN(Instances!M116:Instances!M116))</f>
        <v>0</v>
      </c>
      <c r="N116" s="1" cm="1">
        <f t="array" ref="N116">_xlfn.SWITCH($A$2,"average", AVERAGE(Instances!N116:Instances!N116),"median", MEDIAN(Instances!N116:Instances!N116),"min", MIN(Instances!N116:Instances!N116),"max", MAX(Instances!N116:Instances!N116),"diff", MAX(Instances!N116:Instances!N116)-MIN(Instances!N116:Instances!N116))</f>
        <v>0</v>
      </c>
      <c r="O116" s="1" cm="1">
        <f t="array" ref="O116">_xlfn.SWITCH($A$2,"average", AVERAGE(Instances!O116:Instances!O116),"median", MEDIAN(Instances!O116:Instances!O116),"min", MIN(Instances!O116:Instances!O116),"max", MAX(Instances!O116:Instances!O116),"diff", MAX(Instances!O116:Instances!O116)-MIN(Instances!O116:Instances!O116))</f>
        <v>0</v>
      </c>
      <c r="P116" s="1" cm="1">
        <f t="array" ref="P116">_xlfn.SWITCH($A$2,"average", AVERAGE(Instances!P116:Instances!P116),"median", MEDIAN(Instances!P116:Instances!P116),"min", MIN(Instances!P116:Instances!P116),"max", MAX(Instances!P116:Instances!P116),"diff", MAX(Instances!P116:Instances!P116)-MIN(Instances!P116:Instances!P116))</f>
        <v>0</v>
      </c>
      <c r="Q116" s="1" cm="1">
        <f t="array" ref="Q116">_xlfn.SWITCH($A$2,"average", AVERAGE(Instances!Q116:Instances!Q116),"median", MEDIAN(Instances!Q116:Instances!Q116),"min", MIN(Instances!Q116:Instances!Q116),"max", MAX(Instances!Q116:Instances!Q116),"diff", MAX(Instances!Q116:Instances!Q116)-MIN(Instances!Q116:Instances!Q116))</f>
        <v>0</v>
      </c>
      <c r="R116" s="1">
        <f>MIN($B116,$D116,$F116,$H116,$J116,$L116,$N116,$P116)</f>
        <v>0</v>
      </c>
      <c r="S116" s="1">
        <f>MIN($C116,$E116,$G116,$I116,$K116,$M116,$O116,$Q116)</f>
        <v>0</v>
      </c>
      <c r="T116" s="1">
        <f>MEDIAN($B116,$D116,$F116,$H116,$J116,$L116,$N116,$P116)</f>
        <v>0</v>
      </c>
      <c r="U116" s="1">
        <f>MEDIAN($C116,$E116,$G116,$I116,$K116,$M116,$O116,$Q116)</f>
        <v>0</v>
      </c>
      <c r="V116" s="1">
        <f>MAX($B116,$D116,$F116,$H116,$J116,$L116,$N116,$P116)</f>
        <v>0</v>
      </c>
      <c r="W116" s="1">
        <f>MAX($C116,$E116,$G116,$I116,$K116,$M116,$O116,$Q116)</f>
        <v>0</v>
      </c>
    </row>
    <row r="117" spans="1:23">
      <c r="A117" s="1" t="s">
        <v>114</v>
      </c>
      <c r="B117" s="1"/>
      <c r="C117" s="1"/>
      <c r="D117" s="1" cm="1">
        <f t="array" ref="D117">_xlfn.SWITCH($A$2,"average", AVERAGE(Instances!D117:Instances!D117),"median", MEDIAN(Instances!D117:Instances!D117),"min", MIN(Instances!D117:Instances!D117),"max", MAX(Instances!D117:Instances!D117),"diff", MAX(Instances!D117:Instances!D117)-MIN(Instances!D117:Instances!D117))</f>
        <v>0</v>
      </c>
      <c r="E117" s="1" cm="1">
        <f t="array" ref="E117">_xlfn.SWITCH($A$2,"average", AVERAGE(Instances!E117:Instances!E117),"median", MEDIAN(Instances!E117:Instances!E117),"min", MIN(Instances!E117:Instances!E117),"max", MAX(Instances!E117:Instances!E117),"diff", MAX(Instances!E117:Instances!E117)-MIN(Instances!E117:Instances!E117))</f>
        <v>0</v>
      </c>
      <c r="F117" s="1" cm="1">
        <f t="array" ref="F117">_xlfn.SWITCH($A$2,"average", AVERAGE(Instances!F117:Instances!F117),"median", MEDIAN(Instances!F117:Instances!F117),"min", MIN(Instances!F117:Instances!F117),"max", MAX(Instances!F117:Instances!F117),"diff", MAX(Instances!F117:Instances!F117)-MIN(Instances!F117:Instances!F117))</f>
        <v>0</v>
      </c>
      <c r="G117" s="1" cm="1">
        <f t="array" ref="G117">_xlfn.SWITCH($A$2,"average", AVERAGE(Instances!G117:Instances!G117),"median", MEDIAN(Instances!G117:Instances!G117),"min", MIN(Instances!G117:Instances!G117),"max", MAX(Instances!G117:Instances!G117),"diff", MAX(Instances!G117:Instances!G117)-MIN(Instances!G117:Instances!G117))</f>
        <v>0</v>
      </c>
      <c r="H117" s="1"/>
      <c r="I117" s="1"/>
      <c r="J117" s="1" cm="1">
        <f t="array" ref="J117">_xlfn.SWITCH($A$2,"average", AVERAGE(Instances!J117:Instances!J117),"median", MEDIAN(Instances!J117:Instances!J117),"min", MIN(Instances!J117:Instances!J117),"max", MAX(Instances!J117:Instances!J117),"diff", MAX(Instances!J117:Instances!J117)-MIN(Instances!J117:Instances!J117))</f>
        <v>0</v>
      </c>
      <c r="K117" s="1" cm="1">
        <f t="array" ref="K117">_xlfn.SWITCH($A$2,"average", AVERAGE(Instances!K117:Instances!K117),"median", MEDIAN(Instances!K117:Instances!K117),"min", MIN(Instances!K117:Instances!K117),"max", MAX(Instances!K117:Instances!K117),"diff", MAX(Instances!K117:Instances!K117)-MIN(Instances!K117:Instances!K117))</f>
        <v>0</v>
      </c>
      <c r="L117" s="1" cm="1">
        <f t="array" ref="L117">_xlfn.SWITCH($A$2,"average", AVERAGE(Instances!L117:Instances!L117),"median", MEDIAN(Instances!L117:Instances!L117),"min", MIN(Instances!L117:Instances!L117),"max", MAX(Instances!L117:Instances!L117),"diff", MAX(Instances!L117:Instances!L117)-MIN(Instances!L117:Instances!L117))</f>
        <v>0</v>
      </c>
      <c r="M117" s="1" cm="1">
        <f t="array" ref="M117">_xlfn.SWITCH($A$2,"average", AVERAGE(Instances!M117:Instances!M117),"median", MEDIAN(Instances!M117:Instances!M117),"min", MIN(Instances!M117:Instances!M117),"max", MAX(Instances!M117:Instances!M117),"diff", MAX(Instances!M117:Instances!M117)-MIN(Instances!M117:Instances!M117))</f>
        <v>0</v>
      </c>
      <c r="N117" s="1" cm="1">
        <f t="array" ref="N117">_xlfn.SWITCH($A$2,"average", AVERAGE(Instances!N117:Instances!N117),"median", MEDIAN(Instances!N117:Instances!N117),"min", MIN(Instances!N117:Instances!N117),"max", MAX(Instances!N117:Instances!N117),"diff", MAX(Instances!N117:Instances!N117)-MIN(Instances!N117:Instances!N117))</f>
        <v>0</v>
      </c>
      <c r="O117" s="1" cm="1">
        <f t="array" ref="O117">_xlfn.SWITCH($A$2,"average", AVERAGE(Instances!O117:Instances!O117),"median", MEDIAN(Instances!O117:Instances!O117),"min", MIN(Instances!O117:Instances!O117),"max", MAX(Instances!O117:Instances!O117),"diff", MAX(Instances!O117:Instances!O117)-MIN(Instances!O117:Instances!O117))</f>
        <v>0</v>
      </c>
      <c r="P117" s="1" cm="1">
        <f t="array" ref="P117">_xlfn.SWITCH($A$2,"average", AVERAGE(Instances!P117:Instances!P117),"median", MEDIAN(Instances!P117:Instances!P117),"min", MIN(Instances!P117:Instances!P117),"max", MAX(Instances!P117:Instances!P117),"diff", MAX(Instances!P117:Instances!P117)-MIN(Instances!P117:Instances!P117))</f>
        <v>0</v>
      </c>
      <c r="Q117" s="1" cm="1">
        <f t="array" ref="Q117">_xlfn.SWITCH($A$2,"average", AVERAGE(Instances!Q117:Instances!Q117),"median", MEDIAN(Instances!Q117:Instances!Q117),"min", MIN(Instances!Q117:Instances!Q117),"max", MAX(Instances!Q117:Instances!Q117),"diff", MAX(Instances!Q117:Instances!Q117)-MIN(Instances!Q117:Instances!Q117))</f>
        <v>0</v>
      </c>
      <c r="R117" s="1">
        <f>MIN($B117,$D117,$F117,$H117,$J117,$L117,$N117,$P117)</f>
        <v>0</v>
      </c>
      <c r="S117" s="1">
        <f>MIN($C117,$E117,$G117,$I117,$K117,$M117,$O117,$Q117)</f>
        <v>0</v>
      </c>
      <c r="T117" s="1">
        <f>MEDIAN($B117,$D117,$F117,$H117,$J117,$L117,$N117,$P117)</f>
        <v>0</v>
      </c>
      <c r="U117" s="1">
        <f>MEDIAN($C117,$E117,$G117,$I117,$K117,$M117,$O117,$Q117)</f>
        <v>0</v>
      </c>
      <c r="V117" s="1">
        <f>MAX($B117,$D117,$F117,$H117,$J117,$L117,$N117,$P117)</f>
        <v>0</v>
      </c>
      <c r="W117" s="1">
        <f>MAX($C117,$E117,$G117,$I117,$K117,$M117,$O117,$Q117)</f>
        <v>0</v>
      </c>
    </row>
    <row r="118" spans="1:23">
      <c r="A118" s="1" t="s">
        <v>115</v>
      </c>
      <c r="B118" s="1"/>
      <c r="C118" s="1"/>
      <c r="D118" s="1" cm="1">
        <f t="array" ref="D118">_xlfn.SWITCH($A$2,"average", AVERAGE(Instances!D118:Instances!D118),"median", MEDIAN(Instances!D118:Instances!D118),"min", MIN(Instances!D118:Instances!D118),"max", MAX(Instances!D118:Instances!D118),"diff", MAX(Instances!D118:Instances!D118)-MIN(Instances!D118:Instances!D118))</f>
        <v>0</v>
      </c>
      <c r="E118" s="1" cm="1">
        <f t="array" ref="E118">_xlfn.SWITCH($A$2,"average", AVERAGE(Instances!E118:Instances!E118),"median", MEDIAN(Instances!E118:Instances!E118),"min", MIN(Instances!E118:Instances!E118),"max", MAX(Instances!E118:Instances!E118),"diff", MAX(Instances!E118:Instances!E118)-MIN(Instances!E118:Instances!E118))</f>
        <v>0</v>
      </c>
      <c r="F118" s="1" cm="1">
        <f t="array" ref="F118">_xlfn.SWITCH($A$2,"average", AVERAGE(Instances!F118:Instances!F118),"median", MEDIAN(Instances!F118:Instances!F118),"min", MIN(Instances!F118:Instances!F118),"max", MAX(Instances!F118:Instances!F118),"diff", MAX(Instances!F118:Instances!F118)-MIN(Instances!F118:Instances!F118))</f>
        <v>0</v>
      </c>
      <c r="G118" s="1" cm="1">
        <f t="array" ref="G118">_xlfn.SWITCH($A$2,"average", AVERAGE(Instances!G118:Instances!G118),"median", MEDIAN(Instances!G118:Instances!G118),"min", MIN(Instances!G118:Instances!G118),"max", MAX(Instances!G118:Instances!G118),"diff", MAX(Instances!G118:Instances!G118)-MIN(Instances!G118:Instances!G118))</f>
        <v>0</v>
      </c>
      <c r="H118" s="1"/>
      <c r="I118" s="1"/>
      <c r="J118" s="1" cm="1">
        <f t="array" ref="J118">_xlfn.SWITCH($A$2,"average", AVERAGE(Instances!J118:Instances!J118),"median", MEDIAN(Instances!J118:Instances!J118),"min", MIN(Instances!J118:Instances!J118),"max", MAX(Instances!J118:Instances!J118),"diff", MAX(Instances!J118:Instances!J118)-MIN(Instances!J118:Instances!J118))</f>
        <v>0</v>
      </c>
      <c r="K118" s="1" cm="1">
        <f t="array" ref="K118">_xlfn.SWITCH($A$2,"average", AVERAGE(Instances!K118:Instances!K118),"median", MEDIAN(Instances!K118:Instances!K118),"min", MIN(Instances!K118:Instances!K118),"max", MAX(Instances!K118:Instances!K118),"diff", MAX(Instances!K118:Instances!K118)-MIN(Instances!K118:Instances!K118))</f>
        <v>0</v>
      </c>
      <c r="L118" s="1" cm="1">
        <f t="array" ref="L118">_xlfn.SWITCH($A$2,"average", AVERAGE(Instances!L118:Instances!L118),"median", MEDIAN(Instances!L118:Instances!L118),"min", MIN(Instances!L118:Instances!L118),"max", MAX(Instances!L118:Instances!L118),"diff", MAX(Instances!L118:Instances!L118)-MIN(Instances!L118:Instances!L118))</f>
        <v>0</v>
      </c>
      <c r="M118" s="1" cm="1">
        <f t="array" ref="M118">_xlfn.SWITCH($A$2,"average", AVERAGE(Instances!M118:Instances!M118),"median", MEDIAN(Instances!M118:Instances!M118),"min", MIN(Instances!M118:Instances!M118),"max", MAX(Instances!M118:Instances!M118),"diff", MAX(Instances!M118:Instances!M118)-MIN(Instances!M118:Instances!M118))</f>
        <v>0</v>
      </c>
      <c r="N118" s="1" cm="1">
        <f t="array" ref="N118">_xlfn.SWITCH($A$2,"average", AVERAGE(Instances!N118:Instances!N118),"median", MEDIAN(Instances!N118:Instances!N118),"min", MIN(Instances!N118:Instances!N118),"max", MAX(Instances!N118:Instances!N118),"diff", MAX(Instances!N118:Instances!N118)-MIN(Instances!N118:Instances!N118))</f>
        <v>0</v>
      </c>
      <c r="O118" s="1" cm="1">
        <f t="array" ref="O118">_xlfn.SWITCH($A$2,"average", AVERAGE(Instances!O118:Instances!O118),"median", MEDIAN(Instances!O118:Instances!O118),"min", MIN(Instances!O118:Instances!O118),"max", MAX(Instances!O118:Instances!O118),"diff", MAX(Instances!O118:Instances!O118)-MIN(Instances!O118:Instances!O118))</f>
        <v>0</v>
      </c>
      <c r="P118" s="1" cm="1">
        <f t="array" ref="P118">_xlfn.SWITCH($A$2,"average", AVERAGE(Instances!P118:Instances!P118),"median", MEDIAN(Instances!P118:Instances!P118),"min", MIN(Instances!P118:Instances!P118),"max", MAX(Instances!P118:Instances!P118),"diff", MAX(Instances!P118:Instances!P118)-MIN(Instances!P118:Instances!P118))</f>
        <v>0</v>
      </c>
      <c r="Q118" s="1" cm="1">
        <f t="array" ref="Q118">_xlfn.SWITCH($A$2,"average", AVERAGE(Instances!Q118:Instances!Q118),"median", MEDIAN(Instances!Q118:Instances!Q118),"min", MIN(Instances!Q118:Instances!Q118),"max", MAX(Instances!Q118:Instances!Q118),"diff", MAX(Instances!Q118:Instances!Q118)-MIN(Instances!Q118:Instances!Q118))</f>
        <v>0</v>
      </c>
      <c r="R118" s="1">
        <f>MIN($B118,$D118,$F118,$H118,$J118,$L118,$N118,$P118)</f>
        <v>0</v>
      </c>
      <c r="S118" s="1">
        <f>MIN($C118,$E118,$G118,$I118,$K118,$M118,$O118,$Q118)</f>
        <v>0</v>
      </c>
      <c r="T118" s="1">
        <f>MEDIAN($B118,$D118,$F118,$H118,$J118,$L118,$N118,$P118)</f>
        <v>0</v>
      </c>
      <c r="U118" s="1">
        <f>MEDIAN($C118,$E118,$G118,$I118,$K118,$M118,$O118,$Q118)</f>
        <v>0</v>
      </c>
      <c r="V118" s="1">
        <f>MAX($B118,$D118,$F118,$H118,$J118,$L118,$N118,$P118)</f>
        <v>0</v>
      </c>
      <c r="W118" s="1">
        <f>MAX($C118,$E118,$G118,$I118,$K118,$M118,$O118,$Q118)</f>
        <v>0</v>
      </c>
    </row>
    <row r="119" spans="1:23">
      <c r="A119" s="1" t="s">
        <v>116</v>
      </c>
      <c r="B119" s="1"/>
      <c r="C119" s="1"/>
      <c r="D119" s="1" cm="1">
        <f t="array" ref="D119">_xlfn.SWITCH($A$2,"average", AVERAGE(Instances!D119:Instances!D119),"median", MEDIAN(Instances!D119:Instances!D119),"min", MIN(Instances!D119:Instances!D119),"max", MAX(Instances!D119:Instances!D119),"diff", MAX(Instances!D119:Instances!D119)-MIN(Instances!D119:Instances!D119))</f>
        <v>0</v>
      </c>
      <c r="E119" s="1" cm="1">
        <f t="array" ref="E119">_xlfn.SWITCH($A$2,"average", AVERAGE(Instances!E119:Instances!E119),"median", MEDIAN(Instances!E119:Instances!E119),"min", MIN(Instances!E119:Instances!E119),"max", MAX(Instances!E119:Instances!E119),"diff", MAX(Instances!E119:Instances!E119)-MIN(Instances!E119:Instances!E119))</f>
        <v>0</v>
      </c>
      <c r="F119" s="1" cm="1">
        <f t="array" ref="F119">_xlfn.SWITCH($A$2,"average", AVERAGE(Instances!F119:Instances!F119),"median", MEDIAN(Instances!F119:Instances!F119),"min", MIN(Instances!F119:Instances!F119),"max", MAX(Instances!F119:Instances!F119),"diff", MAX(Instances!F119:Instances!F119)-MIN(Instances!F119:Instances!F119))</f>
        <v>0</v>
      </c>
      <c r="G119" s="1" cm="1">
        <f t="array" ref="G119">_xlfn.SWITCH($A$2,"average", AVERAGE(Instances!G119:Instances!G119),"median", MEDIAN(Instances!G119:Instances!G119),"min", MIN(Instances!G119:Instances!G119),"max", MAX(Instances!G119:Instances!G119),"diff", MAX(Instances!G119:Instances!G119)-MIN(Instances!G119:Instances!G119))</f>
        <v>0</v>
      </c>
      <c r="H119" s="1"/>
      <c r="I119" s="1"/>
      <c r="J119" s="1" cm="1">
        <f t="array" ref="J119">_xlfn.SWITCH($A$2,"average", AVERAGE(Instances!J119:Instances!J119),"median", MEDIAN(Instances!J119:Instances!J119),"min", MIN(Instances!J119:Instances!J119),"max", MAX(Instances!J119:Instances!J119),"diff", MAX(Instances!J119:Instances!J119)-MIN(Instances!J119:Instances!J119))</f>
        <v>0</v>
      </c>
      <c r="K119" s="1" cm="1">
        <f t="array" ref="K119">_xlfn.SWITCH($A$2,"average", AVERAGE(Instances!K119:Instances!K119),"median", MEDIAN(Instances!K119:Instances!K119),"min", MIN(Instances!K119:Instances!K119),"max", MAX(Instances!K119:Instances!K119),"diff", MAX(Instances!K119:Instances!K119)-MIN(Instances!K119:Instances!K119))</f>
        <v>0</v>
      </c>
      <c r="L119" s="1" cm="1">
        <f t="array" ref="L119">_xlfn.SWITCH($A$2,"average", AVERAGE(Instances!L119:Instances!L119),"median", MEDIAN(Instances!L119:Instances!L119),"min", MIN(Instances!L119:Instances!L119),"max", MAX(Instances!L119:Instances!L119),"diff", MAX(Instances!L119:Instances!L119)-MIN(Instances!L119:Instances!L119))</f>
        <v>0</v>
      </c>
      <c r="M119" s="1" cm="1">
        <f t="array" ref="M119">_xlfn.SWITCH($A$2,"average", AVERAGE(Instances!M119:Instances!M119),"median", MEDIAN(Instances!M119:Instances!M119),"min", MIN(Instances!M119:Instances!M119),"max", MAX(Instances!M119:Instances!M119),"diff", MAX(Instances!M119:Instances!M119)-MIN(Instances!M119:Instances!M119))</f>
        <v>0</v>
      </c>
      <c r="N119" s="1" cm="1">
        <f t="array" ref="N119">_xlfn.SWITCH($A$2,"average", AVERAGE(Instances!N119:Instances!N119),"median", MEDIAN(Instances!N119:Instances!N119),"min", MIN(Instances!N119:Instances!N119),"max", MAX(Instances!N119:Instances!N119),"diff", MAX(Instances!N119:Instances!N119)-MIN(Instances!N119:Instances!N119))</f>
        <v>0</v>
      </c>
      <c r="O119" s="1" cm="1">
        <f t="array" ref="O119">_xlfn.SWITCH($A$2,"average", AVERAGE(Instances!O119:Instances!O119),"median", MEDIAN(Instances!O119:Instances!O119),"min", MIN(Instances!O119:Instances!O119),"max", MAX(Instances!O119:Instances!O119),"diff", MAX(Instances!O119:Instances!O119)-MIN(Instances!O119:Instances!O119))</f>
        <v>0</v>
      </c>
      <c r="P119" s="1" cm="1">
        <f t="array" ref="P119">_xlfn.SWITCH($A$2,"average", AVERAGE(Instances!P119:Instances!P119),"median", MEDIAN(Instances!P119:Instances!P119),"min", MIN(Instances!P119:Instances!P119),"max", MAX(Instances!P119:Instances!P119),"diff", MAX(Instances!P119:Instances!P119)-MIN(Instances!P119:Instances!P119))</f>
        <v>0</v>
      </c>
      <c r="Q119" s="1" cm="1">
        <f t="array" ref="Q119">_xlfn.SWITCH($A$2,"average", AVERAGE(Instances!Q119:Instances!Q119),"median", MEDIAN(Instances!Q119:Instances!Q119),"min", MIN(Instances!Q119:Instances!Q119),"max", MAX(Instances!Q119:Instances!Q119),"diff", MAX(Instances!Q119:Instances!Q119)-MIN(Instances!Q119:Instances!Q119))</f>
        <v>0</v>
      </c>
      <c r="R119" s="1">
        <f>MIN($B119,$D119,$F119,$H119,$J119,$L119,$N119,$P119)</f>
        <v>0</v>
      </c>
      <c r="S119" s="1">
        <f>MIN($C119,$E119,$G119,$I119,$K119,$M119,$O119,$Q119)</f>
        <v>0</v>
      </c>
      <c r="T119" s="1">
        <f>MEDIAN($B119,$D119,$F119,$H119,$J119,$L119,$N119,$P119)</f>
        <v>0</v>
      </c>
      <c r="U119" s="1">
        <f>MEDIAN($C119,$E119,$G119,$I119,$K119,$M119,$O119,$Q119)</f>
        <v>0</v>
      </c>
      <c r="V119" s="1">
        <f>MAX($B119,$D119,$F119,$H119,$J119,$L119,$N119,$P119)</f>
        <v>0</v>
      </c>
      <c r="W119" s="1">
        <f>MAX($C119,$E119,$G119,$I119,$K119,$M119,$O119,$Q119)</f>
        <v>0</v>
      </c>
    </row>
    <row r="120" spans="1:23">
      <c r="A120" s="1" t="s">
        <v>117</v>
      </c>
      <c r="B120" s="1"/>
      <c r="C120" s="1"/>
      <c r="D120" s="1" cm="1">
        <f t="array" ref="D120">_xlfn.SWITCH($A$2,"average", AVERAGE(Instances!D120:Instances!D120),"median", MEDIAN(Instances!D120:Instances!D120),"min", MIN(Instances!D120:Instances!D120),"max", MAX(Instances!D120:Instances!D120),"diff", MAX(Instances!D120:Instances!D120)-MIN(Instances!D120:Instances!D120))</f>
        <v>0</v>
      </c>
      <c r="E120" s="1" cm="1">
        <f t="array" ref="E120">_xlfn.SWITCH($A$2,"average", AVERAGE(Instances!E120:Instances!E120),"median", MEDIAN(Instances!E120:Instances!E120),"min", MIN(Instances!E120:Instances!E120),"max", MAX(Instances!E120:Instances!E120),"diff", MAX(Instances!E120:Instances!E120)-MIN(Instances!E120:Instances!E120))</f>
        <v>0</v>
      </c>
      <c r="F120" s="1" cm="1">
        <f t="array" ref="F120">_xlfn.SWITCH($A$2,"average", AVERAGE(Instances!F120:Instances!F120),"median", MEDIAN(Instances!F120:Instances!F120),"min", MIN(Instances!F120:Instances!F120),"max", MAX(Instances!F120:Instances!F120),"diff", MAX(Instances!F120:Instances!F120)-MIN(Instances!F120:Instances!F120))</f>
        <v>0</v>
      </c>
      <c r="G120" s="1" cm="1">
        <f t="array" ref="G120">_xlfn.SWITCH($A$2,"average", AVERAGE(Instances!G120:Instances!G120),"median", MEDIAN(Instances!G120:Instances!G120),"min", MIN(Instances!G120:Instances!G120),"max", MAX(Instances!G120:Instances!G120),"diff", MAX(Instances!G120:Instances!G120)-MIN(Instances!G120:Instances!G120))</f>
        <v>0</v>
      </c>
      <c r="H120" s="1"/>
      <c r="I120" s="1"/>
      <c r="J120" s="1" cm="1">
        <f t="array" ref="J120">_xlfn.SWITCH($A$2,"average", AVERAGE(Instances!J120:Instances!J120),"median", MEDIAN(Instances!J120:Instances!J120),"min", MIN(Instances!J120:Instances!J120),"max", MAX(Instances!J120:Instances!J120),"diff", MAX(Instances!J120:Instances!J120)-MIN(Instances!J120:Instances!J120))</f>
        <v>0</v>
      </c>
      <c r="K120" s="1" cm="1">
        <f t="array" ref="K120">_xlfn.SWITCH($A$2,"average", AVERAGE(Instances!K120:Instances!K120),"median", MEDIAN(Instances!K120:Instances!K120),"min", MIN(Instances!K120:Instances!K120),"max", MAX(Instances!K120:Instances!K120),"diff", MAX(Instances!K120:Instances!K120)-MIN(Instances!K120:Instances!K120))</f>
        <v>0</v>
      </c>
      <c r="L120" s="1" cm="1">
        <f t="array" ref="L120">_xlfn.SWITCH($A$2,"average", AVERAGE(Instances!L120:Instances!L120),"median", MEDIAN(Instances!L120:Instances!L120),"min", MIN(Instances!L120:Instances!L120),"max", MAX(Instances!L120:Instances!L120),"diff", MAX(Instances!L120:Instances!L120)-MIN(Instances!L120:Instances!L120))</f>
        <v>0</v>
      </c>
      <c r="M120" s="1" cm="1">
        <f t="array" ref="M120">_xlfn.SWITCH($A$2,"average", AVERAGE(Instances!M120:Instances!M120),"median", MEDIAN(Instances!M120:Instances!M120),"min", MIN(Instances!M120:Instances!M120),"max", MAX(Instances!M120:Instances!M120),"diff", MAX(Instances!M120:Instances!M120)-MIN(Instances!M120:Instances!M120))</f>
        <v>0</v>
      </c>
      <c r="N120" s="1" cm="1">
        <f t="array" ref="N120">_xlfn.SWITCH($A$2,"average", AVERAGE(Instances!N120:Instances!N120),"median", MEDIAN(Instances!N120:Instances!N120),"min", MIN(Instances!N120:Instances!N120),"max", MAX(Instances!N120:Instances!N120),"diff", MAX(Instances!N120:Instances!N120)-MIN(Instances!N120:Instances!N120))</f>
        <v>0</v>
      </c>
      <c r="O120" s="1" cm="1">
        <f t="array" ref="O120">_xlfn.SWITCH($A$2,"average", AVERAGE(Instances!O120:Instances!O120),"median", MEDIAN(Instances!O120:Instances!O120),"min", MIN(Instances!O120:Instances!O120),"max", MAX(Instances!O120:Instances!O120),"diff", MAX(Instances!O120:Instances!O120)-MIN(Instances!O120:Instances!O120))</f>
        <v>0</v>
      </c>
      <c r="P120" s="1" cm="1">
        <f t="array" ref="P120">_xlfn.SWITCH($A$2,"average", AVERAGE(Instances!P120:Instances!P120),"median", MEDIAN(Instances!P120:Instances!P120),"min", MIN(Instances!P120:Instances!P120),"max", MAX(Instances!P120:Instances!P120),"diff", MAX(Instances!P120:Instances!P120)-MIN(Instances!P120:Instances!P120))</f>
        <v>0</v>
      </c>
      <c r="Q120" s="1" cm="1">
        <f t="array" ref="Q120">_xlfn.SWITCH($A$2,"average", AVERAGE(Instances!Q120:Instances!Q120),"median", MEDIAN(Instances!Q120:Instances!Q120),"min", MIN(Instances!Q120:Instances!Q120),"max", MAX(Instances!Q120:Instances!Q120),"diff", MAX(Instances!Q120:Instances!Q120)-MIN(Instances!Q120:Instances!Q120))</f>
        <v>0</v>
      </c>
      <c r="R120" s="1">
        <f>MIN($B120,$D120,$F120,$H120,$J120,$L120,$N120,$P120)</f>
        <v>0</v>
      </c>
      <c r="S120" s="1">
        <f>MIN($C120,$E120,$G120,$I120,$K120,$M120,$O120,$Q120)</f>
        <v>0</v>
      </c>
      <c r="T120" s="1">
        <f>MEDIAN($B120,$D120,$F120,$H120,$J120,$L120,$N120,$P120)</f>
        <v>0</v>
      </c>
      <c r="U120" s="1">
        <f>MEDIAN($C120,$E120,$G120,$I120,$K120,$M120,$O120,$Q120)</f>
        <v>0</v>
      </c>
      <c r="V120" s="1">
        <f>MAX($B120,$D120,$F120,$H120,$J120,$L120,$N120,$P120)</f>
        <v>0</v>
      </c>
      <c r="W120" s="1">
        <f>MAX($C120,$E120,$G120,$I120,$K120,$M120,$O120,$Q120)</f>
        <v>0</v>
      </c>
    </row>
    <row r="121" spans="1:23">
      <c r="A121" s="1" t="s">
        <v>118</v>
      </c>
      <c r="B121" s="1"/>
      <c r="C121" s="1"/>
      <c r="D121" s="1" cm="1">
        <f t="array" ref="D121">_xlfn.SWITCH($A$2,"average", AVERAGE(Instances!D121:Instances!D121),"median", MEDIAN(Instances!D121:Instances!D121),"min", MIN(Instances!D121:Instances!D121),"max", MAX(Instances!D121:Instances!D121),"diff", MAX(Instances!D121:Instances!D121)-MIN(Instances!D121:Instances!D121))</f>
        <v>0</v>
      </c>
      <c r="E121" s="1" cm="1">
        <f t="array" ref="E121">_xlfn.SWITCH($A$2,"average", AVERAGE(Instances!E121:Instances!E121),"median", MEDIAN(Instances!E121:Instances!E121),"min", MIN(Instances!E121:Instances!E121),"max", MAX(Instances!E121:Instances!E121),"diff", MAX(Instances!E121:Instances!E121)-MIN(Instances!E121:Instances!E121))</f>
        <v>0</v>
      </c>
      <c r="F121" s="1" cm="1">
        <f t="array" ref="F121">_xlfn.SWITCH($A$2,"average", AVERAGE(Instances!F121:Instances!F121),"median", MEDIAN(Instances!F121:Instances!F121),"min", MIN(Instances!F121:Instances!F121),"max", MAX(Instances!F121:Instances!F121),"diff", MAX(Instances!F121:Instances!F121)-MIN(Instances!F121:Instances!F121))</f>
        <v>0</v>
      </c>
      <c r="G121" s="1" cm="1">
        <f t="array" ref="G121">_xlfn.SWITCH($A$2,"average", AVERAGE(Instances!G121:Instances!G121),"median", MEDIAN(Instances!G121:Instances!G121),"min", MIN(Instances!G121:Instances!G121),"max", MAX(Instances!G121:Instances!G121),"diff", MAX(Instances!G121:Instances!G121)-MIN(Instances!G121:Instances!G121))</f>
        <v>0</v>
      </c>
      <c r="H121" s="1"/>
      <c r="I121" s="1"/>
      <c r="J121" s="1" cm="1">
        <f t="array" ref="J121">_xlfn.SWITCH($A$2,"average", AVERAGE(Instances!J121:Instances!J121),"median", MEDIAN(Instances!J121:Instances!J121),"min", MIN(Instances!J121:Instances!J121),"max", MAX(Instances!J121:Instances!J121),"diff", MAX(Instances!J121:Instances!J121)-MIN(Instances!J121:Instances!J121))</f>
        <v>0</v>
      </c>
      <c r="K121" s="1" cm="1">
        <f t="array" ref="K121">_xlfn.SWITCH($A$2,"average", AVERAGE(Instances!K121:Instances!K121),"median", MEDIAN(Instances!K121:Instances!K121),"min", MIN(Instances!K121:Instances!K121),"max", MAX(Instances!K121:Instances!K121),"diff", MAX(Instances!K121:Instances!K121)-MIN(Instances!K121:Instances!K121))</f>
        <v>0</v>
      </c>
      <c r="L121" s="1" cm="1">
        <f t="array" ref="L121">_xlfn.SWITCH($A$2,"average", AVERAGE(Instances!L121:Instances!L121),"median", MEDIAN(Instances!L121:Instances!L121),"min", MIN(Instances!L121:Instances!L121),"max", MAX(Instances!L121:Instances!L121),"diff", MAX(Instances!L121:Instances!L121)-MIN(Instances!L121:Instances!L121))</f>
        <v>0</v>
      </c>
      <c r="M121" s="1" cm="1">
        <f t="array" ref="M121">_xlfn.SWITCH($A$2,"average", AVERAGE(Instances!M121:Instances!M121),"median", MEDIAN(Instances!M121:Instances!M121),"min", MIN(Instances!M121:Instances!M121),"max", MAX(Instances!M121:Instances!M121),"diff", MAX(Instances!M121:Instances!M121)-MIN(Instances!M121:Instances!M121))</f>
        <v>0</v>
      </c>
      <c r="N121" s="1" cm="1">
        <f t="array" ref="N121">_xlfn.SWITCH($A$2,"average", AVERAGE(Instances!N121:Instances!N121),"median", MEDIAN(Instances!N121:Instances!N121),"min", MIN(Instances!N121:Instances!N121),"max", MAX(Instances!N121:Instances!N121),"diff", MAX(Instances!N121:Instances!N121)-MIN(Instances!N121:Instances!N121))</f>
        <v>0</v>
      </c>
      <c r="O121" s="1" cm="1">
        <f t="array" ref="O121">_xlfn.SWITCH($A$2,"average", AVERAGE(Instances!O121:Instances!O121),"median", MEDIAN(Instances!O121:Instances!O121),"min", MIN(Instances!O121:Instances!O121),"max", MAX(Instances!O121:Instances!O121),"diff", MAX(Instances!O121:Instances!O121)-MIN(Instances!O121:Instances!O121))</f>
        <v>0</v>
      </c>
      <c r="P121" s="1" cm="1">
        <f t="array" ref="P121">_xlfn.SWITCH($A$2,"average", AVERAGE(Instances!P121:Instances!P121),"median", MEDIAN(Instances!P121:Instances!P121),"min", MIN(Instances!P121:Instances!P121),"max", MAX(Instances!P121:Instances!P121),"diff", MAX(Instances!P121:Instances!P121)-MIN(Instances!P121:Instances!P121))</f>
        <v>0</v>
      </c>
      <c r="Q121" s="1" cm="1">
        <f t="array" ref="Q121">_xlfn.SWITCH($A$2,"average", AVERAGE(Instances!Q121:Instances!Q121),"median", MEDIAN(Instances!Q121:Instances!Q121),"min", MIN(Instances!Q121:Instances!Q121),"max", MAX(Instances!Q121:Instances!Q121),"diff", MAX(Instances!Q121:Instances!Q121)-MIN(Instances!Q121:Instances!Q121))</f>
        <v>0</v>
      </c>
      <c r="R121" s="1">
        <f>MIN($B121,$D121,$F121,$H121,$J121,$L121,$N121,$P121)</f>
        <v>0</v>
      </c>
      <c r="S121" s="1">
        <f>MIN($C121,$E121,$G121,$I121,$K121,$M121,$O121,$Q121)</f>
        <v>0</v>
      </c>
      <c r="T121" s="1">
        <f>MEDIAN($B121,$D121,$F121,$H121,$J121,$L121,$N121,$P121)</f>
        <v>0</v>
      </c>
      <c r="U121" s="1">
        <f>MEDIAN($C121,$E121,$G121,$I121,$K121,$M121,$O121,$Q121)</f>
        <v>0</v>
      </c>
      <c r="V121" s="1">
        <f>MAX($B121,$D121,$F121,$H121,$J121,$L121,$N121,$P121)</f>
        <v>0</v>
      </c>
      <c r="W121" s="1">
        <f>MAX($C121,$E121,$G121,$I121,$K121,$M121,$O121,$Q121)</f>
        <v>0</v>
      </c>
    </row>
    <row r="122" spans="1:23">
      <c r="A122" s="1" t="s">
        <v>119</v>
      </c>
      <c r="B122" s="1"/>
      <c r="C122" s="1"/>
      <c r="D122" s="1" cm="1">
        <f t="array" ref="D122">_xlfn.SWITCH($A$2,"average", AVERAGE(Instances!D122:Instances!D122),"median", MEDIAN(Instances!D122:Instances!D122),"min", MIN(Instances!D122:Instances!D122),"max", MAX(Instances!D122:Instances!D122),"diff", MAX(Instances!D122:Instances!D122)-MIN(Instances!D122:Instances!D122))</f>
        <v>0</v>
      </c>
      <c r="E122" s="1" cm="1">
        <f t="array" ref="E122">_xlfn.SWITCH($A$2,"average", AVERAGE(Instances!E122:Instances!E122),"median", MEDIAN(Instances!E122:Instances!E122),"min", MIN(Instances!E122:Instances!E122),"max", MAX(Instances!E122:Instances!E122),"diff", MAX(Instances!E122:Instances!E122)-MIN(Instances!E122:Instances!E122))</f>
        <v>0</v>
      </c>
      <c r="F122" s="1" cm="1">
        <f t="array" ref="F122">_xlfn.SWITCH($A$2,"average", AVERAGE(Instances!F122:Instances!F122),"median", MEDIAN(Instances!F122:Instances!F122),"min", MIN(Instances!F122:Instances!F122),"max", MAX(Instances!F122:Instances!F122),"diff", MAX(Instances!F122:Instances!F122)-MIN(Instances!F122:Instances!F122))</f>
        <v>0</v>
      </c>
      <c r="G122" s="1" cm="1">
        <f t="array" ref="G122">_xlfn.SWITCH($A$2,"average", AVERAGE(Instances!G122:Instances!G122),"median", MEDIAN(Instances!G122:Instances!G122),"min", MIN(Instances!G122:Instances!G122),"max", MAX(Instances!G122:Instances!G122),"diff", MAX(Instances!G122:Instances!G122)-MIN(Instances!G122:Instances!G122))</f>
        <v>0</v>
      </c>
      <c r="H122" s="1"/>
      <c r="I122" s="1"/>
      <c r="J122" s="1" cm="1">
        <f t="array" ref="J122">_xlfn.SWITCH($A$2,"average", AVERAGE(Instances!J122:Instances!J122),"median", MEDIAN(Instances!J122:Instances!J122),"min", MIN(Instances!J122:Instances!J122),"max", MAX(Instances!J122:Instances!J122),"diff", MAX(Instances!J122:Instances!J122)-MIN(Instances!J122:Instances!J122))</f>
        <v>0</v>
      </c>
      <c r="K122" s="1" cm="1">
        <f t="array" ref="K122">_xlfn.SWITCH($A$2,"average", AVERAGE(Instances!K122:Instances!K122),"median", MEDIAN(Instances!K122:Instances!K122),"min", MIN(Instances!K122:Instances!K122),"max", MAX(Instances!K122:Instances!K122),"diff", MAX(Instances!K122:Instances!K122)-MIN(Instances!K122:Instances!K122))</f>
        <v>0</v>
      </c>
      <c r="L122" s="1" cm="1">
        <f t="array" ref="L122">_xlfn.SWITCH($A$2,"average", AVERAGE(Instances!L122:Instances!L122),"median", MEDIAN(Instances!L122:Instances!L122),"min", MIN(Instances!L122:Instances!L122),"max", MAX(Instances!L122:Instances!L122),"diff", MAX(Instances!L122:Instances!L122)-MIN(Instances!L122:Instances!L122))</f>
        <v>0</v>
      </c>
      <c r="M122" s="1" cm="1">
        <f t="array" ref="M122">_xlfn.SWITCH($A$2,"average", AVERAGE(Instances!M122:Instances!M122),"median", MEDIAN(Instances!M122:Instances!M122),"min", MIN(Instances!M122:Instances!M122),"max", MAX(Instances!M122:Instances!M122),"diff", MAX(Instances!M122:Instances!M122)-MIN(Instances!M122:Instances!M122))</f>
        <v>0</v>
      </c>
      <c r="N122" s="1" cm="1">
        <f t="array" ref="N122">_xlfn.SWITCH($A$2,"average", AVERAGE(Instances!N122:Instances!N122),"median", MEDIAN(Instances!N122:Instances!N122),"min", MIN(Instances!N122:Instances!N122),"max", MAX(Instances!N122:Instances!N122),"diff", MAX(Instances!N122:Instances!N122)-MIN(Instances!N122:Instances!N122))</f>
        <v>0</v>
      </c>
      <c r="O122" s="1" cm="1">
        <f t="array" ref="O122">_xlfn.SWITCH($A$2,"average", AVERAGE(Instances!O122:Instances!O122),"median", MEDIAN(Instances!O122:Instances!O122),"min", MIN(Instances!O122:Instances!O122),"max", MAX(Instances!O122:Instances!O122),"diff", MAX(Instances!O122:Instances!O122)-MIN(Instances!O122:Instances!O122))</f>
        <v>0</v>
      </c>
      <c r="P122" s="1" cm="1">
        <f t="array" ref="P122">_xlfn.SWITCH($A$2,"average", AVERAGE(Instances!P122:Instances!P122),"median", MEDIAN(Instances!P122:Instances!P122),"min", MIN(Instances!P122:Instances!P122),"max", MAX(Instances!P122:Instances!P122),"diff", MAX(Instances!P122:Instances!P122)-MIN(Instances!P122:Instances!P122))</f>
        <v>0</v>
      </c>
      <c r="Q122" s="1" cm="1">
        <f t="array" ref="Q122">_xlfn.SWITCH($A$2,"average", AVERAGE(Instances!Q122:Instances!Q122),"median", MEDIAN(Instances!Q122:Instances!Q122),"min", MIN(Instances!Q122:Instances!Q122),"max", MAX(Instances!Q122:Instances!Q122),"diff", MAX(Instances!Q122:Instances!Q122)-MIN(Instances!Q122:Instances!Q122))</f>
        <v>0</v>
      </c>
      <c r="R122" s="1">
        <f>MIN($B122,$D122,$F122,$H122,$J122,$L122,$N122,$P122)</f>
        <v>0</v>
      </c>
      <c r="S122" s="1">
        <f>MIN($C122,$E122,$G122,$I122,$K122,$M122,$O122,$Q122)</f>
        <v>0</v>
      </c>
      <c r="T122" s="1">
        <f>MEDIAN($B122,$D122,$F122,$H122,$J122,$L122,$N122,$P122)</f>
        <v>0</v>
      </c>
      <c r="U122" s="1">
        <f>MEDIAN($C122,$E122,$G122,$I122,$K122,$M122,$O122,$Q122)</f>
        <v>0</v>
      </c>
      <c r="V122" s="1">
        <f>MAX($B122,$D122,$F122,$H122,$J122,$L122,$N122,$P122)</f>
        <v>0</v>
      </c>
      <c r="W122" s="1">
        <f>MAX($C122,$E122,$G122,$I122,$K122,$M122,$O122,$Q122)</f>
        <v>0</v>
      </c>
    </row>
    <row r="123" spans="1:23">
      <c r="A123" s="1" t="s">
        <v>120</v>
      </c>
      <c r="B123" s="1"/>
      <c r="C123" s="1"/>
      <c r="D123" s="1" cm="1">
        <f t="array" ref="D123">_xlfn.SWITCH($A$2,"average", AVERAGE(Instances!D123:Instances!D123),"median", MEDIAN(Instances!D123:Instances!D123),"min", MIN(Instances!D123:Instances!D123),"max", MAX(Instances!D123:Instances!D123),"diff", MAX(Instances!D123:Instances!D123)-MIN(Instances!D123:Instances!D123))</f>
        <v>0</v>
      </c>
      <c r="E123" s="1" cm="1">
        <f t="array" ref="E123">_xlfn.SWITCH($A$2,"average", AVERAGE(Instances!E123:Instances!E123),"median", MEDIAN(Instances!E123:Instances!E123),"min", MIN(Instances!E123:Instances!E123),"max", MAX(Instances!E123:Instances!E123),"diff", MAX(Instances!E123:Instances!E123)-MIN(Instances!E123:Instances!E123))</f>
        <v>0</v>
      </c>
      <c r="F123" s="1" cm="1">
        <f t="array" ref="F123">_xlfn.SWITCH($A$2,"average", AVERAGE(Instances!F123:Instances!F123),"median", MEDIAN(Instances!F123:Instances!F123),"min", MIN(Instances!F123:Instances!F123),"max", MAX(Instances!F123:Instances!F123),"diff", MAX(Instances!F123:Instances!F123)-MIN(Instances!F123:Instances!F123))</f>
        <v>0</v>
      </c>
      <c r="G123" s="1" cm="1">
        <f t="array" ref="G123">_xlfn.SWITCH($A$2,"average", AVERAGE(Instances!G123:Instances!G123),"median", MEDIAN(Instances!G123:Instances!G123),"min", MIN(Instances!G123:Instances!G123),"max", MAX(Instances!G123:Instances!G123),"diff", MAX(Instances!G123:Instances!G123)-MIN(Instances!G123:Instances!G123))</f>
        <v>0</v>
      </c>
      <c r="H123" s="1"/>
      <c r="I123" s="1"/>
      <c r="J123" s="1" cm="1">
        <f t="array" ref="J123">_xlfn.SWITCH($A$2,"average", AVERAGE(Instances!J123:Instances!J123),"median", MEDIAN(Instances!J123:Instances!J123),"min", MIN(Instances!J123:Instances!J123),"max", MAX(Instances!J123:Instances!J123),"diff", MAX(Instances!J123:Instances!J123)-MIN(Instances!J123:Instances!J123))</f>
        <v>0</v>
      </c>
      <c r="K123" s="1" cm="1">
        <f t="array" ref="K123">_xlfn.SWITCH($A$2,"average", AVERAGE(Instances!K123:Instances!K123),"median", MEDIAN(Instances!K123:Instances!K123),"min", MIN(Instances!K123:Instances!K123),"max", MAX(Instances!K123:Instances!K123),"diff", MAX(Instances!K123:Instances!K123)-MIN(Instances!K123:Instances!K123))</f>
        <v>0</v>
      </c>
      <c r="L123" s="1" cm="1">
        <f t="array" ref="L123">_xlfn.SWITCH($A$2,"average", AVERAGE(Instances!L123:Instances!L123),"median", MEDIAN(Instances!L123:Instances!L123),"min", MIN(Instances!L123:Instances!L123),"max", MAX(Instances!L123:Instances!L123),"diff", MAX(Instances!L123:Instances!L123)-MIN(Instances!L123:Instances!L123))</f>
        <v>0</v>
      </c>
      <c r="M123" s="1" cm="1">
        <f t="array" ref="M123">_xlfn.SWITCH($A$2,"average", AVERAGE(Instances!M123:Instances!M123),"median", MEDIAN(Instances!M123:Instances!M123),"min", MIN(Instances!M123:Instances!M123),"max", MAX(Instances!M123:Instances!M123),"diff", MAX(Instances!M123:Instances!M123)-MIN(Instances!M123:Instances!M123))</f>
        <v>0</v>
      </c>
      <c r="N123" s="1" cm="1">
        <f t="array" ref="N123">_xlfn.SWITCH($A$2,"average", AVERAGE(Instances!N123:Instances!N123),"median", MEDIAN(Instances!N123:Instances!N123),"min", MIN(Instances!N123:Instances!N123),"max", MAX(Instances!N123:Instances!N123),"diff", MAX(Instances!N123:Instances!N123)-MIN(Instances!N123:Instances!N123))</f>
        <v>0</v>
      </c>
      <c r="O123" s="1" cm="1">
        <f t="array" ref="O123">_xlfn.SWITCH($A$2,"average", AVERAGE(Instances!O123:Instances!O123),"median", MEDIAN(Instances!O123:Instances!O123),"min", MIN(Instances!O123:Instances!O123),"max", MAX(Instances!O123:Instances!O123),"diff", MAX(Instances!O123:Instances!O123)-MIN(Instances!O123:Instances!O123))</f>
        <v>0</v>
      </c>
      <c r="P123" s="1" cm="1">
        <f t="array" ref="P123">_xlfn.SWITCH($A$2,"average", AVERAGE(Instances!P123:Instances!P123),"median", MEDIAN(Instances!P123:Instances!P123),"min", MIN(Instances!P123:Instances!P123),"max", MAX(Instances!P123:Instances!P123),"diff", MAX(Instances!P123:Instances!P123)-MIN(Instances!P123:Instances!P123))</f>
        <v>0</v>
      </c>
      <c r="Q123" s="1" cm="1">
        <f t="array" ref="Q123">_xlfn.SWITCH($A$2,"average", AVERAGE(Instances!Q123:Instances!Q123),"median", MEDIAN(Instances!Q123:Instances!Q123),"min", MIN(Instances!Q123:Instances!Q123),"max", MAX(Instances!Q123:Instances!Q123),"diff", MAX(Instances!Q123:Instances!Q123)-MIN(Instances!Q123:Instances!Q123))</f>
        <v>0</v>
      </c>
      <c r="R123" s="1">
        <f>MIN($B123,$D123,$F123,$H123,$J123,$L123,$N123,$P123)</f>
        <v>0</v>
      </c>
      <c r="S123" s="1">
        <f>MIN($C123,$E123,$G123,$I123,$K123,$M123,$O123,$Q123)</f>
        <v>0</v>
      </c>
      <c r="T123" s="1">
        <f>MEDIAN($B123,$D123,$F123,$H123,$J123,$L123,$N123,$P123)</f>
        <v>0</v>
      </c>
      <c r="U123" s="1">
        <f>MEDIAN($C123,$E123,$G123,$I123,$K123,$M123,$O123,$Q123)</f>
        <v>0</v>
      </c>
      <c r="V123" s="1">
        <f>MAX($B123,$D123,$F123,$H123,$J123,$L123,$N123,$P123)</f>
        <v>0</v>
      </c>
      <c r="W123" s="1">
        <f>MAX($C123,$E123,$G123,$I123,$K123,$M123,$O123,$Q123)</f>
        <v>0</v>
      </c>
    </row>
    <row r="124" spans="1:23">
      <c r="A124" s="1" t="s">
        <v>121</v>
      </c>
      <c r="B124" s="1"/>
      <c r="C124" s="1"/>
      <c r="D124" s="1" cm="1">
        <f t="array" ref="D124">_xlfn.SWITCH($A$2,"average", AVERAGE(Instances!D124:Instances!D124),"median", MEDIAN(Instances!D124:Instances!D124),"min", MIN(Instances!D124:Instances!D124),"max", MAX(Instances!D124:Instances!D124),"diff", MAX(Instances!D124:Instances!D124)-MIN(Instances!D124:Instances!D124))</f>
        <v>0</v>
      </c>
      <c r="E124" s="1" cm="1">
        <f t="array" ref="E124">_xlfn.SWITCH($A$2,"average", AVERAGE(Instances!E124:Instances!E124),"median", MEDIAN(Instances!E124:Instances!E124),"min", MIN(Instances!E124:Instances!E124),"max", MAX(Instances!E124:Instances!E124),"diff", MAX(Instances!E124:Instances!E124)-MIN(Instances!E124:Instances!E124))</f>
        <v>0</v>
      </c>
      <c r="F124" s="1" cm="1">
        <f t="array" ref="F124">_xlfn.SWITCH($A$2,"average", AVERAGE(Instances!F124:Instances!F124),"median", MEDIAN(Instances!F124:Instances!F124),"min", MIN(Instances!F124:Instances!F124),"max", MAX(Instances!F124:Instances!F124),"diff", MAX(Instances!F124:Instances!F124)-MIN(Instances!F124:Instances!F124))</f>
        <v>0</v>
      </c>
      <c r="G124" s="1" cm="1">
        <f t="array" ref="G124">_xlfn.SWITCH($A$2,"average", AVERAGE(Instances!G124:Instances!G124),"median", MEDIAN(Instances!G124:Instances!G124),"min", MIN(Instances!G124:Instances!G124),"max", MAX(Instances!G124:Instances!G124),"diff", MAX(Instances!G124:Instances!G124)-MIN(Instances!G124:Instances!G124))</f>
        <v>0</v>
      </c>
      <c r="H124" s="1"/>
      <c r="I124" s="1"/>
      <c r="J124" s="1" cm="1">
        <f t="array" ref="J124">_xlfn.SWITCH($A$2,"average", AVERAGE(Instances!J124:Instances!J124),"median", MEDIAN(Instances!J124:Instances!J124),"min", MIN(Instances!J124:Instances!J124),"max", MAX(Instances!J124:Instances!J124),"diff", MAX(Instances!J124:Instances!J124)-MIN(Instances!J124:Instances!J124))</f>
        <v>0</v>
      </c>
      <c r="K124" s="1" cm="1">
        <f t="array" ref="K124">_xlfn.SWITCH($A$2,"average", AVERAGE(Instances!K124:Instances!K124),"median", MEDIAN(Instances!K124:Instances!K124),"min", MIN(Instances!K124:Instances!K124),"max", MAX(Instances!K124:Instances!K124),"diff", MAX(Instances!K124:Instances!K124)-MIN(Instances!K124:Instances!K124))</f>
        <v>0</v>
      </c>
      <c r="L124" s="1" cm="1">
        <f t="array" ref="L124">_xlfn.SWITCH($A$2,"average", AVERAGE(Instances!L124:Instances!L124),"median", MEDIAN(Instances!L124:Instances!L124),"min", MIN(Instances!L124:Instances!L124),"max", MAX(Instances!L124:Instances!L124),"diff", MAX(Instances!L124:Instances!L124)-MIN(Instances!L124:Instances!L124))</f>
        <v>0</v>
      </c>
      <c r="M124" s="1" cm="1">
        <f t="array" ref="M124">_xlfn.SWITCH($A$2,"average", AVERAGE(Instances!M124:Instances!M124),"median", MEDIAN(Instances!M124:Instances!M124),"min", MIN(Instances!M124:Instances!M124),"max", MAX(Instances!M124:Instances!M124),"diff", MAX(Instances!M124:Instances!M124)-MIN(Instances!M124:Instances!M124))</f>
        <v>0</v>
      </c>
      <c r="N124" s="1" cm="1">
        <f t="array" ref="N124">_xlfn.SWITCH($A$2,"average", AVERAGE(Instances!N124:Instances!N124),"median", MEDIAN(Instances!N124:Instances!N124),"min", MIN(Instances!N124:Instances!N124),"max", MAX(Instances!N124:Instances!N124),"diff", MAX(Instances!N124:Instances!N124)-MIN(Instances!N124:Instances!N124))</f>
        <v>0</v>
      </c>
      <c r="O124" s="1" cm="1">
        <f t="array" ref="O124">_xlfn.SWITCH($A$2,"average", AVERAGE(Instances!O124:Instances!O124),"median", MEDIAN(Instances!O124:Instances!O124),"min", MIN(Instances!O124:Instances!O124),"max", MAX(Instances!O124:Instances!O124),"diff", MAX(Instances!O124:Instances!O124)-MIN(Instances!O124:Instances!O124))</f>
        <v>0</v>
      </c>
      <c r="P124" s="1" cm="1">
        <f t="array" ref="P124">_xlfn.SWITCH($A$2,"average", AVERAGE(Instances!P124:Instances!P124),"median", MEDIAN(Instances!P124:Instances!P124),"min", MIN(Instances!P124:Instances!P124),"max", MAX(Instances!P124:Instances!P124),"diff", MAX(Instances!P124:Instances!P124)-MIN(Instances!P124:Instances!P124))</f>
        <v>0</v>
      </c>
      <c r="Q124" s="1" cm="1">
        <f t="array" ref="Q124">_xlfn.SWITCH($A$2,"average", AVERAGE(Instances!Q124:Instances!Q124),"median", MEDIAN(Instances!Q124:Instances!Q124),"min", MIN(Instances!Q124:Instances!Q124),"max", MAX(Instances!Q124:Instances!Q124),"diff", MAX(Instances!Q124:Instances!Q124)-MIN(Instances!Q124:Instances!Q124))</f>
        <v>0</v>
      </c>
      <c r="R124" s="1">
        <f>MIN($B124,$D124,$F124,$H124,$J124,$L124,$N124,$P124)</f>
        <v>0</v>
      </c>
      <c r="S124" s="1">
        <f>MIN($C124,$E124,$G124,$I124,$K124,$M124,$O124,$Q124)</f>
        <v>0</v>
      </c>
      <c r="T124" s="1">
        <f>MEDIAN($B124,$D124,$F124,$H124,$J124,$L124,$N124,$P124)</f>
        <v>0</v>
      </c>
      <c r="U124" s="1">
        <f>MEDIAN($C124,$E124,$G124,$I124,$K124,$M124,$O124,$Q124)</f>
        <v>0</v>
      </c>
      <c r="V124" s="1">
        <f>MAX($B124,$D124,$F124,$H124,$J124,$L124,$N124,$P124)</f>
        <v>0</v>
      </c>
      <c r="W124" s="1">
        <f>MAX($C124,$E124,$G124,$I124,$K124,$M124,$O124,$Q124)</f>
        <v>0</v>
      </c>
    </row>
    <row r="125" spans="1:23">
      <c r="A125" s="1" t="s">
        <v>122</v>
      </c>
      <c r="B125" s="1"/>
      <c r="C125" s="1"/>
      <c r="D125" s="1" cm="1">
        <f t="array" ref="D125">_xlfn.SWITCH($A$2,"average", AVERAGE(Instances!D125:Instances!D125),"median", MEDIAN(Instances!D125:Instances!D125),"min", MIN(Instances!D125:Instances!D125),"max", MAX(Instances!D125:Instances!D125),"diff", MAX(Instances!D125:Instances!D125)-MIN(Instances!D125:Instances!D125))</f>
        <v>0</v>
      </c>
      <c r="E125" s="1" cm="1">
        <f t="array" ref="E125">_xlfn.SWITCH($A$2,"average", AVERAGE(Instances!E125:Instances!E125),"median", MEDIAN(Instances!E125:Instances!E125),"min", MIN(Instances!E125:Instances!E125),"max", MAX(Instances!E125:Instances!E125),"diff", MAX(Instances!E125:Instances!E125)-MIN(Instances!E125:Instances!E125))</f>
        <v>0</v>
      </c>
      <c r="F125" s="1" cm="1">
        <f t="array" ref="F125">_xlfn.SWITCH($A$2,"average", AVERAGE(Instances!F125:Instances!F125),"median", MEDIAN(Instances!F125:Instances!F125),"min", MIN(Instances!F125:Instances!F125),"max", MAX(Instances!F125:Instances!F125),"diff", MAX(Instances!F125:Instances!F125)-MIN(Instances!F125:Instances!F125))</f>
        <v>0</v>
      </c>
      <c r="G125" s="1" cm="1">
        <f t="array" ref="G125">_xlfn.SWITCH($A$2,"average", AVERAGE(Instances!G125:Instances!G125),"median", MEDIAN(Instances!G125:Instances!G125),"min", MIN(Instances!G125:Instances!G125),"max", MAX(Instances!G125:Instances!G125),"diff", MAX(Instances!G125:Instances!G125)-MIN(Instances!G125:Instances!G125))</f>
        <v>0</v>
      </c>
      <c r="H125" s="1"/>
      <c r="I125" s="1"/>
      <c r="J125" s="1" cm="1">
        <f t="array" ref="J125">_xlfn.SWITCH($A$2,"average", AVERAGE(Instances!J125:Instances!J125),"median", MEDIAN(Instances!J125:Instances!J125),"min", MIN(Instances!J125:Instances!J125),"max", MAX(Instances!J125:Instances!J125),"diff", MAX(Instances!J125:Instances!J125)-MIN(Instances!J125:Instances!J125))</f>
        <v>0</v>
      </c>
      <c r="K125" s="1" cm="1">
        <f t="array" ref="K125">_xlfn.SWITCH($A$2,"average", AVERAGE(Instances!K125:Instances!K125),"median", MEDIAN(Instances!K125:Instances!K125),"min", MIN(Instances!K125:Instances!K125),"max", MAX(Instances!K125:Instances!K125),"diff", MAX(Instances!K125:Instances!K125)-MIN(Instances!K125:Instances!K125))</f>
        <v>0</v>
      </c>
      <c r="L125" s="1" cm="1">
        <f t="array" ref="L125">_xlfn.SWITCH($A$2,"average", AVERAGE(Instances!L125:Instances!L125),"median", MEDIAN(Instances!L125:Instances!L125),"min", MIN(Instances!L125:Instances!L125),"max", MAX(Instances!L125:Instances!L125),"diff", MAX(Instances!L125:Instances!L125)-MIN(Instances!L125:Instances!L125))</f>
        <v>0</v>
      </c>
      <c r="M125" s="1" cm="1">
        <f t="array" ref="M125">_xlfn.SWITCH($A$2,"average", AVERAGE(Instances!M125:Instances!M125),"median", MEDIAN(Instances!M125:Instances!M125),"min", MIN(Instances!M125:Instances!M125),"max", MAX(Instances!M125:Instances!M125),"diff", MAX(Instances!M125:Instances!M125)-MIN(Instances!M125:Instances!M125))</f>
        <v>0</v>
      </c>
      <c r="N125" s="1" cm="1">
        <f t="array" ref="N125">_xlfn.SWITCH($A$2,"average", AVERAGE(Instances!N125:Instances!N125),"median", MEDIAN(Instances!N125:Instances!N125),"min", MIN(Instances!N125:Instances!N125),"max", MAX(Instances!N125:Instances!N125),"diff", MAX(Instances!N125:Instances!N125)-MIN(Instances!N125:Instances!N125))</f>
        <v>0</v>
      </c>
      <c r="O125" s="1" cm="1">
        <f t="array" ref="O125">_xlfn.SWITCH($A$2,"average", AVERAGE(Instances!O125:Instances!O125),"median", MEDIAN(Instances!O125:Instances!O125),"min", MIN(Instances!O125:Instances!O125),"max", MAX(Instances!O125:Instances!O125),"diff", MAX(Instances!O125:Instances!O125)-MIN(Instances!O125:Instances!O125))</f>
        <v>0</v>
      </c>
      <c r="P125" s="1" cm="1">
        <f t="array" ref="P125">_xlfn.SWITCH($A$2,"average", AVERAGE(Instances!P125:Instances!P125),"median", MEDIAN(Instances!P125:Instances!P125),"min", MIN(Instances!P125:Instances!P125),"max", MAX(Instances!P125:Instances!P125),"diff", MAX(Instances!P125:Instances!P125)-MIN(Instances!P125:Instances!P125))</f>
        <v>0</v>
      </c>
      <c r="Q125" s="1" cm="1">
        <f t="array" ref="Q125">_xlfn.SWITCH($A$2,"average", AVERAGE(Instances!Q125:Instances!Q125),"median", MEDIAN(Instances!Q125:Instances!Q125),"min", MIN(Instances!Q125:Instances!Q125),"max", MAX(Instances!Q125:Instances!Q125),"diff", MAX(Instances!Q125:Instances!Q125)-MIN(Instances!Q125:Instances!Q125))</f>
        <v>0</v>
      </c>
      <c r="R125" s="1">
        <f>MIN($B125,$D125,$F125,$H125,$J125,$L125,$N125,$P125)</f>
        <v>0</v>
      </c>
      <c r="S125" s="1">
        <f>MIN($C125,$E125,$G125,$I125,$K125,$M125,$O125,$Q125)</f>
        <v>0</v>
      </c>
      <c r="T125" s="1">
        <f>MEDIAN($B125,$D125,$F125,$H125,$J125,$L125,$N125,$P125)</f>
        <v>0</v>
      </c>
      <c r="U125" s="1">
        <f>MEDIAN($C125,$E125,$G125,$I125,$K125,$M125,$O125,$Q125)</f>
        <v>0</v>
      </c>
      <c r="V125" s="1">
        <f>MAX($B125,$D125,$F125,$H125,$J125,$L125,$N125,$P125)</f>
        <v>0</v>
      </c>
      <c r="W125" s="1">
        <f>MAX($C125,$E125,$G125,$I125,$K125,$M125,$O125,$Q125)</f>
        <v>0</v>
      </c>
    </row>
    <row r="126" spans="1:23">
      <c r="A126" s="1" t="s">
        <v>123</v>
      </c>
      <c r="B126" s="1"/>
      <c r="C126" s="1"/>
      <c r="D126" s="1" cm="1">
        <f t="array" ref="D126">_xlfn.SWITCH($A$2,"average", AVERAGE(Instances!D126:Instances!D126),"median", MEDIAN(Instances!D126:Instances!D126),"min", MIN(Instances!D126:Instances!D126),"max", MAX(Instances!D126:Instances!D126),"diff", MAX(Instances!D126:Instances!D126)-MIN(Instances!D126:Instances!D126))</f>
        <v>0</v>
      </c>
      <c r="E126" s="1" cm="1">
        <f t="array" ref="E126">_xlfn.SWITCH($A$2,"average", AVERAGE(Instances!E126:Instances!E126),"median", MEDIAN(Instances!E126:Instances!E126),"min", MIN(Instances!E126:Instances!E126),"max", MAX(Instances!E126:Instances!E126),"diff", MAX(Instances!E126:Instances!E126)-MIN(Instances!E126:Instances!E126))</f>
        <v>0</v>
      </c>
      <c r="F126" s="1" cm="1">
        <f t="array" ref="F126">_xlfn.SWITCH($A$2,"average", AVERAGE(Instances!F126:Instances!F126),"median", MEDIAN(Instances!F126:Instances!F126),"min", MIN(Instances!F126:Instances!F126),"max", MAX(Instances!F126:Instances!F126),"diff", MAX(Instances!F126:Instances!F126)-MIN(Instances!F126:Instances!F126))</f>
        <v>0</v>
      </c>
      <c r="G126" s="1" cm="1">
        <f t="array" ref="G126">_xlfn.SWITCH($A$2,"average", AVERAGE(Instances!G126:Instances!G126),"median", MEDIAN(Instances!G126:Instances!G126),"min", MIN(Instances!G126:Instances!G126),"max", MAX(Instances!G126:Instances!G126),"diff", MAX(Instances!G126:Instances!G126)-MIN(Instances!G126:Instances!G126))</f>
        <v>0</v>
      </c>
      <c r="H126" s="1"/>
      <c r="I126" s="1"/>
      <c r="J126" s="1" cm="1">
        <f t="array" ref="J126">_xlfn.SWITCH($A$2,"average", AVERAGE(Instances!J126:Instances!J126),"median", MEDIAN(Instances!J126:Instances!J126),"min", MIN(Instances!J126:Instances!J126),"max", MAX(Instances!J126:Instances!J126),"diff", MAX(Instances!J126:Instances!J126)-MIN(Instances!J126:Instances!J126))</f>
        <v>0</v>
      </c>
      <c r="K126" s="1" cm="1">
        <f t="array" ref="K126">_xlfn.SWITCH($A$2,"average", AVERAGE(Instances!K126:Instances!K126),"median", MEDIAN(Instances!K126:Instances!K126),"min", MIN(Instances!K126:Instances!K126),"max", MAX(Instances!K126:Instances!K126),"diff", MAX(Instances!K126:Instances!K126)-MIN(Instances!K126:Instances!K126))</f>
        <v>0</v>
      </c>
      <c r="L126" s="1" cm="1">
        <f t="array" ref="L126">_xlfn.SWITCH($A$2,"average", AVERAGE(Instances!L126:Instances!L126),"median", MEDIAN(Instances!L126:Instances!L126),"min", MIN(Instances!L126:Instances!L126),"max", MAX(Instances!L126:Instances!L126),"diff", MAX(Instances!L126:Instances!L126)-MIN(Instances!L126:Instances!L126))</f>
        <v>0</v>
      </c>
      <c r="M126" s="1" cm="1">
        <f t="array" ref="M126">_xlfn.SWITCH($A$2,"average", AVERAGE(Instances!M126:Instances!M126),"median", MEDIAN(Instances!M126:Instances!M126),"min", MIN(Instances!M126:Instances!M126),"max", MAX(Instances!M126:Instances!M126),"diff", MAX(Instances!M126:Instances!M126)-MIN(Instances!M126:Instances!M126))</f>
        <v>0</v>
      </c>
      <c r="N126" s="1" cm="1">
        <f t="array" ref="N126">_xlfn.SWITCH($A$2,"average", AVERAGE(Instances!N126:Instances!N126),"median", MEDIAN(Instances!N126:Instances!N126),"min", MIN(Instances!N126:Instances!N126),"max", MAX(Instances!N126:Instances!N126),"diff", MAX(Instances!N126:Instances!N126)-MIN(Instances!N126:Instances!N126))</f>
        <v>0</v>
      </c>
      <c r="O126" s="1" cm="1">
        <f t="array" ref="O126">_xlfn.SWITCH($A$2,"average", AVERAGE(Instances!O126:Instances!O126),"median", MEDIAN(Instances!O126:Instances!O126),"min", MIN(Instances!O126:Instances!O126),"max", MAX(Instances!O126:Instances!O126),"diff", MAX(Instances!O126:Instances!O126)-MIN(Instances!O126:Instances!O126))</f>
        <v>0</v>
      </c>
      <c r="P126" s="1" cm="1">
        <f t="array" ref="P126">_xlfn.SWITCH($A$2,"average", AVERAGE(Instances!P126:Instances!P126),"median", MEDIAN(Instances!P126:Instances!P126),"min", MIN(Instances!P126:Instances!P126),"max", MAX(Instances!P126:Instances!P126),"diff", MAX(Instances!P126:Instances!P126)-MIN(Instances!P126:Instances!P126))</f>
        <v>0</v>
      </c>
      <c r="Q126" s="1" cm="1">
        <f t="array" ref="Q126">_xlfn.SWITCH($A$2,"average", AVERAGE(Instances!Q126:Instances!Q126),"median", MEDIAN(Instances!Q126:Instances!Q126),"min", MIN(Instances!Q126:Instances!Q126),"max", MAX(Instances!Q126:Instances!Q126),"diff", MAX(Instances!Q126:Instances!Q126)-MIN(Instances!Q126:Instances!Q126))</f>
        <v>0</v>
      </c>
      <c r="R126" s="1">
        <f>MIN($B126,$D126,$F126,$H126,$J126,$L126,$N126,$P126)</f>
        <v>0</v>
      </c>
      <c r="S126" s="1">
        <f>MIN($C126,$E126,$G126,$I126,$K126,$M126,$O126,$Q126)</f>
        <v>0</v>
      </c>
      <c r="T126" s="1">
        <f>MEDIAN($B126,$D126,$F126,$H126,$J126,$L126,$N126,$P126)</f>
        <v>0</v>
      </c>
      <c r="U126" s="1">
        <f>MEDIAN($C126,$E126,$G126,$I126,$K126,$M126,$O126,$Q126)</f>
        <v>0</v>
      </c>
      <c r="V126" s="1">
        <f>MAX($B126,$D126,$F126,$H126,$J126,$L126,$N126,$P126)</f>
        <v>0</v>
      </c>
      <c r="W126" s="1">
        <f>MAX($C126,$E126,$G126,$I126,$K126,$M126,$O126,$Q126)</f>
        <v>0</v>
      </c>
    </row>
    <row r="127" spans="1:23">
      <c r="A127" s="1" t="s">
        <v>124</v>
      </c>
      <c r="B127" s="1"/>
      <c r="C127" s="1"/>
      <c r="D127" s="1" cm="1">
        <f t="array" ref="D127">_xlfn.SWITCH($A$2,"average", AVERAGE(Instances!D127:Instances!D127),"median", MEDIAN(Instances!D127:Instances!D127),"min", MIN(Instances!D127:Instances!D127),"max", MAX(Instances!D127:Instances!D127),"diff", MAX(Instances!D127:Instances!D127)-MIN(Instances!D127:Instances!D127))</f>
        <v>0</v>
      </c>
      <c r="E127" s="1" cm="1">
        <f t="array" ref="E127">_xlfn.SWITCH($A$2,"average", AVERAGE(Instances!E127:Instances!E127),"median", MEDIAN(Instances!E127:Instances!E127),"min", MIN(Instances!E127:Instances!E127),"max", MAX(Instances!E127:Instances!E127),"diff", MAX(Instances!E127:Instances!E127)-MIN(Instances!E127:Instances!E127))</f>
        <v>0</v>
      </c>
      <c r="F127" s="1" cm="1">
        <f t="array" ref="F127">_xlfn.SWITCH($A$2,"average", AVERAGE(Instances!F127:Instances!F127),"median", MEDIAN(Instances!F127:Instances!F127),"min", MIN(Instances!F127:Instances!F127),"max", MAX(Instances!F127:Instances!F127),"diff", MAX(Instances!F127:Instances!F127)-MIN(Instances!F127:Instances!F127))</f>
        <v>0</v>
      </c>
      <c r="G127" s="1" cm="1">
        <f t="array" ref="G127">_xlfn.SWITCH($A$2,"average", AVERAGE(Instances!G127:Instances!G127),"median", MEDIAN(Instances!G127:Instances!G127),"min", MIN(Instances!G127:Instances!G127),"max", MAX(Instances!G127:Instances!G127),"diff", MAX(Instances!G127:Instances!G127)-MIN(Instances!G127:Instances!G127))</f>
        <v>0</v>
      </c>
      <c r="H127" s="1"/>
      <c r="I127" s="1"/>
      <c r="J127" s="1" cm="1">
        <f t="array" ref="J127">_xlfn.SWITCH($A$2,"average", AVERAGE(Instances!J127:Instances!J127),"median", MEDIAN(Instances!J127:Instances!J127),"min", MIN(Instances!J127:Instances!J127),"max", MAX(Instances!J127:Instances!J127),"diff", MAX(Instances!J127:Instances!J127)-MIN(Instances!J127:Instances!J127))</f>
        <v>0</v>
      </c>
      <c r="K127" s="1" cm="1">
        <f t="array" ref="K127">_xlfn.SWITCH($A$2,"average", AVERAGE(Instances!K127:Instances!K127),"median", MEDIAN(Instances!K127:Instances!K127),"min", MIN(Instances!K127:Instances!K127),"max", MAX(Instances!K127:Instances!K127),"diff", MAX(Instances!K127:Instances!K127)-MIN(Instances!K127:Instances!K127))</f>
        <v>0</v>
      </c>
      <c r="L127" s="1" cm="1">
        <f t="array" ref="L127">_xlfn.SWITCH($A$2,"average", AVERAGE(Instances!L127:Instances!L127),"median", MEDIAN(Instances!L127:Instances!L127),"min", MIN(Instances!L127:Instances!L127),"max", MAX(Instances!L127:Instances!L127),"diff", MAX(Instances!L127:Instances!L127)-MIN(Instances!L127:Instances!L127))</f>
        <v>0</v>
      </c>
      <c r="M127" s="1" cm="1">
        <f t="array" ref="M127">_xlfn.SWITCH($A$2,"average", AVERAGE(Instances!M127:Instances!M127),"median", MEDIAN(Instances!M127:Instances!M127),"min", MIN(Instances!M127:Instances!M127),"max", MAX(Instances!M127:Instances!M127),"diff", MAX(Instances!M127:Instances!M127)-MIN(Instances!M127:Instances!M127))</f>
        <v>0</v>
      </c>
      <c r="N127" s="1" cm="1">
        <f t="array" ref="N127">_xlfn.SWITCH($A$2,"average", AVERAGE(Instances!N127:Instances!N127),"median", MEDIAN(Instances!N127:Instances!N127),"min", MIN(Instances!N127:Instances!N127),"max", MAX(Instances!N127:Instances!N127),"diff", MAX(Instances!N127:Instances!N127)-MIN(Instances!N127:Instances!N127))</f>
        <v>0</v>
      </c>
      <c r="O127" s="1" cm="1">
        <f t="array" ref="O127">_xlfn.SWITCH($A$2,"average", AVERAGE(Instances!O127:Instances!O127),"median", MEDIAN(Instances!O127:Instances!O127),"min", MIN(Instances!O127:Instances!O127),"max", MAX(Instances!O127:Instances!O127),"diff", MAX(Instances!O127:Instances!O127)-MIN(Instances!O127:Instances!O127))</f>
        <v>0</v>
      </c>
      <c r="P127" s="1" cm="1">
        <f t="array" ref="P127">_xlfn.SWITCH($A$2,"average", AVERAGE(Instances!P127:Instances!P127),"median", MEDIAN(Instances!P127:Instances!P127),"min", MIN(Instances!P127:Instances!P127),"max", MAX(Instances!P127:Instances!P127),"diff", MAX(Instances!P127:Instances!P127)-MIN(Instances!P127:Instances!P127))</f>
        <v>0</v>
      </c>
      <c r="Q127" s="1" cm="1">
        <f t="array" ref="Q127">_xlfn.SWITCH($A$2,"average", AVERAGE(Instances!Q127:Instances!Q127),"median", MEDIAN(Instances!Q127:Instances!Q127),"min", MIN(Instances!Q127:Instances!Q127),"max", MAX(Instances!Q127:Instances!Q127),"diff", MAX(Instances!Q127:Instances!Q127)-MIN(Instances!Q127:Instances!Q127))</f>
        <v>0</v>
      </c>
      <c r="R127" s="1">
        <f>MIN($B127,$D127,$F127,$H127,$J127,$L127,$N127,$P127)</f>
        <v>0</v>
      </c>
      <c r="S127" s="1">
        <f>MIN($C127,$E127,$G127,$I127,$K127,$M127,$O127,$Q127)</f>
        <v>0</v>
      </c>
      <c r="T127" s="1">
        <f>MEDIAN($B127,$D127,$F127,$H127,$J127,$L127,$N127,$P127)</f>
        <v>0</v>
      </c>
      <c r="U127" s="1">
        <f>MEDIAN($C127,$E127,$G127,$I127,$K127,$M127,$O127,$Q127)</f>
        <v>0</v>
      </c>
      <c r="V127" s="1">
        <f>MAX($B127,$D127,$F127,$H127,$J127,$L127,$N127,$P127)</f>
        <v>0</v>
      </c>
      <c r="W127" s="1">
        <f>MAX($C127,$E127,$G127,$I127,$K127,$M127,$O127,$Q127)</f>
        <v>0</v>
      </c>
    </row>
    <row r="128" spans="1:23">
      <c r="A128" s="1" t="s">
        <v>125</v>
      </c>
      <c r="B128" s="1"/>
      <c r="C128" s="1"/>
      <c r="D128" s="1" cm="1">
        <f t="array" ref="D128">_xlfn.SWITCH($A$2,"average", AVERAGE(Instances!D128:Instances!D128),"median", MEDIAN(Instances!D128:Instances!D128),"min", MIN(Instances!D128:Instances!D128),"max", MAX(Instances!D128:Instances!D128),"diff", MAX(Instances!D128:Instances!D128)-MIN(Instances!D128:Instances!D128))</f>
        <v>0</v>
      </c>
      <c r="E128" s="1" cm="1">
        <f t="array" ref="E128">_xlfn.SWITCH($A$2,"average", AVERAGE(Instances!E128:Instances!E128),"median", MEDIAN(Instances!E128:Instances!E128),"min", MIN(Instances!E128:Instances!E128),"max", MAX(Instances!E128:Instances!E128),"diff", MAX(Instances!E128:Instances!E128)-MIN(Instances!E128:Instances!E128))</f>
        <v>0</v>
      </c>
      <c r="F128" s="1" cm="1">
        <f t="array" ref="F128">_xlfn.SWITCH($A$2,"average", AVERAGE(Instances!F128:Instances!F128),"median", MEDIAN(Instances!F128:Instances!F128),"min", MIN(Instances!F128:Instances!F128),"max", MAX(Instances!F128:Instances!F128),"diff", MAX(Instances!F128:Instances!F128)-MIN(Instances!F128:Instances!F128))</f>
        <v>0</v>
      </c>
      <c r="G128" s="1" cm="1">
        <f t="array" ref="G128">_xlfn.SWITCH($A$2,"average", AVERAGE(Instances!G128:Instances!G128),"median", MEDIAN(Instances!G128:Instances!G128),"min", MIN(Instances!G128:Instances!G128),"max", MAX(Instances!G128:Instances!G128),"diff", MAX(Instances!G128:Instances!G128)-MIN(Instances!G128:Instances!G128))</f>
        <v>0</v>
      </c>
      <c r="H128" s="1"/>
      <c r="I128" s="1"/>
      <c r="J128" s="1" cm="1">
        <f t="array" ref="J128">_xlfn.SWITCH($A$2,"average", AVERAGE(Instances!J128:Instances!J128),"median", MEDIAN(Instances!J128:Instances!J128),"min", MIN(Instances!J128:Instances!J128),"max", MAX(Instances!J128:Instances!J128),"diff", MAX(Instances!J128:Instances!J128)-MIN(Instances!J128:Instances!J128))</f>
        <v>0</v>
      </c>
      <c r="K128" s="1" cm="1">
        <f t="array" ref="K128">_xlfn.SWITCH($A$2,"average", AVERAGE(Instances!K128:Instances!K128),"median", MEDIAN(Instances!K128:Instances!K128),"min", MIN(Instances!K128:Instances!K128),"max", MAX(Instances!K128:Instances!K128),"diff", MAX(Instances!K128:Instances!K128)-MIN(Instances!K128:Instances!K128))</f>
        <v>0</v>
      </c>
      <c r="L128" s="1" cm="1">
        <f t="array" ref="L128">_xlfn.SWITCH($A$2,"average", AVERAGE(Instances!L128:Instances!L128),"median", MEDIAN(Instances!L128:Instances!L128),"min", MIN(Instances!L128:Instances!L128),"max", MAX(Instances!L128:Instances!L128),"diff", MAX(Instances!L128:Instances!L128)-MIN(Instances!L128:Instances!L128))</f>
        <v>0</v>
      </c>
      <c r="M128" s="1" cm="1">
        <f t="array" ref="M128">_xlfn.SWITCH($A$2,"average", AVERAGE(Instances!M128:Instances!M128),"median", MEDIAN(Instances!M128:Instances!M128),"min", MIN(Instances!M128:Instances!M128),"max", MAX(Instances!M128:Instances!M128),"diff", MAX(Instances!M128:Instances!M128)-MIN(Instances!M128:Instances!M128))</f>
        <v>0</v>
      </c>
      <c r="N128" s="1" cm="1">
        <f t="array" ref="N128">_xlfn.SWITCH($A$2,"average", AVERAGE(Instances!N128:Instances!N128),"median", MEDIAN(Instances!N128:Instances!N128),"min", MIN(Instances!N128:Instances!N128),"max", MAX(Instances!N128:Instances!N128),"diff", MAX(Instances!N128:Instances!N128)-MIN(Instances!N128:Instances!N128))</f>
        <v>0</v>
      </c>
      <c r="O128" s="1" cm="1">
        <f t="array" ref="O128">_xlfn.SWITCH($A$2,"average", AVERAGE(Instances!O128:Instances!O128),"median", MEDIAN(Instances!O128:Instances!O128),"min", MIN(Instances!O128:Instances!O128),"max", MAX(Instances!O128:Instances!O128),"diff", MAX(Instances!O128:Instances!O128)-MIN(Instances!O128:Instances!O128))</f>
        <v>0</v>
      </c>
      <c r="P128" s="1" cm="1">
        <f t="array" ref="P128">_xlfn.SWITCH($A$2,"average", AVERAGE(Instances!P128:Instances!P128),"median", MEDIAN(Instances!P128:Instances!P128),"min", MIN(Instances!P128:Instances!P128),"max", MAX(Instances!P128:Instances!P128),"diff", MAX(Instances!P128:Instances!P128)-MIN(Instances!P128:Instances!P128))</f>
        <v>0</v>
      </c>
      <c r="Q128" s="1" cm="1">
        <f t="array" ref="Q128">_xlfn.SWITCH($A$2,"average", AVERAGE(Instances!Q128:Instances!Q128),"median", MEDIAN(Instances!Q128:Instances!Q128),"min", MIN(Instances!Q128:Instances!Q128),"max", MAX(Instances!Q128:Instances!Q128),"diff", MAX(Instances!Q128:Instances!Q128)-MIN(Instances!Q128:Instances!Q128))</f>
        <v>0</v>
      </c>
      <c r="R128" s="1">
        <f>MIN($B128,$D128,$F128,$H128,$J128,$L128,$N128,$P128)</f>
        <v>0</v>
      </c>
      <c r="S128" s="1">
        <f>MIN($C128,$E128,$G128,$I128,$K128,$M128,$O128,$Q128)</f>
        <v>0</v>
      </c>
      <c r="T128" s="1">
        <f>MEDIAN($B128,$D128,$F128,$H128,$J128,$L128,$N128,$P128)</f>
        <v>0</v>
      </c>
      <c r="U128" s="1">
        <f>MEDIAN($C128,$E128,$G128,$I128,$K128,$M128,$O128,$Q128)</f>
        <v>0</v>
      </c>
      <c r="V128" s="1">
        <f>MAX($B128,$D128,$F128,$H128,$J128,$L128,$N128,$P128)</f>
        <v>0</v>
      </c>
      <c r="W128" s="1">
        <f>MAX($C128,$E128,$G128,$I128,$K128,$M128,$O128,$Q128)</f>
        <v>0</v>
      </c>
    </row>
    <row r="129" spans="1:23">
      <c r="A129" s="1" t="s">
        <v>126</v>
      </c>
      <c r="B129" s="1"/>
      <c r="C129" s="1"/>
      <c r="D129" s="1" cm="1">
        <f t="array" ref="D129">_xlfn.SWITCH($A$2,"average", AVERAGE(Instances!D129:Instances!D129),"median", MEDIAN(Instances!D129:Instances!D129),"min", MIN(Instances!D129:Instances!D129),"max", MAX(Instances!D129:Instances!D129),"diff", MAX(Instances!D129:Instances!D129)-MIN(Instances!D129:Instances!D129))</f>
        <v>0</v>
      </c>
      <c r="E129" s="1" cm="1">
        <f t="array" ref="E129">_xlfn.SWITCH($A$2,"average", AVERAGE(Instances!E129:Instances!E129),"median", MEDIAN(Instances!E129:Instances!E129),"min", MIN(Instances!E129:Instances!E129),"max", MAX(Instances!E129:Instances!E129),"diff", MAX(Instances!E129:Instances!E129)-MIN(Instances!E129:Instances!E129))</f>
        <v>0</v>
      </c>
      <c r="F129" s="1" cm="1">
        <f t="array" ref="F129">_xlfn.SWITCH($A$2,"average", AVERAGE(Instances!F129:Instances!F129),"median", MEDIAN(Instances!F129:Instances!F129),"min", MIN(Instances!F129:Instances!F129),"max", MAX(Instances!F129:Instances!F129),"diff", MAX(Instances!F129:Instances!F129)-MIN(Instances!F129:Instances!F129))</f>
        <v>0</v>
      </c>
      <c r="G129" s="1" cm="1">
        <f t="array" ref="G129">_xlfn.SWITCH($A$2,"average", AVERAGE(Instances!G129:Instances!G129),"median", MEDIAN(Instances!G129:Instances!G129),"min", MIN(Instances!G129:Instances!G129),"max", MAX(Instances!G129:Instances!G129),"diff", MAX(Instances!G129:Instances!G129)-MIN(Instances!G129:Instances!G129))</f>
        <v>0</v>
      </c>
      <c r="H129" s="1"/>
      <c r="I129" s="1"/>
      <c r="J129" s="1" cm="1">
        <f t="array" ref="J129">_xlfn.SWITCH($A$2,"average", AVERAGE(Instances!J129:Instances!J129),"median", MEDIAN(Instances!J129:Instances!J129),"min", MIN(Instances!J129:Instances!J129),"max", MAX(Instances!J129:Instances!J129),"diff", MAX(Instances!J129:Instances!J129)-MIN(Instances!J129:Instances!J129))</f>
        <v>0</v>
      </c>
      <c r="K129" s="1" cm="1">
        <f t="array" ref="K129">_xlfn.SWITCH($A$2,"average", AVERAGE(Instances!K129:Instances!K129),"median", MEDIAN(Instances!K129:Instances!K129),"min", MIN(Instances!K129:Instances!K129),"max", MAX(Instances!K129:Instances!K129),"diff", MAX(Instances!K129:Instances!K129)-MIN(Instances!K129:Instances!K129))</f>
        <v>0</v>
      </c>
      <c r="L129" s="1" cm="1">
        <f t="array" ref="L129">_xlfn.SWITCH($A$2,"average", AVERAGE(Instances!L129:Instances!L129),"median", MEDIAN(Instances!L129:Instances!L129),"min", MIN(Instances!L129:Instances!L129),"max", MAX(Instances!L129:Instances!L129),"diff", MAX(Instances!L129:Instances!L129)-MIN(Instances!L129:Instances!L129))</f>
        <v>0</v>
      </c>
      <c r="M129" s="1" cm="1">
        <f t="array" ref="M129">_xlfn.SWITCH($A$2,"average", AVERAGE(Instances!M129:Instances!M129),"median", MEDIAN(Instances!M129:Instances!M129),"min", MIN(Instances!M129:Instances!M129),"max", MAX(Instances!M129:Instances!M129),"diff", MAX(Instances!M129:Instances!M129)-MIN(Instances!M129:Instances!M129))</f>
        <v>0</v>
      </c>
      <c r="N129" s="1" cm="1">
        <f t="array" ref="N129">_xlfn.SWITCH($A$2,"average", AVERAGE(Instances!N129:Instances!N129),"median", MEDIAN(Instances!N129:Instances!N129),"min", MIN(Instances!N129:Instances!N129),"max", MAX(Instances!N129:Instances!N129),"diff", MAX(Instances!N129:Instances!N129)-MIN(Instances!N129:Instances!N129))</f>
        <v>0</v>
      </c>
      <c r="O129" s="1" cm="1">
        <f t="array" ref="O129">_xlfn.SWITCH($A$2,"average", AVERAGE(Instances!O129:Instances!O129),"median", MEDIAN(Instances!O129:Instances!O129),"min", MIN(Instances!O129:Instances!O129),"max", MAX(Instances!O129:Instances!O129),"diff", MAX(Instances!O129:Instances!O129)-MIN(Instances!O129:Instances!O129))</f>
        <v>0</v>
      </c>
      <c r="P129" s="1" cm="1">
        <f t="array" ref="P129">_xlfn.SWITCH($A$2,"average", AVERAGE(Instances!P129:Instances!P129),"median", MEDIAN(Instances!P129:Instances!P129),"min", MIN(Instances!P129:Instances!P129),"max", MAX(Instances!P129:Instances!P129),"diff", MAX(Instances!P129:Instances!P129)-MIN(Instances!P129:Instances!P129))</f>
        <v>0</v>
      </c>
      <c r="Q129" s="1" cm="1">
        <f t="array" ref="Q129">_xlfn.SWITCH($A$2,"average", AVERAGE(Instances!Q129:Instances!Q129),"median", MEDIAN(Instances!Q129:Instances!Q129),"min", MIN(Instances!Q129:Instances!Q129),"max", MAX(Instances!Q129:Instances!Q129),"diff", MAX(Instances!Q129:Instances!Q129)-MIN(Instances!Q129:Instances!Q129))</f>
        <v>0</v>
      </c>
      <c r="R129" s="1">
        <f>MIN($B129,$D129,$F129,$H129,$J129,$L129,$N129,$P129)</f>
        <v>0</v>
      </c>
      <c r="S129" s="1">
        <f>MIN($C129,$E129,$G129,$I129,$K129,$M129,$O129,$Q129)</f>
        <v>0</v>
      </c>
      <c r="T129" s="1">
        <f>MEDIAN($B129,$D129,$F129,$H129,$J129,$L129,$N129,$P129)</f>
        <v>0</v>
      </c>
      <c r="U129" s="1">
        <f>MEDIAN($C129,$E129,$G129,$I129,$K129,$M129,$O129,$Q129)</f>
        <v>0</v>
      </c>
      <c r="V129" s="1">
        <f>MAX($B129,$D129,$F129,$H129,$J129,$L129,$N129,$P129)</f>
        <v>0</v>
      </c>
      <c r="W129" s="1">
        <f>MAX($C129,$E129,$G129,$I129,$K129,$M129,$O129,$Q129)</f>
        <v>0</v>
      </c>
    </row>
    <row r="130" spans="1:23">
      <c r="A130" s="1" t="s">
        <v>127</v>
      </c>
      <c r="B130" s="1"/>
      <c r="C130" s="1"/>
      <c r="D130" s="1" cm="1">
        <f t="array" ref="D130">_xlfn.SWITCH($A$2,"average", AVERAGE(Instances!D130:Instances!D130),"median", MEDIAN(Instances!D130:Instances!D130),"min", MIN(Instances!D130:Instances!D130),"max", MAX(Instances!D130:Instances!D130),"diff", MAX(Instances!D130:Instances!D130)-MIN(Instances!D130:Instances!D130))</f>
        <v>0</v>
      </c>
      <c r="E130" s="1" cm="1">
        <f t="array" ref="E130">_xlfn.SWITCH($A$2,"average", AVERAGE(Instances!E130:Instances!E130),"median", MEDIAN(Instances!E130:Instances!E130),"min", MIN(Instances!E130:Instances!E130),"max", MAX(Instances!E130:Instances!E130),"diff", MAX(Instances!E130:Instances!E130)-MIN(Instances!E130:Instances!E130))</f>
        <v>0</v>
      </c>
      <c r="F130" s="1" cm="1">
        <f t="array" ref="F130">_xlfn.SWITCH($A$2,"average", AVERAGE(Instances!F130:Instances!F130),"median", MEDIAN(Instances!F130:Instances!F130),"min", MIN(Instances!F130:Instances!F130),"max", MAX(Instances!F130:Instances!F130),"diff", MAX(Instances!F130:Instances!F130)-MIN(Instances!F130:Instances!F130))</f>
        <v>0</v>
      </c>
      <c r="G130" s="1" cm="1">
        <f t="array" ref="G130">_xlfn.SWITCH($A$2,"average", AVERAGE(Instances!G130:Instances!G130),"median", MEDIAN(Instances!G130:Instances!G130),"min", MIN(Instances!G130:Instances!G130),"max", MAX(Instances!G130:Instances!G130),"diff", MAX(Instances!G130:Instances!G130)-MIN(Instances!G130:Instances!G130))</f>
        <v>0</v>
      </c>
      <c r="H130" s="1"/>
      <c r="I130" s="1"/>
      <c r="J130" s="1" cm="1">
        <f t="array" ref="J130">_xlfn.SWITCH($A$2,"average", AVERAGE(Instances!J130:Instances!J130),"median", MEDIAN(Instances!J130:Instances!J130),"min", MIN(Instances!J130:Instances!J130),"max", MAX(Instances!J130:Instances!J130),"diff", MAX(Instances!J130:Instances!J130)-MIN(Instances!J130:Instances!J130))</f>
        <v>0</v>
      </c>
      <c r="K130" s="1" cm="1">
        <f t="array" ref="K130">_xlfn.SWITCH($A$2,"average", AVERAGE(Instances!K130:Instances!K130),"median", MEDIAN(Instances!K130:Instances!K130),"min", MIN(Instances!K130:Instances!K130),"max", MAX(Instances!K130:Instances!K130),"diff", MAX(Instances!K130:Instances!K130)-MIN(Instances!K130:Instances!K130))</f>
        <v>0</v>
      </c>
      <c r="L130" s="1" cm="1">
        <f t="array" ref="L130">_xlfn.SWITCH($A$2,"average", AVERAGE(Instances!L130:Instances!L130),"median", MEDIAN(Instances!L130:Instances!L130),"min", MIN(Instances!L130:Instances!L130),"max", MAX(Instances!L130:Instances!L130),"diff", MAX(Instances!L130:Instances!L130)-MIN(Instances!L130:Instances!L130))</f>
        <v>0</v>
      </c>
      <c r="M130" s="1" cm="1">
        <f t="array" ref="M130">_xlfn.SWITCH($A$2,"average", AVERAGE(Instances!M130:Instances!M130),"median", MEDIAN(Instances!M130:Instances!M130),"min", MIN(Instances!M130:Instances!M130),"max", MAX(Instances!M130:Instances!M130),"diff", MAX(Instances!M130:Instances!M130)-MIN(Instances!M130:Instances!M130))</f>
        <v>0</v>
      </c>
      <c r="N130" s="1" cm="1">
        <f t="array" ref="N130">_xlfn.SWITCH($A$2,"average", AVERAGE(Instances!N130:Instances!N130),"median", MEDIAN(Instances!N130:Instances!N130),"min", MIN(Instances!N130:Instances!N130),"max", MAX(Instances!N130:Instances!N130),"diff", MAX(Instances!N130:Instances!N130)-MIN(Instances!N130:Instances!N130))</f>
        <v>0</v>
      </c>
      <c r="O130" s="1" cm="1">
        <f t="array" ref="O130">_xlfn.SWITCH($A$2,"average", AVERAGE(Instances!O130:Instances!O130),"median", MEDIAN(Instances!O130:Instances!O130),"min", MIN(Instances!O130:Instances!O130),"max", MAX(Instances!O130:Instances!O130),"diff", MAX(Instances!O130:Instances!O130)-MIN(Instances!O130:Instances!O130))</f>
        <v>0</v>
      </c>
      <c r="P130" s="1" cm="1">
        <f t="array" ref="P130">_xlfn.SWITCH($A$2,"average", AVERAGE(Instances!P130:Instances!P130),"median", MEDIAN(Instances!P130:Instances!P130),"min", MIN(Instances!P130:Instances!P130),"max", MAX(Instances!P130:Instances!P130),"diff", MAX(Instances!P130:Instances!P130)-MIN(Instances!P130:Instances!P130))</f>
        <v>0</v>
      </c>
      <c r="Q130" s="1" cm="1">
        <f t="array" ref="Q130">_xlfn.SWITCH($A$2,"average", AVERAGE(Instances!Q130:Instances!Q130),"median", MEDIAN(Instances!Q130:Instances!Q130),"min", MIN(Instances!Q130:Instances!Q130),"max", MAX(Instances!Q130:Instances!Q130),"diff", MAX(Instances!Q130:Instances!Q130)-MIN(Instances!Q130:Instances!Q130))</f>
        <v>0</v>
      </c>
      <c r="R130" s="1">
        <f>MIN($B130,$D130,$F130,$H130,$J130,$L130,$N130,$P130)</f>
        <v>0</v>
      </c>
      <c r="S130" s="1">
        <f>MIN($C130,$E130,$G130,$I130,$K130,$M130,$O130,$Q130)</f>
        <v>0</v>
      </c>
      <c r="T130" s="1">
        <f>MEDIAN($B130,$D130,$F130,$H130,$J130,$L130,$N130,$P130)</f>
        <v>0</v>
      </c>
      <c r="U130" s="1">
        <f>MEDIAN($C130,$E130,$G130,$I130,$K130,$M130,$O130,$Q130)</f>
        <v>0</v>
      </c>
      <c r="V130" s="1">
        <f>MAX($B130,$D130,$F130,$H130,$J130,$L130,$N130,$P130)</f>
        <v>0</v>
      </c>
      <c r="W130" s="1">
        <f>MAX($C130,$E130,$G130,$I130,$K130,$M130,$O130,$Q130)</f>
        <v>0</v>
      </c>
    </row>
    <row r="131" spans="1:23">
      <c r="A131" s="1" t="s">
        <v>128</v>
      </c>
      <c r="B131" s="1"/>
      <c r="C131" s="1"/>
      <c r="D131" s="1" cm="1">
        <f t="array" ref="D131">_xlfn.SWITCH($A$2,"average", AVERAGE(Instances!D131:Instances!D131),"median", MEDIAN(Instances!D131:Instances!D131),"min", MIN(Instances!D131:Instances!D131),"max", MAX(Instances!D131:Instances!D131),"diff", MAX(Instances!D131:Instances!D131)-MIN(Instances!D131:Instances!D131))</f>
        <v>0</v>
      </c>
      <c r="E131" s="1" cm="1">
        <f t="array" ref="E131">_xlfn.SWITCH($A$2,"average", AVERAGE(Instances!E131:Instances!E131),"median", MEDIAN(Instances!E131:Instances!E131),"min", MIN(Instances!E131:Instances!E131),"max", MAX(Instances!E131:Instances!E131),"diff", MAX(Instances!E131:Instances!E131)-MIN(Instances!E131:Instances!E131))</f>
        <v>0</v>
      </c>
      <c r="F131" s="1" cm="1">
        <f t="array" ref="F131">_xlfn.SWITCH($A$2,"average", AVERAGE(Instances!F131:Instances!F131),"median", MEDIAN(Instances!F131:Instances!F131),"min", MIN(Instances!F131:Instances!F131),"max", MAX(Instances!F131:Instances!F131),"diff", MAX(Instances!F131:Instances!F131)-MIN(Instances!F131:Instances!F131))</f>
        <v>0</v>
      </c>
      <c r="G131" s="1" cm="1">
        <f t="array" ref="G131">_xlfn.SWITCH($A$2,"average", AVERAGE(Instances!G131:Instances!G131),"median", MEDIAN(Instances!G131:Instances!G131),"min", MIN(Instances!G131:Instances!G131),"max", MAX(Instances!G131:Instances!G131),"diff", MAX(Instances!G131:Instances!G131)-MIN(Instances!G131:Instances!G131))</f>
        <v>0</v>
      </c>
      <c r="H131" s="1"/>
      <c r="I131" s="1"/>
      <c r="J131" s="1" cm="1">
        <f t="array" ref="J131">_xlfn.SWITCH($A$2,"average", AVERAGE(Instances!J131:Instances!J131),"median", MEDIAN(Instances!J131:Instances!J131),"min", MIN(Instances!J131:Instances!J131),"max", MAX(Instances!J131:Instances!J131),"diff", MAX(Instances!J131:Instances!J131)-MIN(Instances!J131:Instances!J131))</f>
        <v>0</v>
      </c>
      <c r="K131" s="1" cm="1">
        <f t="array" ref="K131">_xlfn.SWITCH($A$2,"average", AVERAGE(Instances!K131:Instances!K131),"median", MEDIAN(Instances!K131:Instances!K131),"min", MIN(Instances!K131:Instances!K131),"max", MAX(Instances!K131:Instances!K131),"diff", MAX(Instances!K131:Instances!K131)-MIN(Instances!K131:Instances!K131))</f>
        <v>0</v>
      </c>
      <c r="L131" s="1" cm="1">
        <f t="array" ref="L131">_xlfn.SWITCH($A$2,"average", AVERAGE(Instances!L131:Instances!L131),"median", MEDIAN(Instances!L131:Instances!L131),"min", MIN(Instances!L131:Instances!L131),"max", MAX(Instances!L131:Instances!L131),"diff", MAX(Instances!L131:Instances!L131)-MIN(Instances!L131:Instances!L131))</f>
        <v>0</v>
      </c>
      <c r="M131" s="1" cm="1">
        <f t="array" ref="M131">_xlfn.SWITCH($A$2,"average", AVERAGE(Instances!M131:Instances!M131),"median", MEDIAN(Instances!M131:Instances!M131),"min", MIN(Instances!M131:Instances!M131),"max", MAX(Instances!M131:Instances!M131),"diff", MAX(Instances!M131:Instances!M131)-MIN(Instances!M131:Instances!M131))</f>
        <v>0</v>
      </c>
      <c r="N131" s="1" cm="1">
        <f t="array" ref="N131">_xlfn.SWITCH($A$2,"average", AVERAGE(Instances!N131:Instances!N131),"median", MEDIAN(Instances!N131:Instances!N131),"min", MIN(Instances!N131:Instances!N131),"max", MAX(Instances!N131:Instances!N131),"diff", MAX(Instances!N131:Instances!N131)-MIN(Instances!N131:Instances!N131))</f>
        <v>0</v>
      </c>
      <c r="O131" s="1" cm="1">
        <f t="array" ref="O131">_xlfn.SWITCH($A$2,"average", AVERAGE(Instances!O131:Instances!O131),"median", MEDIAN(Instances!O131:Instances!O131),"min", MIN(Instances!O131:Instances!O131),"max", MAX(Instances!O131:Instances!O131),"diff", MAX(Instances!O131:Instances!O131)-MIN(Instances!O131:Instances!O131))</f>
        <v>0</v>
      </c>
      <c r="P131" s="1" cm="1">
        <f t="array" ref="P131">_xlfn.SWITCH($A$2,"average", AVERAGE(Instances!P131:Instances!P131),"median", MEDIAN(Instances!P131:Instances!P131),"min", MIN(Instances!P131:Instances!P131),"max", MAX(Instances!P131:Instances!P131),"diff", MAX(Instances!P131:Instances!P131)-MIN(Instances!P131:Instances!P131))</f>
        <v>0</v>
      </c>
      <c r="Q131" s="1" cm="1">
        <f t="array" ref="Q131">_xlfn.SWITCH($A$2,"average", AVERAGE(Instances!Q131:Instances!Q131),"median", MEDIAN(Instances!Q131:Instances!Q131),"min", MIN(Instances!Q131:Instances!Q131),"max", MAX(Instances!Q131:Instances!Q131),"diff", MAX(Instances!Q131:Instances!Q131)-MIN(Instances!Q131:Instances!Q131))</f>
        <v>0</v>
      </c>
      <c r="R131" s="1">
        <f>MIN($B131,$D131,$F131,$H131,$J131,$L131,$N131,$P131)</f>
        <v>0</v>
      </c>
      <c r="S131" s="1">
        <f>MIN($C131,$E131,$G131,$I131,$K131,$M131,$O131,$Q131)</f>
        <v>0</v>
      </c>
      <c r="T131" s="1">
        <f>MEDIAN($B131,$D131,$F131,$H131,$J131,$L131,$N131,$P131)</f>
        <v>0</v>
      </c>
      <c r="U131" s="1">
        <f>MEDIAN($C131,$E131,$G131,$I131,$K131,$M131,$O131,$Q131)</f>
        <v>0</v>
      </c>
      <c r="V131" s="1">
        <f>MAX($B131,$D131,$F131,$H131,$J131,$L131,$N131,$P131)</f>
        <v>0</v>
      </c>
      <c r="W131" s="1">
        <f>MAX($C131,$E131,$G131,$I131,$K131,$M131,$O131,$Q131)</f>
        <v>0</v>
      </c>
    </row>
    <row r="132" spans="1:23">
      <c r="A132" s="1" t="s">
        <v>129</v>
      </c>
      <c r="B132" s="1"/>
      <c r="C132" s="1"/>
      <c r="D132" s="1" cm="1">
        <f t="array" ref="D132">_xlfn.SWITCH($A$2,"average", AVERAGE(Instances!D132:Instances!D132),"median", MEDIAN(Instances!D132:Instances!D132),"min", MIN(Instances!D132:Instances!D132),"max", MAX(Instances!D132:Instances!D132),"diff", MAX(Instances!D132:Instances!D132)-MIN(Instances!D132:Instances!D132))</f>
        <v>0</v>
      </c>
      <c r="E132" s="1" cm="1">
        <f t="array" ref="E132">_xlfn.SWITCH($A$2,"average", AVERAGE(Instances!E132:Instances!E132),"median", MEDIAN(Instances!E132:Instances!E132),"min", MIN(Instances!E132:Instances!E132),"max", MAX(Instances!E132:Instances!E132),"diff", MAX(Instances!E132:Instances!E132)-MIN(Instances!E132:Instances!E132))</f>
        <v>0</v>
      </c>
      <c r="F132" s="1" cm="1">
        <f t="array" ref="F132">_xlfn.SWITCH($A$2,"average", AVERAGE(Instances!F132:Instances!F132),"median", MEDIAN(Instances!F132:Instances!F132),"min", MIN(Instances!F132:Instances!F132),"max", MAX(Instances!F132:Instances!F132),"diff", MAX(Instances!F132:Instances!F132)-MIN(Instances!F132:Instances!F132))</f>
        <v>0</v>
      </c>
      <c r="G132" s="1" cm="1">
        <f t="array" ref="G132">_xlfn.SWITCH($A$2,"average", AVERAGE(Instances!G132:Instances!G132),"median", MEDIAN(Instances!G132:Instances!G132),"min", MIN(Instances!G132:Instances!G132),"max", MAX(Instances!G132:Instances!G132),"diff", MAX(Instances!G132:Instances!G132)-MIN(Instances!G132:Instances!G132))</f>
        <v>0</v>
      </c>
      <c r="H132" s="1"/>
      <c r="I132" s="1"/>
      <c r="J132" s="1" cm="1">
        <f t="array" ref="J132">_xlfn.SWITCH($A$2,"average", AVERAGE(Instances!J132:Instances!J132),"median", MEDIAN(Instances!J132:Instances!J132),"min", MIN(Instances!J132:Instances!J132),"max", MAX(Instances!J132:Instances!J132),"diff", MAX(Instances!J132:Instances!J132)-MIN(Instances!J132:Instances!J132))</f>
        <v>0</v>
      </c>
      <c r="K132" s="1" cm="1">
        <f t="array" ref="K132">_xlfn.SWITCH($A$2,"average", AVERAGE(Instances!K132:Instances!K132),"median", MEDIAN(Instances!K132:Instances!K132),"min", MIN(Instances!K132:Instances!K132),"max", MAX(Instances!K132:Instances!K132),"diff", MAX(Instances!K132:Instances!K132)-MIN(Instances!K132:Instances!K132))</f>
        <v>0</v>
      </c>
      <c r="L132" s="1" cm="1">
        <f t="array" ref="L132">_xlfn.SWITCH($A$2,"average", AVERAGE(Instances!L132:Instances!L132),"median", MEDIAN(Instances!L132:Instances!L132),"min", MIN(Instances!L132:Instances!L132),"max", MAX(Instances!L132:Instances!L132),"diff", MAX(Instances!L132:Instances!L132)-MIN(Instances!L132:Instances!L132))</f>
        <v>0</v>
      </c>
      <c r="M132" s="1" cm="1">
        <f t="array" ref="M132">_xlfn.SWITCH($A$2,"average", AVERAGE(Instances!M132:Instances!M132),"median", MEDIAN(Instances!M132:Instances!M132),"min", MIN(Instances!M132:Instances!M132),"max", MAX(Instances!M132:Instances!M132),"diff", MAX(Instances!M132:Instances!M132)-MIN(Instances!M132:Instances!M132))</f>
        <v>0</v>
      </c>
      <c r="N132" s="1" cm="1">
        <f t="array" ref="N132">_xlfn.SWITCH($A$2,"average", AVERAGE(Instances!N132:Instances!N132),"median", MEDIAN(Instances!N132:Instances!N132),"min", MIN(Instances!N132:Instances!N132),"max", MAX(Instances!N132:Instances!N132),"diff", MAX(Instances!N132:Instances!N132)-MIN(Instances!N132:Instances!N132))</f>
        <v>0</v>
      </c>
      <c r="O132" s="1" cm="1">
        <f t="array" ref="O132">_xlfn.SWITCH($A$2,"average", AVERAGE(Instances!O132:Instances!O132),"median", MEDIAN(Instances!O132:Instances!O132),"min", MIN(Instances!O132:Instances!O132),"max", MAX(Instances!O132:Instances!O132),"diff", MAX(Instances!O132:Instances!O132)-MIN(Instances!O132:Instances!O132))</f>
        <v>0</v>
      </c>
      <c r="P132" s="1" cm="1">
        <f t="array" ref="P132">_xlfn.SWITCH($A$2,"average", AVERAGE(Instances!P132:Instances!P132),"median", MEDIAN(Instances!P132:Instances!P132),"min", MIN(Instances!P132:Instances!P132),"max", MAX(Instances!P132:Instances!P132),"diff", MAX(Instances!P132:Instances!P132)-MIN(Instances!P132:Instances!P132))</f>
        <v>0</v>
      </c>
      <c r="Q132" s="1" cm="1">
        <f t="array" ref="Q132">_xlfn.SWITCH($A$2,"average", AVERAGE(Instances!Q132:Instances!Q132),"median", MEDIAN(Instances!Q132:Instances!Q132),"min", MIN(Instances!Q132:Instances!Q132),"max", MAX(Instances!Q132:Instances!Q132),"diff", MAX(Instances!Q132:Instances!Q132)-MIN(Instances!Q132:Instances!Q132))</f>
        <v>0</v>
      </c>
      <c r="R132" s="1">
        <f>MIN($B132,$D132,$F132,$H132,$J132,$L132,$N132,$P132)</f>
        <v>0</v>
      </c>
      <c r="S132" s="1">
        <f>MIN($C132,$E132,$G132,$I132,$K132,$M132,$O132,$Q132)</f>
        <v>0</v>
      </c>
      <c r="T132" s="1">
        <f>MEDIAN($B132,$D132,$F132,$H132,$J132,$L132,$N132,$P132)</f>
        <v>0</v>
      </c>
      <c r="U132" s="1">
        <f>MEDIAN($C132,$E132,$G132,$I132,$K132,$M132,$O132,$Q132)</f>
        <v>0</v>
      </c>
      <c r="V132" s="1">
        <f>MAX($B132,$D132,$F132,$H132,$J132,$L132,$N132,$P132)</f>
        <v>0</v>
      </c>
      <c r="W132" s="1">
        <f>MAX($C132,$E132,$G132,$I132,$K132,$M132,$O132,$Q132)</f>
        <v>0</v>
      </c>
    </row>
    <row r="133" spans="1:23">
      <c r="A133" s="1" t="s">
        <v>130</v>
      </c>
      <c r="B133" s="1"/>
      <c r="C133" s="1"/>
      <c r="D133" s="1" cm="1">
        <f t="array" ref="D133">_xlfn.SWITCH($A$2,"average", AVERAGE(Instances!D133:Instances!D133),"median", MEDIAN(Instances!D133:Instances!D133),"min", MIN(Instances!D133:Instances!D133),"max", MAX(Instances!D133:Instances!D133),"diff", MAX(Instances!D133:Instances!D133)-MIN(Instances!D133:Instances!D133))</f>
        <v>0</v>
      </c>
      <c r="E133" s="1" cm="1">
        <f t="array" ref="E133">_xlfn.SWITCH($A$2,"average", AVERAGE(Instances!E133:Instances!E133),"median", MEDIAN(Instances!E133:Instances!E133),"min", MIN(Instances!E133:Instances!E133),"max", MAX(Instances!E133:Instances!E133),"diff", MAX(Instances!E133:Instances!E133)-MIN(Instances!E133:Instances!E133))</f>
        <v>0</v>
      </c>
      <c r="F133" s="1" cm="1">
        <f t="array" ref="F133">_xlfn.SWITCH($A$2,"average", AVERAGE(Instances!F133:Instances!F133),"median", MEDIAN(Instances!F133:Instances!F133),"min", MIN(Instances!F133:Instances!F133),"max", MAX(Instances!F133:Instances!F133),"diff", MAX(Instances!F133:Instances!F133)-MIN(Instances!F133:Instances!F133))</f>
        <v>0</v>
      </c>
      <c r="G133" s="1" cm="1">
        <f t="array" ref="G133">_xlfn.SWITCH($A$2,"average", AVERAGE(Instances!G133:Instances!G133),"median", MEDIAN(Instances!G133:Instances!G133),"min", MIN(Instances!G133:Instances!G133),"max", MAX(Instances!G133:Instances!G133),"diff", MAX(Instances!G133:Instances!G133)-MIN(Instances!G133:Instances!G133))</f>
        <v>0</v>
      </c>
      <c r="H133" s="1"/>
      <c r="I133" s="1"/>
      <c r="J133" s="1" cm="1">
        <f t="array" ref="J133">_xlfn.SWITCH($A$2,"average", AVERAGE(Instances!J133:Instances!J133),"median", MEDIAN(Instances!J133:Instances!J133),"min", MIN(Instances!J133:Instances!J133),"max", MAX(Instances!J133:Instances!J133),"diff", MAX(Instances!J133:Instances!J133)-MIN(Instances!J133:Instances!J133))</f>
        <v>0</v>
      </c>
      <c r="K133" s="1" cm="1">
        <f t="array" ref="K133">_xlfn.SWITCH($A$2,"average", AVERAGE(Instances!K133:Instances!K133),"median", MEDIAN(Instances!K133:Instances!K133),"min", MIN(Instances!K133:Instances!K133),"max", MAX(Instances!K133:Instances!K133),"diff", MAX(Instances!K133:Instances!K133)-MIN(Instances!K133:Instances!K133))</f>
        <v>0</v>
      </c>
      <c r="L133" s="1" cm="1">
        <f t="array" ref="L133">_xlfn.SWITCH($A$2,"average", AVERAGE(Instances!L133:Instances!L133),"median", MEDIAN(Instances!L133:Instances!L133),"min", MIN(Instances!L133:Instances!L133),"max", MAX(Instances!L133:Instances!L133),"diff", MAX(Instances!L133:Instances!L133)-MIN(Instances!L133:Instances!L133))</f>
        <v>0</v>
      </c>
      <c r="M133" s="1" cm="1">
        <f t="array" ref="M133">_xlfn.SWITCH($A$2,"average", AVERAGE(Instances!M133:Instances!M133),"median", MEDIAN(Instances!M133:Instances!M133),"min", MIN(Instances!M133:Instances!M133),"max", MAX(Instances!M133:Instances!M133),"diff", MAX(Instances!M133:Instances!M133)-MIN(Instances!M133:Instances!M133))</f>
        <v>0</v>
      </c>
      <c r="N133" s="1" cm="1">
        <f t="array" ref="N133">_xlfn.SWITCH($A$2,"average", AVERAGE(Instances!N133:Instances!N133),"median", MEDIAN(Instances!N133:Instances!N133),"min", MIN(Instances!N133:Instances!N133),"max", MAX(Instances!N133:Instances!N133),"diff", MAX(Instances!N133:Instances!N133)-MIN(Instances!N133:Instances!N133))</f>
        <v>0</v>
      </c>
      <c r="O133" s="1" cm="1">
        <f t="array" ref="O133">_xlfn.SWITCH($A$2,"average", AVERAGE(Instances!O133:Instances!O133),"median", MEDIAN(Instances!O133:Instances!O133),"min", MIN(Instances!O133:Instances!O133),"max", MAX(Instances!O133:Instances!O133),"diff", MAX(Instances!O133:Instances!O133)-MIN(Instances!O133:Instances!O133))</f>
        <v>0</v>
      </c>
      <c r="P133" s="1" cm="1">
        <f t="array" ref="P133">_xlfn.SWITCH($A$2,"average", AVERAGE(Instances!P133:Instances!P133),"median", MEDIAN(Instances!P133:Instances!P133),"min", MIN(Instances!P133:Instances!P133),"max", MAX(Instances!P133:Instances!P133),"diff", MAX(Instances!P133:Instances!P133)-MIN(Instances!P133:Instances!P133))</f>
        <v>0</v>
      </c>
      <c r="Q133" s="1" cm="1">
        <f t="array" ref="Q133">_xlfn.SWITCH($A$2,"average", AVERAGE(Instances!Q133:Instances!Q133),"median", MEDIAN(Instances!Q133:Instances!Q133),"min", MIN(Instances!Q133:Instances!Q133),"max", MAX(Instances!Q133:Instances!Q133),"diff", MAX(Instances!Q133:Instances!Q133)-MIN(Instances!Q133:Instances!Q133))</f>
        <v>0</v>
      </c>
      <c r="R133" s="1">
        <f>MIN($B133,$D133,$F133,$H133,$J133,$L133,$N133,$P133)</f>
        <v>0</v>
      </c>
      <c r="S133" s="1">
        <f>MIN($C133,$E133,$G133,$I133,$K133,$M133,$O133,$Q133)</f>
        <v>0</v>
      </c>
      <c r="T133" s="1">
        <f>MEDIAN($B133,$D133,$F133,$H133,$J133,$L133,$N133,$P133)</f>
        <v>0</v>
      </c>
      <c r="U133" s="1">
        <f>MEDIAN($C133,$E133,$G133,$I133,$K133,$M133,$O133,$Q133)</f>
        <v>0</v>
      </c>
      <c r="V133" s="1">
        <f>MAX($B133,$D133,$F133,$H133,$J133,$L133,$N133,$P133)</f>
        <v>0</v>
      </c>
      <c r="W133" s="1">
        <f>MAX($C133,$E133,$G133,$I133,$K133,$M133,$O133,$Q133)</f>
        <v>0</v>
      </c>
    </row>
    <row r="134" spans="1:23">
      <c r="A134" s="1" t="s">
        <v>131</v>
      </c>
      <c r="B134" s="1"/>
      <c r="C134" s="1"/>
      <c r="D134" s="1" cm="1">
        <f t="array" ref="D134">_xlfn.SWITCH($A$2,"average", AVERAGE(Instances!D134:Instances!D134),"median", MEDIAN(Instances!D134:Instances!D134),"min", MIN(Instances!D134:Instances!D134),"max", MAX(Instances!D134:Instances!D134),"diff", MAX(Instances!D134:Instances!D134)-MIN(Instances!D134:Instances!D134))</f>
        <v>0</v>
      </c>
      <c r="E134" s="1" cm="1">
        <f t="array" ref="E134">_xlfn.SWITCH($A$2,"average", AVERAGE(Instances!E134:Instances!E134),"median", MEDIAN(Instances!E134:Instances!E134),"min", MIN(Instances!E134:Instances!E134),"max", MAX(Instances!E134:Instances!E134),"diff", MAX(Instances!E134:Instances!E134)-MIN(Instances!E134:Instances!E134))</f>
        <v>0</v>
      </c>
      <c r="F134" s="1" cm="1">
        <f t="array" ref="F134">_xlfn.SWITCH($A$2,"average", AVERAGE(Instances!F134:Instances!F134),"median", MEDIAN(Instances!F134:Instances!F134),"min", MIN(Instances!F134:Instances!F134),"max", MAX(Instances!F134:Instances!F134),"diff", MAX(Instances!F134:Instances!F134)-MIN(Instances!F134:Instances!F134))</f>
        <v>0</v>
      </c>
      <c r="G134" s="1" cm="1">
        <f t="array" ref="G134">_xlfn.SWITCH($A$2,"average", AVERAGE(Instances!G134:Instances!G134),"median", MEDIAN(Instances!G134:Instances!G134),"min", MIN(Instances!G134:Instances!G134),"max", MAX(Instances!G134:Instances!G134),"diff", MAX(Instances!G134:Instances!G134)-MIN(Instances!G134:Instances!G134))</f>
        <v>0</v>
      </c>
      <c r="H134" s="1"/>
      <c r="I134" s="1"/>
      <c r="J134" s="1" cm="1">
        <f t="array" ref="J134">_xlfn.SWITCH($A$2,"average", AVERAGE(Instances!J134:Instances!J134),"median", MEDIAN(Instances!J134:Instances!J134),"min", MIN(Instances!J134:Instances!J134),"max", MAX(Instances!J134:Instances!J134),"diff", MAX(Instances!J134:Instances!J134)-MIN(Instances!J134:Instances!J134))</f>
        <v>0</v>
      </c>
      <c r="K134" s="1" cm="1">
        <f t="array" ref="K134">_xlfn.SWITCH($A$2,"average", AVERAGE(Instances!K134:Instances!K134),"median", MEDIAN(Instances!K134:Instances!K134),"min", MIN(Instances!K134:Instances!K134),"max", MAX(Instances!K134:Instances!K134),"diff", MAX(Instances!K134:Instances!K134)-MIN(Instances!K134:Instances!K134))</f>
        <v>0</v>
      </c>
      <c r="L134" s="1" cm="1">
        <f t="array" ref="L134">_xlfn.SWITCH($A$2,"average", AVERAGE(Instances!L134:Instances!L134),"median", MEDIAN(Instances!L134:Instances!L134),"min", MIN(Instances!L134:Instances!L134),"max", MAX(Instances!L134:Instances!L134),"diff", MAX(Instances!L134:Instances!L134)-MIN(Instances!L134:Instances!L134))</f>
        <v>0</v>
      </c>
      <c r="M134" s="1" cm="1">
        <f t="array" ref="M134">_xlfn.SWITCH($A$2,"average", AVERAGE(Instances!M134:Instances!M134),"median", MEDIAN(Instances!M134:Instances!M134),"min", MIN(Instances!M134:Instances!M134),"max", MAX(Instances!M134:Instances!M134),"diff", MAX(Instances!M134:Instances!M134)-MIN(Instances!M134:Instances!M134))</f>
        <v>0</v>
      </c>
      <c r="N134" s="1" cm="1">
        <f t="array" ref="N134">_xlfn.SWITCH($A$2,"average", AVERAGE(Instances!N134:Instances!N134),"median", MEDIAN(Instances!N134:Instances!N134),"min", MIN(Instances!N134:Instances!N134),"max", MAX(Instances!N134:Instances!N134),"diff", MAX(Instances!N134:Instances!N134)-MIN(Instances!N134:Instances!N134))</f>
        <v>0</v>
      </c>
      <c r="O134" s="1" cm="1">
        <f t="array" ref="O134">_xlfn.SWITCH($A$2,"average", AVERAGE(Instances!O134:Instances!O134),"median", MEDIAN(Instances!O134:Instances!O134),"min", MIN(Instances!O134:Instances!O134),"max", MAX(Instances!O134:Instances!O134),"diff", MAX(Instances!O134:Instances!O134)-MIN(Instances!O134:Instances!O134))</f>
        <v>0</v>
      </c>
      <c r="P134" s="1" cm="1">
        <f t="array" ref="P134">_xlfn.SWITCH($A$2,"average", AVERAGE(Instances!P134:Instances!P134),"median", MEDIAN(Instances!P134:Instances!P134),"min", MIN(Instances!P134:Instances!P134),"max", MAX(Instances!P134:Instances!P134),"diff", MAX(Instances!P134:Instances!P134)-MIN(Instances!P134:Instances!P134))</f>
        <v>0</v>
      </c>
      <c r="Q134" s="1" cm="1">
        <f t="array" ref="Q134">_xlfn.SWITCH($A$2,"average", AVERAGE(Instances!Q134:Instances!Q134),"median", MEDIAN(Instances!Q134:Instances!Q134),"min", MIN(Instances!Q134:Instances!Q134),"max", MAX(Instances!Q134:Instances!Q134),"diff", MAX(Instances!Q134:Instances!Q134)-MIN(Instances!Q134:Instances!Q134))</f>
        <v>0</v>
      </c>
      <c r="R134" s="1">
        <f>MIN($B134,$D134,$F134,$H134,$J134,$L134,$N134,$P134)</f>
        <v>0</v>
      </c>
      <c r="S134" s="1">
        <f>MIN($C134,$E134,$G134,$I134,$K134,$M134,$O134,$Q134)</f>
        <v>0</v>
      </c>
      <c r="T134" s="1">
        <f>MEDIAN($B134,$D134,$F134,$H134,$J134,$L134,$N134,$P134)</f>
        <v>0</v>
      </c>
      <c r="U134" s="1">
        <f>MEDIAN($C134,$E134,$G134,$I134,$K134,$M134,$O134,$Q134)</f>
        <v>0</v>
      </c>
      <c r="V134" s="1">
        <f>MAX($B134,$D134,$F134,$H134,$J134,$L134,$N134,$P134)</f>
        <v>0</v>
      </c>
      <c r="W134" s="1">
        <f>MAX($C134,$E134,$G134,$I134,$K134,$M134,$O134,$Q134)</f>
        <v>0</v>
      </c>
    </row>
    <row r="135" spans="1:23">
      <c r="A135" s="1" t="s">
        <v>132</v>
      </c>
      <c r="B135" s="1"/>
      <c r="C135" s="1"/>
      <c r="D135" s="1" cm="1">
        <f t="array" ref="D135">_xlfn.SWITCH($A$2,"average", AVERAGE(Instances!D135:Instances!D135),"median", MEDIAN(Instances!D135:Instances!D135),"min", MIN(Instances!D135:Instances!D135),"max", MAX(Instances!D135:Instances!D135),"diff", MAX(Instances!D135:Instances!D135)-MIN(Instances!D135:Instances!D135))</f>
        <v>0</v>
      </c>
      <c r="E135" s="1" cm="1">
        <f t="array" ref="E135">_xlfn.SWITCH($A$2,"average", AVERAGE(Instances!E135:Instances!E135),"median", MEDIAN(Instances!E135:Instances!E135),"min", MIN(Instances!E135:Instances!E135),"max", MAX(Instances!E135:Instances!E135),"diff", MAX(Instances!E135:Instances!E135)-MIN(Instances!E135:Instances!E135))</f>
        <v>0</v>
      </c>
      <c r="F135" s="1" cm="1">
        <f t="array" ref="F135">_xlfn.SWITCH($A$2,"average", AVERAGE(Instances!F135:Instances!F135),"median", MEDIAN(Instances!F135:Instances!F135),"min", MIN(Instances!F135:Instances!F135),"max", MAX(Instances!F135:Instances!F135),"diff", MAX(Instances!F135:Instances!F135)-MIN(Instances!F135:Instances!F135))</f>
        <v>0</v>
      </c>
      <c r="G135" s="1" cm="1">
        <f t="array" ref="G135">_xlfn.SWITCH($A$2,"average", AVERAGE(Instances!G135:Instances!G135),"median", MEDIAN(Instances!G135:Instances!G135),"min", MIN(Instances!G135:Instances!G135),"max", MAX(Instances!G135:Instances!G135),"diff", MAX(Instances!G135:Instances!G135)-MIN(Instances!G135:Instances!G135))</f>
        <v>0</v>
      </c>
      <c r="H135" s="1"/>
      <c r="I135" s="1"/>
      <c r="J135" s="1" cm="1">
        <f t="array" ref="J135">_xlfn.SWITCH($A$2,"average", AVERAGE(Instances!J135:Instances!J135),"median", MEDIAN(Instances!J135:Instances!J135),"min", MIN(Instances!J135:Instances!J135),"max", MAX(Instances!J135:Instances!J135),"diff", MAX(Instances!J135:Instances!J135)-MIN(Instances!J135:Instances!J135))</f>
        <v>0</v>
      </c>
      <c r="K135" s="1" cm="1">
        <f t="array" ref="K135">_xlfn.SWITCH($A$2,"average", AVERAGE(Instances!K135:Instances!K135),"median", MEDIAN(Instances!K135:Instances!K135),"min", MIN(Instances!K135:Instances!K135),"max", MAX(Instances!K135:Instances!K135),"diff", MAX(Instances!K135:Instances!K135)-MIN(Instances!K135:Instances!K135))</f>
        <v>0</v>
      </c>
      <c r="L135" s="1" cm="1">
        <f t="array" ref="L135">_xlfn.SWITCH($A$2,"average", AVERAGE(Instances!L135:Instances!L135),"median", MEDIAN(Instances!L135:Instances!L135),"min", MIN(Instances!L135:Instances!L135),"max", MAX(Instances!L135:Instances!L135),"diff", MAX(Instances!L135:Instances!L135)-MIN(Instances!L135:Instances!L135))</f>
        <v>0</v>
      </c>
      <c r="M135" s="1" cm="1">
        <f t="array" ref="M135">_xlfn.SWITCH($A$2,"average", AVERAGE(Instances!M135:Instances!M135),"median", MEDIAN(Instances!M135:Instances!M135),"min", MIN(Instances!M135:Instances!M135),"max", MAX(Instances!M135:Instances!M135),"diff", MAX(Instances!M135:Instances!M135)-MIN(Instances!M135:Instances!M135))</f>
        <v>0</v>
      </c>
      <c r="N135" s="1" cm="1">
        <f t="array" ref="N135">_xlfn.SWITCH($A$2,"average", AVERAGE(Instances!N135:Instances!N135),"median", MEDIAN(Instances!N135:Instances!N135),"min", MIN(Instances!N135:Instances!N135),"max", MAX(Instances!N135:Instances!N135),"diff", MAX(Instances!N135:Instances!N135)-MIN(Instances!N135:Instances!N135))</f>
        <v>0</v>
      </c>
      <c r="O135" s="1" cm="1">
        <f t="array" ref="O135">_xlfn.SWITCH($A$2,"average", AVERAGE(Instances!O135:Instances!O135),"median", MEDIAN(Instances!O135:Instances!O135),"min", MIN(Instances!O135:Instances!O135),"max", MAX(Instances!O135:Instances!O135),"diff", MAX(Instances!O135:Instances!O135)-MIN(Instances!O135:Instances!O135))</f>
        <v>0</v>
      </c>
      <c r="P135" s="1" cm="1">
        <f t="array" ref="P135">_xlfn.SWITCH($A$2,"average", AVERAGE(Instances!P135:Instances!P135),"median", MEDIAN(Instances!P135:Instances!P135),"min", MIN(Instances!P135:Instances!P135),"max", MAX(Instances!P135:Instances!P135),"diff", MAX(Instances!P135:Instances!P135)-MIN(Instances!P135:Instances!P135))</f>
        <v>0</v>
      </c>
      <c r="Q135" s="1" cm="1">
        <f t="array" ref="Q135">_xlfn.SWITCH($A$2,"average", AVERAGE(Instances!Q135:Instances!Q135),"median", MEDIAN(Instances!Q135:Instances!Q135),"min", MIN(Instances!Q135:Instances!Q135),"max", MAX(Instances!Q135:Instances!Q135),"diff", MAX(Instances!Q135:Instances!Q135)-MIN(Instances!Q135:Instances!Q135))</f>
        <v>0</v>
      </c>
      <c r="R135" s="1">
        <f>MIN($B135,$D135,$F135,$H135,$J135,$L135,$N135,$P135)</f>
        <v>0</v>
      </c>
      <c r="S135" s="1">
        <f>MIN($C135,$E135,$G135,$I135,$K135,$M135,$O135,$Q135)</f>
        <v>0</v>
      </c>
      <c r="T135" s="1">
        <f>MEDIAN($B135,$D135,$F135,$H135,$J135,$L135,$N135,$P135)</f>
        <v>0</v>
      </c>
      <c r="U135" s="1">
        <f>MEDIAN($C135,$E135,$G135,$I135,$K135,$M135,$O135,$Q135)</f>
        <v>0</v>
      </c>
      <c r="V135" s="1">
        <f>MAX($B135,$D135,$F135,$H135,$J135,$L135,$N135,$P135)</f>
        <v>0</v>
      </c>
      <c r="W135" s="1">
        <f>MAX($C135,$E135,$G135,$I135,$K135,$M135,$O135,$Q135)</f>
        <v>0</v>
      </c>
    </row>
    <row r="136" spans="1:23">
      <c r="A136" s="1" t="s">
        <v>133</v>
      </c>
      <c r="B136" s="1"/>
      <c r="C136" s="1"/>
      <c r="D136" s="1" cm="1">
        <f t="array" ref="D136">_xlfn.SWITCH($A$2,"average", AVERAGE(Instances!D136:Instances!D136),"median", MEDIAN(Instances!D136:Instances!D136),"min", MIN(Instances!D136:Instances!D136),"max", MAX(Instances!D136:Instances!D136),"diff", MAX(Instances!D136:Instances!D136)-MIN(Instances!D136:Instances!D136))</f>
        <v>0</v>
      </c>
      <c r="E136" s="1" cm="1">
        <f t="array" ref="E136">_xlfn.SWITCH($A$2,"average", AVERAGE(Instances!E136:Instances!E136),"median", MEDIAN(Instances!E136:Instances!E136),"min", MIN(Instances!E136:Instances!E136),"max", MAX(Instances!E136:Instances!E136),"diff", MAX(Instances!E136:Instances!E136)-MIN(Instances!E136:Instances!E136))</f>
        <v>0</v>
      </c>
      <c r="F136" s="1" cm="1">
        <f t="array" ref="F136">_xlfn.SWITCH($A$2,"average", AVERAGE(Instances!F136:Instances!F136),"median", MEDIAN(Instances!F136:Instances!F136),"min", MIN(Instances!F136:Instances!F136),"max", MAX(Instances!F136:Instances!F136),"diff", MAX(Instances!F136:Instances!F136)-MIN(Instances!F136:Instances!F136))</f>
        <v>0</v>
      </c>
      <c r="G136" s="1" cm="1">
        <f t="array" ref="G136">_xlfn.SWITCH($A$2,"average", AVERAGE(Instances!G136:Instances!G136),"median", MEDIAN(Instances!G136:Instances!G136),"min", MIN(Instances!G136:Instances!G136),"max", MAX(Instances!G136:Instances!G136),"diff", MAX(Instances!G136:Instances!G136)-MIN(Instances!G136:Instances!G136))</f>
        <v>0</v>
      </c>
      <c r="H136" s="1"/>
      <c r="I136" s="1"/>
      <c r="J136" s="1" cm="1">
        <f t="array" ref="J136">_xlfn.SWITCH($A$2,"average", AVERAGE(Instances!J136:Instances!J136),"median", MEDIAN(Instances!J136:Instances!J136),"min", MIN(Instances!J136:Instances!J136),"max", MAX(Instances!J136:Instances!J136),"diff", MAX(Instances!J136:Instances!J136)-MIN(Instances!J136:Instances!J136))</f>
        <v>0</v>
      </c>
      <c r="K136" s="1" cm="1">
        <f t="array" ref="K136">_xlfn.SWITCH($A$2,"average", AVERAGE(Instances!K136:Instances!K136),"median", MEDIAN(Instances!K136:Instances!K136),"min", MIN(Instances!K136:Instances!K136),"max", MAX(Instances!K136:Instances!K136),"diff", MAX(Instances!K136:Instances!K136)-MIN(Instances!K136:Instances!K136))</f>
        <v>0</v>
      </c>
      <c r="L136" s="1" cm="1">
        <f t="array" ref="L136">_xlfn.SWITCH($A$2,"average", AVERAGE(Instances!L136:Instances!L136),"median", MEDIAN(Instances!L136:Instances!L136),"min", MIN(Instances!L136:Instances!L136),"max", MAX(Instances!L136:Instances!L136),"diff", MAX(Instances!L136:Instances!L136)-MIN(Instances!L136:Instances!L136))</f>
        <v>0</v>
      </c>
      <c r="M136" s="1" cm="1">
        <f t="array" ref="M136">_xlfn.SWITCH($A$2,"average", AVERAGE(Instances!M136:Instances!M136),"median", MEDIAN(Instances!M136:Instances!M136),"min", MIN(Instances!M136:Instances!M136),"max", MAX(Instances!M136:Instances!M136),"diff", MAX(Instances!M136:Instances!M136)-MIN(Instances!M136:Instances!M136))</f>
        <v>0</v>
      </c>
      <c r="N136" s="1" cm="1">
        <f t="array" ref="N136">_xlfn.SWITCH($A$2,"average", AVERAGE(Instances!N136:Instances!N136),"median", MEDIAN(Instances!N136:Instances!N136),"min", MIN(Instances!N136:Instances!N136),"max", MAX(Instances!N136:Instances!N136),"diff", MAX(Instances!N136:Instances!N136)-MIN(Instances!N136:Instances!N136))</f>
        <v>0</v>
      </c>
      <c r="O136" s="1" cm="1">
        <f t="array" ref="O136">_xlfn.SWITCH($A$2,"average", AVERAGE(Instances!O136:Instances!O136),"median", MEDIAN(Instances!O136:Instances!O136),"min", MIN(Instances!O136:Instances!O136),"max", MAX(Instances!O136:Instances!O136),"diff", MAX(Instances!O136:Instances!O136)-MIN(Instances!O136:Instances!O136))</f>
        <v>0</v>
      </c>
      <c r="P136" s="1" cm="1">
        <f t="array" ref="P136">_xlfn.SWITCH($A$2,"average", AVERAGE(Instances!P136:Instances!P136),"median", MEDIAN(Instances!P136:Instances!P136),"min", MIN(Instances!P136:Instances!P136),"max", MAX(Instances!P136:Instances!P136),"diff", MAX(Instances!P136:Instances!P136)-MIN(Instances!P136:Instances!P136))</f>
        <v>0</v>
      </c>
      <c r="Q136" s="1" cm="1">
        <f t="array" ref="Q136">_xlfn.SWITCH($A$2,"average", AVERAGE(Instances!Q136:Instances!Q136),"median", MEDIAN(Instances!Q136:Instances!Q136),"min", MIN(Instances!Q136:Instances!Q136),"max", MAX(Instances!Q136:Instances!Q136),"diff", MAX(Instances!Q136:Instances!Q136)-MIN(Instances!Q136:Instances!Q136))</f>
        <v>0</v>
      </c>
      <c r="R136" s="1">
        <f>MIN($B136,$D136,$F136,$H136,$J136,$L136,$N136,$P136)</f>
        <v>0</v>
      </c>
      <c r="S136" s="1">
        <f>MIN($C136,$E136,$G136,$I136,$K136,$M136,$O136,$Q136)</f>
        <v>0</v>
      </c>
      <c r="T136" s="1">
        <f>MEDIAN($B136,$D136,$F136,$H136,$J136,$L136,$N136,$P136)</f>
        <v>0</v>
      </c>
      <c r="U136" s="1">
        <f>MEDIAN($C136,$E136,$G136,$I136,$K136,$M136,$O136,$Q136)</f>
        <v>0</v>
      </c>
      <c r="V136" s="1">
        <f>MAX($B136,$D136,$F136,$H136,$J136,$L136,$N136,$P136)</f>
        <v>0</v>
      </c>
      <c r="W136" s="1">
        <f>MAX($C136,$E136,$G136,$I136,$K136,$M136,$O136,$Q136)</f>
        <v>0</v>
      </c>
    </row>
    <row r="137" spans="1:23">
      <c r="A137" s="1" t="s">
        <v>134</v>
      </c>
      <c r="B137" s="1"/>
      <c r="C137" s="1"/>
      <c r="D137" s="1" cm="1">
        <f t="array" ref="D137">_xlfn.SWITCH($A$2,"average", AVERAGE(Instances!D137:Instances!D137),"median", MEDIAN(Instances!D137:Instances!D137),"min", MIN(Instances!D137:Instances!D137),"max", MAX(Instances!D137:Instances!D137),"diff", MAX(Instances!D137:Instances!D137)-MIN(Instances!D137:Instances!D137))</f>
        <v>0</v>
      </c>
      <c r="E137" s="1" cm="1">
        <f t="array" ref="E137">_xlfn.SWITCH($A$2,"average", AVERAGE(Instances!E137:Instances!E137),"median", MEDIAN(Instances!E137:Instances!E137),"min", MIN(Instances!E137:Instances!E137),"max", MAX(Instances!E137:Instances!E137),"diff", MAX(Instances!E137:Instances!E137)-MIN(Instances!E137:Instances!E137))</f>
        <v>0</v>
      </c>
      <c r="F137" s="1" cm="1">
        <f t="array" ref="F137">_xlfn.SWITCH($A$2,"average", AVERAGE(Instances!F137:Instances!F137),"median", MEDIAN(Instances!F137:Instances!F137),"min", MIN(Instances!F137:Instances!F137),"max", MAX(Instances!F137:Instances!F137),"diff", MAX(Instances!F137:Instances!F137)-MIN(Instances!F137:Instances!F137))</f>
        <v>0</v>
      </c>
      <c r="G137" s="1" cm="1">
        <f t="array" ref="G137">_xlfn.SWITCH($A$2,"average", AVERAGE(Instances!G137:Instances!G137),"median", MEDIAN(Instances!G137:Instances!G137),"min", MIN(Instances!G137:Instances!G137),"max", MAX(Instances!G137:Instances!G137),"diff", MAX(Instances!G137:Instances!G137)-MIN(Instances!G137:Instances!G137))</f>
        <v>0</v>
      </c>
      <c r="H137" s="1"/>
      <c r="I137" s="1"/>
      <c r="J137" s="1" cm="1">
        <f t="array" ref="J137">_xlfn.SWITCH($A$2,"average", AVERAGE(Instances!J137:Instances!J137),"median", MEDIAN(Instances!J137:Instances!J137),"min", MIN(Instances!J137:Instances!J137),"max", MAX(Instances!J137:Instances!J137),"diff", MAX(Instances!J137:Instances!J137)-MIN(Instances!J137:Instances!J137))</f>
        <v>0</v>
      </c>
      <c r="K137" s="1" cm="1">
        <f t="array" ref="K137">_xlfn.SWITCH($A$2,"average", AVERAGE(Instances!K137:Instances!K137),"median", MEDIAN(Instances!K137:Instances!K137),"min", MIN(Instances!K137:Instances!K137),"max", MAX(Instances!K137:Instances!K137),"diff", MAX(Instances!K137:Instances!K137)-MIN(Instances!K137:Instances!K137))</f>
        <v>0</v>
      </c>
      <c r="L137" s="1" cm="1">
        <f t="array" ref="L137">_xlfn.SWITCH($A$2,"average", AVERAGE(Instances!L137:Instances!L137),"median", MEDIAN(Instances!L137:Instances!L137),"min", MIN(Instances!L137:Instances!L137),"max", MAX(Instances!L137:Instances!L137),"diff", MAX(Instances!L137:Instances!L137)-MIN(Instances!L137:Instances!L137))</f>
        <v>0</v>
      </c>
      <c r="M137" s="1" cm="1">
        <f t="array" ref="M137">_xlfn.SWITCH($A$2,"average", AVERAGE(Instances!M137:Instances!M137),"median", MEDIAN(Instances!M137:Instances!M137),"min", MIN(Instances!M137:Instances!M137),"max", MAX(Instances!M137:Instances!M137),"diff", MAX(Instances!M137:Instances!M137)-MIN(Instances!M137:Instances!M137))</f>
        <v>0</v>
      </c>
      <c r="N137" s="1" cm="1">
        <f t="array" ref="N137">_xlfn.SWITCH($A$2,"average", AVERAGE(Instances!N137:Instances!N137),"median", MEDIAN(Instances!N137:Instances!N137),"min", MIN(Instances!N137:Instances!N137),"max", MAX(Instances!N137:Instances!N137),"diff", MAX(Instances!N137:Instances!N137)-MIN(Instances!N137:Instances!N137))</f>
        <v>0</v>
      </c>
      <c r="O137" s="1" cm="1">
        <f t="array" ref="O137">_xlfn.SWITCH($A$2,"average", AVERAGE(Instances!O137:Instances!O137),"median", MEDIAN(Instances!O137:Instances!O137),"min", MIN(Instances!O137:Instances!O137),"max", MAX(Instances!O137:Instances!O137),"diff", MAX(Instances!O137:Instances!O137)-MIN(Instances!O137:Instances!O137))</f>
        <v>0</v>
      </c>
      <c r="P137" s="1" cm="1">
        <f t="array" ref="P137">_xlfn.SWITCH($A$2,"average", AVERAGE(Instances!P137:Instances!P137),"median", MEDIAN(Instances!P137:Instances!P137),"min", MIN(Instances!P137:Instances!P137),"max", MAX(Instances!P137:Instances!P137),"diff", MAX(Instances!P137:Instances!P137)-MIN(Instances!P137:Instances!P137))</f>
        <v>0</v>
      </c>
      <c r="Q137" s="1" cm="1">
        <f t="array" ref="Q137">_xlfn.SWITCH($A$2,"average", AVERAGE(Instances!Q137:Instances!Q137),"median", MEDIAN(Instances!Q137:Instances!Q137),"min", MIN(Instances!Q137:Instances!Q137),"max", MAX(Instances!Q137:Instances!Q137),"diff", MAX(Instances!Q137:Instances!Q137)-MIN(Instances!Q137:Instances!Q137))</f>
        <v>0</v>
      </c>
      <c r="R137" s="1">
        <f>MIN($B137,$D137,$F137,$H137,$J137,$L137,$N137,$P137)</f>
        <v>0</v>
      </c>
      <c r="S137" s="1">
        <f>MIN($C137,$E137,$G137,$I137,$K137,$M137,$O137,$Q137)</f>
        <v>0</v>
      </c>
      <c r="T137" s="1">
        <f>MEDIAN($B137,$D137,$F137,$H137,$J137,$L137,$N137,$P137)</f>
        <v>0</v>
      </c>
      <c r="U137" s="1">
        <f>MEDIAN($C137,$E137,$G137,$I137,$K137,$M137,$O137,$Q137)</f>
        <v>0</v>
      </c>
      <c r="V137" s="1">
        <f>MAX($B137,$D137,$F137,$H137,$J137,$L137,$N137,$P137)</f>
        <v>0</v>
      </c>
      <c r="W137" s="1">
        <f>MAX($C137,$E137,$G137,$I137,$K137,$M137,$O137,$Q137)</f>
        <v>0</v>
      </c>
    </row>
    <row r="138" spans="1:23">
      <c r="A138" s="1" t="s">
        <v>135</v>
      </c>
      <c r="B138" s="1"/>
      <c r="C138" s="1"/>
      <c r="D138" s="1" cm="1">
        <f t="array" ref="D138">_xlfn.SWITCH($A$2,"average", AVERAGE(Instances!D138:Instances!D138),"median", MEDIAN(Instances!D138:Instances!D138),"min", MIN(Instances!D138:Instances!D138),"max", MAX(Instances!D138:Instances!D138),"diff", MAX(Instances!D138:Instances!D138)-MIN(Instances!D138:Instances!D138))</f>
        <v>0</v>
      </c>
      <c r="E138" s="1" cm="1">
        <f t="array" ref="E138">_xlfn.SWITCH($A$2,"average", AVERAGE(Instances!E138:Instances!E138),"median", MEDIAN(Instances!E138:Instances!E138),"min", MIN(Instances!E138:Instances!E138),"max", MAX(Instances!E138:Instances!E138),"diff", MAX(Instances!E138:Instances!E138)-MIN(Instances!E138:Instances!E138))</f>
        <v>0</v>
      </c>
      <c r="F138" s="1" cm="1">
        <f t="array" ref="F138">_xlfn.SWITCH($A$2,"average", AVERAGE(Instances!F138:Instances!F138),"median", MEDIAN(Instances!F138:Instances!F138),"min", MIN(Instances!F138:Instances!F138),"max", MAX(Instances!F138:Instances!F138),"diff", MAX(Instances!F138:Instances!F138)-MIN(Instances!F138:Instances!F138))</f>
        <v>0</v>
      </c>
      <c r="G138" s="1" cm="1">
        <f t="array" ref="G138">_xlfn.SWITCH($A$2,"average", AVERAGE(Instances!G138:Instances!G138),"median", MEDIAN(Instances!G138:Instances!G138),"min", MIN(Instances!G138:Instances!G138),"max", MAX(Instances!G138:Instances!G138),"diff", MAX(Instances!G138:Instances!G138)-MIN(Instances!G138:Instances!G138))</f>
        <v>0</v>
      </c>
      <c r="H138" s="1"/>
      <c r="I138" s="1"/>
      <c r="J138" s="1" cm="1">
        <f t="array" ref="J138">_xlfn.SWITCH($A$2,"average", AVERAGE(Instances!J138:Instances!J138),"median", MEDIAN(Instances!J138:Instances!J138),"min", MIN(Instances!J138:Instances!J138),"max", MAX(Instances!J138:Instances!J138),"diff", MAX(Instances!J138:Instances!J138)-MIN(Instances!J138:Instances!J138))</f>
        <v>0</v>
      </c>
      <c r="K138" s="1" cm="1">
        <f t="array" ref="K138">_xlfn.SWITCH($A$2,"average", AVERAGE(Instances!K138:Instances!K138),"median", MEDIAN(Instances!K138:Instances!K138),"min", MIN(Instances!K138:Instances!K138),"max", MAX(Instances!K138:Instances!K138),"diff", MAX(Instances!K138:Instances!K138)-MIN(Instances!K138:Instances!K138))</f>
        <v>0</v>
      </c>
      <c r="L138" s="1" cm="1">
        <f t="array" ref="L138">_xlfn.SWITCH($A$2,"average", AVERAGE(Instances!L138:Instances!L138),"median", MEDIAN(Instances!L138:Instances!L138),"min", MIN(Instances!L138:Instances!L138),"max", MAX(Instances!L138:Instances!L138),"diff", MAX(Instances!L138:Instances!L138)-MIN(Instances!L138:Instances!L138))</f>
        <v>0</v>
      </c>
      <c r="M138" s="1" cm="1">
        <f t="array" ref="M138">_xlfn.SWITCH($A$2,"average", AVERAGE(Instances!M138:Instances!M138),"median", MEDIAN(Instances!M138:Instances!M138),"min", MIN(Instances!M138:Instances!M138),"max", MAX(Instances!M138:Instances!M138),"diff", MAX(Instances!M138:Instances!M138)-MIN(Instances!M138:Instances!M138))</f>
        <v>0</v>
      </c>
      <c r="N138" s="1" cm="1">
        <f t="array" ref="N138">_xlfn.SWITCH($A$2,"average", AVERAGE(Instances!N138:Instances!N138),"median", MEDIAN(Instances!N138:Instances!N138),"min", MIN(Instances!N138:Instances!N138),"max", MAX(Instances!N138:Instances!N138),"diff", MAX(Instances!N138:Instances!N138)-MIN(Instances!N138:Instances!N138))</f>
        <v>0</v>
      </c>
      <c r="O138" s="1" cm="1">
        <f t="array" ref="O138">_xlfn.SWITCH($A$2,"average", AVERAGE(Instances!O138:Instances!O138),"median", MEDIAN(Instances!O138:Instances!O138),"min", MIN(Instances!O138:Instances!O138),"max", MAX(Instances!O138:Instances!O138),"diff", MAX(Instances!O138:Instances!O138)-MIN(Instances!O138:Instances!O138))</f>
        <v>0</v>
      </c>
      <c r="P138" s="1" cm="1">
        <f t="array" ref="P138">_xlfn.SWITCH($A$2,"average", AVERAGE(Instances!P138:Instances!P138),"median", MEDIAN(Instances!P138:Instances!P138),"min", MIN(Instances!P138:Instances!P138),"max", MAX(Instances!P138:Instances!P138),"diff", MAX(Instances!P138:Instances!P138)-MIN(Instances!P138:Instances!P138))</f>
        <v>0</v>
      </c>
      <c r="Q138" s="1" cm="1">
        <f t="array" ref="Q138">_xlfn.SWITCH($A$2,"average", AVERAGE(Instances!Q138:Instances!Q138),"median", MEDIAN(Instances!Q138:Instances!Q138),"min", MIN(Instances!Q138:Instances!Q138),"max", MAX(Instances!Q138:Instances!Q138),"diff", MAX(Instances!Q138:Instances!Q138)-MIN(Instances!Q138:Instances!Q138))</f>
        <v>0</v>
      </c>
      <c r="R138" s="1">
        <f>MIN($B138,$D138,$F138,$H138,$J138,$L138,$N138,$P138)</f>
        <v>0</v>
      </c>
      <c r="S138" s="1">
        <f>MIN($C138,$E138,$G138,$I138,$K138,$M138,$O138,$Q138)</f>
        <v>0</v>
      </c>
      <c r="T138" s="1">
        <f>MEDIAN($B138,$D138,$F138,$H138,$J138,$L138,$N138,$P138)</f>
        <v>0</v>
      </c>
      <c r="U138" s="1">
        <f>MEDIAN($C138,$E138,$G138,$I138,$K138,$M138,$O138,$Q138)</f>
        <v>0</v>
      </c>
      <c r="V138" s="1">
        <f>MAX($B138,$D138,$F138,$H138,$J138,$L138,$N138,$P138)</f>
        <v>0</v>
      </c>
      <c r="W138" s="1">
        <f>MAX($C138,$E138,$G138,$I138,$K138,$M138,$O138,$Q138)</f>
        <v>0</v>
      </c>
    </row>
    <row r="139" spans="1:23">
      <c r="A139" s="1" t="s">
        <v>136</v>
      </c>
      <c r="B139" s="1"/>
      <c r="C139" s="1"/>
      <c r="D139" s="1" cm="1">
        <f t="array" ref="D139">_xlfn.SWITCH($A$2,"average", AVERAGE(Instances!D139:Instances!D139),"median", MEDIAN(Instances!D139:Instances!D139),"min", MIN(Instances!D139:Instances!D139),"max", MAX(Instances!D139:Instances!D139),"diff", MAX(Instances!D139:Instances!D139)-MIN(Instances!D139:Instances!D139))</f>
        <v>0</v>
      </c>
      <c r="E139" s="1" cm="1">
        <f t="array" ref="E139">_xlfn.SWITCH($A$2,"average", AVERAGE(Instances!E139:Instances!E139),"median", MEDIAN(Instances!E139:Instances!E139),"min", MIN(Instances!E139:Instances!E139),"max", MAX(Instances!E139:Instances!E139),"diff", MAX(Instances!E139:Instances!E139)-MIN(Instances!E139:Instances!E139))</f>
        <v>0</v>
      </c>
      <c r="F139" s="1" cm="1">
        <f t="array" ref="F139">_xlfn.SWITCH($A$2,"average", AVERAGE(Instances!F139:Instances!F139),"median", MEDIAN(Instances!F139:Instances!F139),"min", MIN(Instances!F139:Instances!F139),"max", MAX(Instances!F139:Instances!F139),"diff", MAX(Instances!F139:Instances!F139)-MIN(Instances!F139:Instances!F139))</f>
        <v>0</v>
      </c>
      <c r="G139" s="1" cm="1">
        <f t="array" ref="G139">_xlfn.SWITCH($A$2,"average", AVERAGE(Instances!G139:Instances!G139),"median", MEDIAN(Instances!G139:Instances!G139),"min", MIN(Instances!G139:Instances!G139),"max", MAX(Instances!G139:Instances!G139),"diff", MAX(Instances!G139:Instances!G139)-MIN(Instances!G139:Instances!G139))</f>
        <v>0</v>
      </c>
      <c r="H139" s="1"/>
      <c r="I139" s="1"/>
      <c r="J139" s="1" cm="1">
        <f t="array" ref="J139">_xlfn.SWITCH($A$2,"average", AVERAGE(Instances!J139:Instances!J139),"median", MEDIAN(Instances!J139:Instances!J139),"min", MIN(Instances!J139:Instances!J139),"max", MAX(Instances!J139:Instances!J139),"diff", MAX(Instances!J139:Instances!J139)-MIN(Instances!J139:Instances!J139))</f>
        <v>0</v>
      </c>
      <c r="K139" s="1" cm="1">
        <f t="array" ref="K139">_xlfn.SWITCH($A$2,"average", AVERAGE(Instances!K139:Instances!K139),"median", MEDIAN(Instances!K139:Instances!K139),"min", MIN(Instances!K139:Instances!K139),"max", MAX(Instances!K139:Instances!K139),"diff", MAX(Instances!K139:Instances!K139)-MIN(Instances!K139:Instances!K139))</f>
        <v>0</v>
      </c>
      <c r="L139" s="1" cm="1">
        <f t="array" ref="L139">_xlfn.SWITCH($A$2,"average", AVERAGE(Instances!L139:Instances!L139),"median", MEDIAN(Instances!L139:Instances!L139),"min", MIN(Instances!L139:Instances!L139),"max", MAX(Instances!L139:Instances!L139),"diff", MAX(Instances!L139:Instances!L139)-MIN(Instances!L139:Instances!L139))</f>
        <v>0</v>
      </c>
      <c r="M139" s="1" cm="1">
        <f t="array" ref="M139">_xlfn.SWITCH($A$2,"average", AVERAGE(Instances!M139:Instances!M139),"median", MEDIAN(Instances!M139:Instances!M139),"min", MIN(Instances!M139:Instances!M139),"max", MAX(Instances!M139:Instances!M139),"diff", MAX(Instances!M139:Instances!M139)-MIN(Instances!M139:Instances!M139))</f>
        <v>0</v>
      </c>
      <c r="N139" s="1" cm="1">
        <f t="array" ref="N139">_xlfn.SWITCH($A$2,"average", AVERAGE(Instances!N139:Instances!N139),"median", MEDIAN(Instances!N139:Instances!N139),"min", MIN(Instances!N139:Instances!N139),"max", MAX(Instances!N139:Instances!N139),"diff", MAX(Instances!N139:Instances!N139)-MIN(Instances!N139:Instances!N139))</f>
        <v>0</v>
      </c>
      <c r="O139" s="1" cm="1">
        <f t="array" ref="O139">_xlfn.SWITCH($A$2,"average", AVERAGE(Instances!O139:Instances!O139),"median", MEDIAN(Instances!O139:Instances!O139),"min", MIN(Instances!O139:Instances!O139),"max", MAX(Instances!O139:Instances!O139),"diff", MAX(Instances!O139:Instances!O139)-MIN(Instances!O139:Instances!O139))</f>
        <v>0</v>
      </c>
      <c r="P139" s="1" cm="1">
        <f t="array" ref="P139">_xlfn.SWITCH($A$2,"average", AVERAGE(Instances!P139:Instances!P139),"median", MEDIAN(Instances!P139:Instances!P139),"min", MIN(Instances!P139:Instances!P139),"max", MAX(Instances!P139:Instances!P139),"diff", MAX(Instances!P139:Instances!P139)-MIN(Instances!P139:Instances!P139))</f>
        <v>0</v>
      </c>
      <c r="Q139" s="1" cm="1">
        <f t="array" ref="Q139">_xlfn.SWITCH($A$2,"average", AVERAGE(Instances!Q139:Instances!Q139),"median", MEDIAN(Instances!Q139:Instances!Q139),"min", MIN(Instances!Q139:Instances!Q139),"max", MAX(Instances!Q139:Instances!Q139),"diff", MAX(Instances!Q139:Instances!Q139)-MIN(Instances!Q139:Instances!Q139))</f>
        <v>0</v>
      </c>
      <c r="R139" s="1">
        <f>MIN($B139,$D139,$F139,$H139,$J139,$L139,$N139,$P139)</f>
        <v>0</v>
      </c>
      <c r="S139" s="1">
        <f>MIN($C139,$E139,$G139,$I139,$K139,$M139,$O139,$Q139)</f>
        <v>0</v>
      </c>
      <c r="T139" s="1">
        <f>MEDIAN($B139,$D139,$F139,$H139,$J139,$L139,$N139,$P139)</f>
        <v>0</v>
      </c>
      <c r="U139" s="1">
        <f>MEDIAN($C139,$E139,$G139,$I139,$K139,$M139,$O139,$Q139)</f>
        <v>0</v>
      </c>
      <c r="V139" s="1">
        <f>MAX($B139,$D139,$F139,$H139,$J139,$L139,$N139,$P139)</f>
        <v>0</v>
      </c>
      <c r="W139" s="1">
        <f>MAX($C139,$E139,$G139,$I139,$K139,$M139,$O139,$Q139)</f>
        <v>0</v>
      </c>
    </row>
    <row r="140" spans="1:23">
      <c r="A140" s="1" t="s">
        <v>137</v>
      </c>
      <c r="B140" s="1"/>
      <c r="C140" s="1"/>
      <c r="D140" s="1" cm="1">
        <f t="array" ref="D140">_xlfn.SWITCH($A$2,"average", AVERAGE(Instances!D140:Instances!D140),"median", MEDIAN(Instances!D140:Instances!D140),"min", MIN(Instances!D140:Instances!D140),"max", MAX(Instances!D140:Instances!D140),"diff", MAX(Instances!D140:Instances!D140)-MIN(Instances!D140:Instances!D140))</f>
        <v>0</v>
      </c>
      <c r="E140" s="1" cm="1">
        <f t="array" ref="E140">_xlfn.SWITCH($A$2,"average", AVERAGE(Instances!E140:Instances!E140),"median", MEDIAN(Instances!E140:Instances!E140),"min", MIN(Instances!E140:Instances!E140),"max", MAX(Instances!E140:Instances!E140),"diff", MAX(Instances!E140:Instances!E140)-MIN(Instances!E140:Instances!E140))</f>
        <v>0</v>
      </c>
      <c r="F140" s="1" cm="1">
        <f t="array" ref="F140">_xlfn.SWITCH($A$2,"average", AVERAGE(Instances!F140:Instances!F140),"median", MEDIAN(Instances!F140:Instances!F140),"min", MIN(Instances!F140:Instances!F140),"max", MAX(Instances!F140:Instances!F140),"diff", MAX(Instances!F140:Instances!F140)-MIN(Instances!F140:Instances!F140))</f>
        <v>0</v>
      </c>
      <c r="G140" s="1" cm="1">
        <f t="array" ref="G140">_xlfn.SWITCH($A$2,"average", AVERAGE(Instances!G140:Instances!G140),"median", MEDIAN(Instances!G140:Instances!G140),"min", MIN(Instances!G140:Instances!G140),"max", MAX(Instances!G140:Instances!G140),"diff", MAX(Instances!G140:Instances!G140)-MIN(Instances!G140:Instances!G140))</f>
        <v>0</v>
      </c>
      <c r="H140" s="1"/>
      <c r="I140" s="1"/>
      <c r="J140" s="1" cm="1">
        <f t="array" ref="J140">_xlfn.SWITCH($A$2,"average", AVERAGE(Instances!J140:Instances!J140),"median", MEDIAN(Instances!J140:Instances!J140),"min", MIN(Instances!J140:Instances!J140),"max", MAX(Instances!J140:Instances!J140),"diff", MAX(Instances!J140:Instances!J140)-MIN(Instances!J140:Instances!J140))</f>
        <v>0</v>
      </c>
      <c r="K140" s="1" cm="1">
        <f t="array" ref="K140">_xlfn.SWITCH($A$2,"average", AVERAGE(Instances!K140:Instances!K140),"median", MEDIAN(Instances!K140:Instances!K140),"min", MIN(Instances!K140:Instances!K140),"max", MAX(Instances!K140:Instances!K140),"diff", MAX(Instances!K140:Instances!K140)-MIN(Instances!K140:Instances!K140))</f>
        <v>0</v>
      </c>
      <c r="L140" s="1" cm="1">
        <f t="array" ref="L140">_xlfn.SWITCH($A$2,"average", AVERAGE(Instances!L140:Instances!L140),"median", MEDIAN(Instances!L140:Instances!L140),"min", MIN(Instances!L140:Instances!L140),"max", MAX(Instances!L140:Instances!L140),"diff", MAX(Instances!L140:Instances!L140)-MIN(Instances!L140:Instances!L140))</f>
        <v>0</v>
      </c>
      <c r="M140" s="1" cm="1">
        <f t="array" ref="M140">_xlfn.SWITCH($A$2,"average", AVERAGE(Instances!M140:Instances!M140),"median", MEDIAN(Instances!M140:Instances!M140),"min", MIN(Instances!M140:Instances!M140),"max", MAX(Instances!M140:Instances!M140),"diff", MAX(Instances!M140:Instances!M140)-MIN(Instances!M140:Instances!M140))</f>
        <v>0</v>
      </c>
      <c r="N140" s="1" cm="1">
        <f t="array" ref="N140">_xlfn.SWITCH($A$2,"average", AVERAGE(Instances!N140:Instances!N140),"median", MEDIAN(Instances!N140:Instances!N140),"min", MIN(Instances!N140:Instances!N140),"max", MAX(Instances!N140:Instances!N140),"diff", MAX(Instances!N140:Instances!N140)-MIN(Instances!N140:Instances!N140))</f>
        <v>0</v>
      </c>
      <c r="O140" s="1" cm="1">
        <f t="array" ref="O140">_xlfn.SWITCH($A$2,"average", AVERAGE(Instances!O140:Instances!O140),"median", MEDIAN(Instances!O140:Instances!O140),"min", MIN(Instances!O140:Instances!O140),"max", MAX(Instances!O140:Instances!O140),"diff", MAX(Instances!O140:Instances!O140)-MIN(Instances!O140:Instances!O140))</f>
        <v>0</v>
      </c>
      <c r="P140" s="1" cm="1">
        <f t="array" ref="P140">_xlfn.SWITCH($A$2,"average", AVERAGE(Instances!P140:Instances!P140),"median", MEDIAN(Instances!P140:Instances!P140),"min", MIN(Instances!P140:Instances!P140),"max", MAX(Instances!P140:Instances!P140),"diff", MAX(Instances!P140:Instances!P140)-MIN(Instances!P140:Instances!P140))</f>
        <v>0</v>
      </c>
      <c r="Q140" s="1" cm="1">
        <f t="array" ref="Q140">_xlfn.SWITCH($A$2,"average", AVERAGE(Instances!Q140:Instances!Q140),"median", MEDIAN(Instances!Q140:Instances!Q140),"min", MIN(Instances!Q140:Instances!Q140),"max", MAX(Instances!Q140:Instances!Q140),"diff", MAX(Instances!Q140:Instances!Q140)-MIN(Instances!Q140:Instances!Q140))</f>
        <v>0</v>
      </c>
      <c r="R140" s="1">
        <f>MIN($B140,$D140,$F140,$H140,$J140,$L140,$N140,$P140)</f>
        <v>0</v>
      </c>
      <c r="S140" s="1">
        <f>MIN($C140,$E140,$G140,$I140,$K140,$M140,$O140,$Q140)</f>
        <v>0</v>
      </c>
      <c r="T140" s="1">
        <f>MEDIAN($B140,$D140,$F140,$H140,$J140,$L140,$N140,$P140)</f>
        <v>0</v>
      </c>
      <c r="U140" s="1">
        <f>MEDIAN($C140,$E140,$G140,$I140,$K140,$M140,$O140,$Q140)</f>
        <v>0</v>
      </c>
      <c r="V140" s="1">
        <f>MAX($B140,$D140,$F140,$H140,$J140,$L140,$N140,$P140)</f>
        <v>0</v>
      </c>
      <c r="W140" s="1">
        <f>MAX($C140,$E140,$G140,$I140,$K140,$M140,$O140,$Q140)</f>
        <v>0</v>
      </c>
    </row>
    <row r="141" spans="1:23">
      <c r="A141" s="1" t="s">
        <v>138</v>
      </c>
      <c r="B141" s="1"/>
      <c r="C141" s="1"/>
      <c r="D141" s="1" cm="1">
        <f t="array" ref="D141">_xlfn.SWITCH($A$2,"average", AVERAGE(Instances!D141:Instances!D141),"median", MEDIAN(Instances!D141:Instances!D141),"min", MIN(Instances!D141:Instances!D141),"max", MAX(Instances!D141:Instances!D141),"diff", MAX(Instances!D141:Instances!D141)-MIN(Instances!D141:Instances!D141))</f>
        <v>0</v>
      </c>
      <c r="E141" s="1" cm="1">
        <f t="array" ref="E141">_xlfn.SWITCH($A$2,"average", AVERAGE(Instances!E141:Instances!E141),"median", MEDIAN(Instances!E141:Instances!E141),"min", MIN(Instances!E141:Instances!E141),"max", MAX(Instances!E141:Instances!E141),"diff", MAX(Instances!E141:Instances!E141)-MIN(Instances!E141:Instances!E141))</f>
        <v>0</v>
      </c>
      <c r="F141" s="1" cm="1">
        <f t="array" ref="F141">_xlfn.SWITCH($A$2,"average", AVERAGE(Instances!F141:Instances!F141),"median", MEDIAN(Instances!F141:Instances!F141),"min", MIN(Instances!F141:Instances!F141),"max", MAX(Instances!F141:Instances!F141),"diff", MAX(Instances!F141:Instances!F141)-MIN(Instances!F141:Instances!F141))</f>
        <v>0</v>
      </c>
      <c r="G141" s="1" cm="1">
        <f t="array" ref="G141">_xlfn.SWITCH($A$2,"average", AVERAGE(Instances!G141:Instances!G141),"median", MEDIAN(Instances!G141:Instances!G141),"min", MIN(Instances!G141:Instances!G141),"max", MAX(Instances!G141:Instances!G141),"diff", MAX(Instances!G141:Instances!G141)-MIN(Instances!G141:Instances!G141))</f>
        <v>0</v>
      </c>
      <c r="H141" s="1"/>
      <c r="I141" s="1"/>
      <c r="J141" s="1" cm="1">
        <f t="array" ref="J141">_xlfn.SWITCH($A$2,"average", AVERAGE(Instances!J141:Instances!J141),"median", MEDIAN(Instances!J141:Instances!J141),"min", MIN(Instances!J141:Instances!J141),"max", MAX(Instances!J141:Instances!J141),"diff", MAX(Instances!J141:Instances!J141)-MIN(Instances!J141:Instances!J141))</f>
        <v>0</v>
      </c>
      <c r="K141" s="1" cm="1">
        <f t="array" ref="K141">_xlfn.SWITCH($A$2,"average", AVERAGE(Instances!K141:Instances!K141),"median", MEDIAN(Instances!K141:Instances!K141),"min", MIN(Instances!K141:Instances!K141),"max", MAX(Instances!K141:Instances!K141),"diff", MAX(Instances!K141:Instances!K141)-MIN(Instances!K141:Instances!K141))</f>
        <v>0</v>
      </c>
      <c r="L141" s="1" cm="1">
        <f t="array" ref="L141">_xlfn.SWITCH($A$2,"average", AVERAGE(Instances!L141:Instances!L141),"median", MEDIAN(Instances!L141:Instances!L141),"min", MIN(Instances!L141:Instances!L141),"max", MAX(Instances!L141:Instances!L141),"diff", MAX(Instances!L141:Instances!L141)-MIN(Instances!L141:Instances!L141))</f>
        <v>0</v>
      </c>
      <c r="M141" s="1" cm="1">
        <f t="array" ref="M141">_xlfn.SWITCH($A$2,"average", AVERAGE(Instances!M141:Instances!M141),"median", MEDIAN(Instances!M141:Instances!M141),"min", MIN(Instances!M141:Instances!M141),"max", MAX(Instances!M141:Instances!M141),"diff", MAX(Instances!M141:Instances!M141)-MIN(Instances!M141:Instances!M141))</f>
        <v>0</v>
      </c>
      <c r="N141" s="1" cm="1">
        <f t="array" ref="N141">_xlfn.SWITCH($A$2,"average", AVERAGE(Instances!N141:Instances!N141),"median", MEDIAN(Instances!N141:Instances!N141),"min", MIN(Instances!N141:Instances!N141),"max", MAX(Instances!N141:Instances!N141),"diff", MAX(Instances!N141:Instances!N141)-MIN(Instances!N141:Instances!N141))</f>
        <v>0</v>
      </c>
      <c r="O141" s="1" cm="1">
        <f t="array" ref="O141">_xlfn.SWITCH($A$2,"average", AVERAGE(Instances!O141:Instances!O141),"median", MEDIAN(Instances!O141:Instances!O141),"min", MIN(Instances!O141:Instances!O141),"max", MAX(Instances!O141:Instances!O141),"diff", MAX(Instances!O141:Instances!O141)-MIN(Instances!O141:Instances!O141))</f>
        <v>0</v>
      </c>
      <c r="P141" s="1" cm="1">
        <f t="array" ref="P141">_xlfn.SWITCH($A$2,"average", AVERAGE(Instances!P141:Instances!P141),"median", MEDIAN(Instances!P141:Instances!P141),"min", MIN(Instances!P141:Instances!P141),"max", MAX(Instances!P141:Instances!P141),"diff", MAX(Instances!P141:Instances!P141)-MIN(Instances!P141:Instances!P141))</f>
        <v>0</v>
      </c>
      <c r="Q141" s="1" cm="1">
        <f t="array" ref="Q141">_xlfn.SWITCH($A$2,"average", AVERAGE(Instances!Q141:Instances!Q141),"median", MEDIAN(Instances!Q141:Instances!Q141),"min", MIN(Instances!Q141:Instances!Q141),"max", MAX(Instances!Q141:Instances!Q141),"diff", MAX(Instances!Q141:Instances!Q141)-MIN(Instances!Q141:Instances!Q141))</f>
        <v>0</v>
      </c>
      <c r="R141" s="1">
        <f>MIN($B141,$D141,$F141,$H141,$J141,$L141,$N141,$P141)</f>
        <v>0</v>
      </c>
      <c r="S141" s="1">
        <f>MIN($C141,$E141,$G141,$I141,$K141,$M141,$O141,$Q141)</f>
        <v>0</v>
      </c>
      <c r="T141" s="1">
        <f>MEDIAN($B141,$D141,$F141,$H141,$J141,$L141,$N141,$P141)</f>
        <v>0</v>
      </c>
      <c r="U141" s="1">
        <f>MEDIAN($C141,$E141,$G141,$I141,$K141,$M141,$O141,$Q141)</f>
        <v>0</v>
      </c>
      <c r="V141" s="1">
        <f>MAX($B141,$D141,$F141,$H141,$J141,$L141,$N141,$P141)</f>
        <v>0</v>
      </c>
      <c r="W141" s="1">
        <f>MAX($C141,$E141,$G141,$I141,$K141,$M141,$O141,$Q141)</f>
        <v>0</v>
      </c>
    </row>
    <row r="142" spans="1:23">
      <c r="A142" s="1" t="s">
        <v>139</v>
      </c>
      <c r="B142" s="1"/>
      <c r="C142" s="1"/>
      <c r="D142" s="1" cm="1">
        <f t="array" ref="D142">_xlfn.SWITCH($A$2,"average", AVERAGE(Instances!D142:Instances!D142),"median", MEDIAN(Instances!D142:Instances!D142),"min", MIN(Instances!D142:Instances!D142),"max", MAX(Instances!D142:Instances!D142),"diff", MAX(Instances!D142:Instances!D142)-MIN(Instances!D142:Instances!D142))</f>
        <v>0</v>
      </c>
      <c r="E142" s="1" cm="1">
        <f t="array" ref="E142">_xlfn.SWITCH($A$2,"average", AVERAGE(Instances!E142:Instances!E142),"median", MEDIAN(Instances!E142:Instances!E142),"min", MIN(Instances!E142:Instances!E142),"max", MAX(Instances!E142:Instances!E142),"diff", MAX(Instances!E142:Instances!E142)-MIN(Instances!E142:Instances!E142))</f>
        <v>0</v>
      </c>
      <c r="F142" s="1" cm="1">
        <f t="array" ref="F142">_xlfn.SWITCH($A$2,"average", AVERAGE(Instances!F142:Instances!F142),"median", MEDIAN(Instances!F142:Instances!F142),"min", MIN(Instances!F142:Instances!F142),"max", MAX(Instances!F142:Instances!F142),"diff", MAX(Instances!F142:Instances!F142)-MIN(Instances!F142:Instances!F142))</f>
        <v>0</v>
      </c>
      <c r="G142" s="1" cm="1">
        <f t="array" ref="G142">_xlfn.SWITCH($A$2,"average", AVERAGE(Instances!G142:Instances!G142),"median", MEDIAN(Instances!G142:Instances!G142),"min", MIN(Instances!G142:Instances!G142),"max", MAX(Instances!G142:Instances!G142),"diff", MAX(Instances!G142:Instances!G142)-MIN(Instances!G142:Instances!G142))</f>
        <v>0</v>
      </c>
      <c r="H142" s="1"/>
      <c r="I142" s="1"/>
      <c r="J142" s="1" cm="1">
        <f t="array" ref="J142">_xlfn.SWITCH($A$2,"average", AVERAGE(Instances!J142:Instances!J142),"median", MEDIAN(Instances!J142:Instances!J142),"min", MIN(Instances!J142:Instances!J142),"max", MAX(Instances!J142:Instances!J142),"diff", MAX(Instances!J142:Instances!J142)-MIN(Instances!J142:Instances!J142))</f>
        <v>0</v>
      </c>
      <c r="K142" s="1" cm="1">
        <f t="array" ref="K142">_xlfn.SWITCH($A$2,"average", AVERAGE(Instances!K142:Instances!K142),"median", MEDIAN(Instances!K142:Instances!K142),"min", MIN(Instances!K142:Instances!K142),"max", MAX(Instances!K142:Instances!K142),"diff", MAX(Instances!K142:Instances!K142)-MIN(Instances!K142:Instances!K142))</f>
        <v>0</v>
      </c>
      <c r="L142" s="1" cm="1">
        <f t="array" ref="L142">_xlfn.SWITCH($A$2,"average", AVERAGE(Instances!L142:Instances!L142),"median", MEDIAN(Instances!L142:Instances!L142),"min", MIN(Instances!L142:Instances!L142),"max", MAX(Instances!L142:Instances!L142),"diff", MAX(Instances!L142:Instances!L142)-MIN(Instances!L142:Instances!L142))</f>
        <v>0</v>
      </c>
      <c r="M142" s="1" cm="1">
        <f t="array" ref="M142">_xlfn.SWITCH($A$2,"average", AVERAGE(Instances!M142:Instances!M142),"median", MEDIAN(Instances!M142:Instances!M142),"min", MIN(Instances!M142:Instances!M142),"max", MAX(Instances!M142:Instances!M142),"diff", MAX(Instances!M142:Instances!M142)-MIN(Instances!M142:Instances!M142))</f>
        <v>0</v>
      </c>
      <c r="N142" s="1" cm="1">
        <f t="array" ref="N142">_xlfn.SWITCH($A$2,"average", AVERAGE(Instances!N142:Instances!N142),"median", MEDIAN(Instances!N142:Instances!N142),"min", MIN(Instances!N142:Instances!N142),"max", MAX(Instances!N142:Instances!N142),"diff", MAX(Instances!N142:Instances!N142)-MIN(Instances!N142:Instances!N142))</f>
        <v>0</v>
      </c>
      <c r="O142" s="1" cm="1">
        <f t="array" ref="O142">_xlfn.SWITCH($A$2,"average", AVERAGE(Instances!O142:Instances!O142),"median", MEDIAN(Instances!O142:Instances!O142),"min", MIN(Instances!O142:Instances!O142),"max", MAX(Instances!O142:Instances!O142),"diff", MAX(Instances!O142:Instances!O142)-MIN(Instances!O142:Instances!O142))</f>
        <v>0</v>
      </c>
      <c r="P142" s="1" cm="1">
        <f t="array" ref="P142">_xlfn.SWITCH($A$2,"average", AVERAGE(Instances!P142:Instances!P142),"median", MEDIAN(Instances!P142:Instances!P142),"min", MIN(Instances!P142:Instances!P142),"max", MAX(Instances!P142:Instances!P142),"diff", MAX(Instances!P142:Instances!P142)-MIN(Instances!P142:Instances!P142))</f>
        <v>0</v>
      </c>
      <c r="Q142" s="1" cm="1">
        <f t="array" ref="Q142">_xlfn.SWITCH($A$2,"average", AVERAGE(Instances!Q142:Instances!Q142),"median", MEDIAN(Instances!Q142:Instances!Q142),"min", MIN(Instances!Q142:Instances!Q142),"max", MAX(Instances!Q142:Instances!Q142),"diff", MAX(Instances!Q142:Instances!Q142)-MIN(Instances!Q142:Instances!Q142))</f>
        <v>0</v>
      </c>
      <c r="R142" s="1">
        <f>MIN($B142,$D142,$F142,$H142,$J142,$L142,$N142,$P142)</f>
        <v>0</v>
      </c>
      <c r="S142" s="1">
        <f>MIN($C142,$E142,$G142,$I142,$K142,$M142,$O142,$Q142)</f>
        <v>0</v>
      </c>
      <c r="T142" s="1">
        <f>MEDIAN($B142,$D142,$F142,$H142,$J142,$L142,$N142,$P142)</f>
        <v>0</v>
      </c>
      <c r="U142" s="1">
        <f>MEDIAN($C142,$E142,$G142,$I142,$K142,$M142,$O142,$Q142)</f>
        <v>0</v>
      </c>
      <c r="V142" s="1">
        <f>MAX($B142,$D142,$F142,$H142,$J142,$L142,$N142,$P142)</f>
        <v>0</v>
      </c>
      <c r="W142" s="1">
        <f>MAX($C142,$E142,$G142,$I142,$K142,$M142,$O142,$Q142)</f>
        <v>0</v>
      </c>
    </row>
    <row r="143" spans="1:23">
      <c r="A143" s="1" t="s">
        <v>140</v>
      </c>
      <c r="B143" s="1"/>
      <c r="C143" s="1"/>
      <c r="D143" s="1" cm="1">
        <f t="array" ref="D143">_xlfn.SWITCH($A$2,"average", AVERAGE(Instances!D143:Instances!D143),"median", MEDIAN(Instances!D143:Instances!D143),"min", MIN(Instances!D143:Instances!D143),"max", MAX(Instances!D143:Instances!D143),"diff", MAX(Instances!D143:Instances!D143)-MIN(Instances!D143:Instances!D143))</f>
        <v>0</v>
      </c>
      <c r="E143" s="1" cm="1">
        <f t="array" ref="E143">_xlfn.SWITCH($A$2,"average", AVERAGE(Instances!E143:Instances!E143),"median", MEDIAN(Instances!E143:Instances!E143),"min", MIN(Instances!E143:Instances!E143),"max", MAX(Instances!E143:Instances!E143),"diff", MAX(Instances!E143:Instances!E143)-MIN(Instances!E143:Instances!E143))</f>
        <v>0</v>
      </c>
      <c r="F143" s="1" cm="1">
        <f t="array" ref="F143">_xlfn.SWITCH($A$2,"average", AVERAGE(Instances!F143:Instances!F143),"median", MEDIAN(Instances!F143:Instances!F143),"min", MIN(Instances!F143:Instances!F143),"max", MAX(Instances!F143:Instances!F143),"diff", MAX(Instances!F143:Instances!F143)-MIN(Instances!F143:Instances!F143))</f>
        <v>0</v>
      </c>
      <c r="G143" s="1" cm="1">
        <f t="array" ref="G143">_xlfn.SWITCH($A$2,"average", AVERAGE(Instances!G143:Instances!G143),"median", MEDIAN(Instances!G143:Instances!G143),"min", MIN(Instances!G143:Instances!G143),"max", MAX(Instances!G143:Instances!G143),"diff", MAX(Instances!G143:Instances!G143)-MIN(Instances!G143:Instances!G143))</f>
        <v>0</v>
      </c>
      <c r="H143" s="1"/>
      <c r="I143" s="1"/>
      <c r="J143" s="1" cm="1">
        <f t="array" ref="J143">_xlfn.SWITCH($A$2,"average", AVERAGE(Instances!J143:Instances!J143),"median", MEDIAN(Instances!J143:Instances!J143),"min", MIN(Instances!J143:Instances!J143),"max", MAX(Instances!J143:Instances!J143),"diff", MAX(Instances!J143:Instances!J143)-MIN(Instances!J143:Instances!J143))</f>
        <v>0</v>
      </c>
      <c r="K143" s="1" cm="1">
        <f t="array" ref="K143">_xlfn.SWITCH($A$2,"average", AVERAGE(Instances!K143:Instances!K143),"median", MEDIAN(Instances!K143:Instances!K143),"min", MIN(Instances!K143:Instances!K143),"max", MAX(Instances!K143:Instances!K143),"diff", MAX(Instances!K143:Instances!K143)-MIN(Instances!K143:Instances!K143))</f>
        <v>0</v>
      </c>
      <c r="L143" s="1" cm="1">
        <f t="array" ref="L143">_xlfn.SWITCH($A$2,"average", AVERAGE(Instances!L143:Instances!L143),"median", MEDIAN(Instances!L143:Instances!L143),"min", MIN(Instances!L143:Instances!L143),"max", MAX(Instances!L143:Instances!L143),"diff", MAX(Instances!L143:Instances!L143)-MIN(Instances!L143:Instances!L143))</f>
        <v>0</v>
      </c>
      <c r="M143" s="1" cm="1">
        <f t="array" ref="M143">_xlfn.SWITCH($A$2,"average", AVERAGE(Instances!M143:Instances!M143),"median", MEDIAN(Instances!M143:Instances!M143),"min", MIN(Instances!M143:Instances!M143),"max", MAX(Instances!M143:Instances!M143),"diff", MAX(Instances!M143:Instances!M143)-MIN(Instances!M143:Instances!M143))</f>
        <v>0</v>
      </c>
      <c r="N143" s="1" cm="1">
        <f t="array" ref="N143">_xlfn.SWITCH($A$2,"average", AVERAGE(Instances!N143:Instances!N143),"median", MEDIAN(Instances!N143:Instances!N143),"min", MIN(Instances!N143:Instances!N143),"max", MAX(Instances!N143:Instances!N143),"diff", MAX(Instances!N143:Instances!N143)-MIN(Instances!N143:Instances!N143))</f>
        <v>0</v>
      </c>
      <c r="O143" s="1" cm="1">
        <f t="array" ref="O143">_xlfn.SWITCH($A$2,"average", AVERAGE(Instances!O143:Instances!O143),"median", MEDIAN(Instances!O143:Instances!O143),"min", MIN(Instances!O143:Instances!O143),"max", MAX(Instances!O143:Instances!O143),"diff", MAX(Instances!O143:Instances!O143)-MIN(Instances!O143:Instances!O143))</f>
        <v>0</v>
      </c>
      <c r="P143" s="1" cm="1">
        <f t="array" ref="P143">_xlfn.SWITCH($A$2,"average", AVERAGE(Instances!P143:Instances!P143),"median", MEDIAN(Instances!P143:Instances!P143),"min", MIN(Instances!P143:Instances!P143),"max", MAX(Instances!P143:Instances!P143),"diff", MAX(Instances!P143:Instances!P143)-MIN(Instances!P143:Instances!P143))</f>
        <v>0</v>
      </c>
      <c r="Q143" s="1" cm="1">
        <f t="array" ref="Q143">_xlfn.SWITCH($A$2,"average", AVERAGE(Instances!Q143:Instances!Q143),"median", MEDIAN(Instances!Q143:Instances!Q143),"min", MIN(Instances!Q143:Instances!Q143),"max", MAX(Instances!Q143:Instances!Q143),"diff", MAX(Instances!Q143:Instances!Q143)-MIN(Instances!Q143:Instances!Q143))</f>
        <v>0</v>
      </c>
      <c r="R143" s="1">
        <f>MIN($B143,$D143,$F143,$H143,$J143,$L143,$N143,$P143)</f>
        <v>0</v>
      </c>
      <c r="S143" s="1">
        <f>MIN($C143,$E143,$G143,$I143,$K143,$M143,$O143,$Q143)</f>
        <v>0</v>
      </c>
      <c r="T143" s="1">
        <f>MEDIAN($B143,$D143,$F143,$H143,$J143,$L143,$N143,$P143)</f>
        <v>0</v>
      </c>
      <c r="U143" s="1">
        <f>MEDIAN($C143,$E143,$G143,$I143,$K143,$M143,$O143,$Q143)</f>
        <v>0</v>
      </c>
      <c r="V143" s="1">
        <f>MAX($B143,$D143,$F143,$H143,$J143,$L143,$N143,$P143)</f>
        <v>0</v>
      </c>
      <c r="W143" s="1">
        <f>MAX($C143,$E143,$G143,$I143,$K143,$M143,$O143,$Q143)</f>
        <v>0</v>
      </c>
    </row>
    <row r="144" spans="1:23">
      <c r="A144" s="1" t="s">
        <v>141</v>
      </c>
      <c r="B144" s="1"/>
      <c r="C144" s="1"/>
      <c r="D144" s="1" cm="1">
        <f t="array" ref="D144">_xlfn.SWITCH($A$2,"average", AVERAGE(Instances!D144:Instances!D144),"median", MEDIAN(Instances!D144:Instances!D144),"min", MIN(Instances!D144:Instances!D144),"max", MAX(Instances!D144:Instances!D144),"diff", MAX(Instances!D144:Instances!D144)-MIN(Instances!D144:Instances!D144))</f>
        <v>0</v>
      </c>
      <c r="E144" s="1" cm="1">
        <f t="array" ref="E144">_xlfn.SWITCH($A$2,"average", AVERAGE(Instances!E144:Instances!E144),"median", MEDIAN(Instances!E144:Instances!E144),"min", MIN(Instances!E144:Instances!E144),"max", MAX(Instances!E144:Instances!E144),"diff", MAX(Instances!E144:Instances!E144)-MIN(Instances!E144:Instances!E144))</f>
        <v>0</v>
      </c>
      <c r="F144" s="1" cm="1">
        <f t="array" ref="F144">_xlfn.SWITCH($A$2,"average", AVERAGE(Instances!F144:Instances!F144),"median", MEDIAN(Instances!F144:Instances!F144),"min", MIN(Instances!F144:Instances!F144),"max", MAX(Instances!F144:Instances!F144),"diff", MAX(Instances!F144:Instances!F144)-MIN(Instances!F144:Instances!F144))</f>
        <v>0</v>
      </c>
      <c r="G144" s="1" cm="1">
        <f t="array" ref="G144">_xlfn.SWITCH($A$2,"average", AVERAGE(Instances!G144:Instances!G144),"median", MEDIAN(Instances!G144:Instances!G144),"min", MIN(Instances!G144:Instances!G144),"max", MAX(Instances!G144:Instances!G144),"diff", MAX(Instances!G144:Instances!G144)-MIN(Instances!G144:Instances!G144))</f>
        <v>0</v>
      </c>
      <c r="H144" s="1"/>
      <c r="I144" s="1"/>
      <c r="J144" s="1" cm="1">
        <f t="array" ref="J144">_xlfn.SWITCH($A$2,"average", AVERAGE(Instances!J144:Instances!J144),"median", MEDIAN(Instances!J144:Instances!J144),"min", MIN(Instances!J144:Instances!J144),"max", MAX(Instances!J144:Instances!J144),"diff", MAX(Instances!J144:Instances!J144)-MIN(Instances!J144:Instances!J144))</f>
        <v>0</v>
      </c>
      <c r="K144" s="1" cm="1">
        <f t="array" ref="K144">_xlfn.SWITCH($A$2,"average", AVERAGE(Instances!K144:Instances!K144),"median", MEDIAN(Instances!K144:Instances!K144),"min", MIN(Instances!K144:Instances!K144),"max", MAX(Instances!K144:Instances!K144),"diff", MAX(Instances!K144:Instances!K144)-MIN(Instances!K144:Instances!K144))</f>
        <v>0</v>
      </c>
      <c r="L144" s="1" cm="1">
        <f t="array" ref="L144">_xlfn.SWITCH($A$2,"average", AVERAGE(Instances!L144:Instances!L144),"median", MEDIAN(Instances!L144:Instances!L144),"min", MIN(Instances!L144:Instances!L144),"max", MAX(Instances!L144:Instances!L144),"diff", MAX(Instances!L144:Instances!L144)-MIN(Instances!L144:Instances!L144))</f>
        <v>0</v>
      </c>
      <c r="M144" s="1" cm="1">
        <f t="array" ref="M144">_xlfn.SWITCH($A$2,"average", AVERAGE(Instances!M144:Instances!M144),"median", MEDIAN(Instances!M144:Instances!M144),"min", MIN(Instances!M144:Instances!M144),"max", MAX(Instances!M144:Instances!M144),"diff", MAX(Instances!M144:Instances!M144)-MIN(Instances!M144:Instances!M144))</f>
        <v>0</v>
      </c>
      <c r="N144" s="1" cm="1">
        <f t="array" ref="N144">_xlfn.SWITCH($A$2,"average", AVERAGE(Instances!N144:Instances!N144),"median", MEDIAN(Instances!N144:Instances!N144),"min", MIN(Instances!N144:Instances!N144),"max", MAX(Instances!N144:Instances!N144),"diff", MAX(Instances!N144:Instances!N144)-MIN(Instances!N144:Instances!N144))</f>
        <v>0</v>
      </c>
      <c r="O144" s="1" cm="1">
        <f t="array" ref="O144">_xlfn.SWITCH($A$2,"average", AVERAGE(Instances!O144:Instances!O144),"median", MEDIAN(Instances!O144:Instances!O144),"min", MIN(Instances!O144:Instances!O144),"max", MAX(Instances!O144:Instances!O144),"diff", MAX(Instances!O144:Instances!O144)-MIN(Instances!O144:Instances!O144))</f>
        <v>0</v>
      </c>
      <c r="P144" s="1" cm="1">
        <f t="array" ref="P144">_xlfn.SWITCH($A$2,"average", AVERAGE(Instances!P144:Instances!P144),"median", MEDIAN(Instances!P144:Instances!P144),"min", MIN(Instances!P144:Instances!P144),"max", MAX(Instances!P144:Instances!P144),"diff", MAX(Instances!P144:Instances!P144)-MIN(Instances!P144:Instances!P144))</f>
        <v>0</v>
      </c>
      <c r="Q144" s="1" cm="1">
        <f t="array" ref="Q144">_xlfn.SWITCH($A$2,"average", AVERAGE(Instances!Q144:Instances!Q144),"median", MEDIAN(Instances!Q144:Instances!Q144),"min", MIN(Instances!Q144:Instances!Q144),"max", MAX(Instances!Q144:Instances!Q144),"diff", MAX(Instances!Q144:Instances!Q144)-MIN(Instances!Q144:Instances!Q144))</f>
        <v>0</v>
      </c>
      <c r="R144" s="1">
        <f>MIN($B144,$D144,$F144,$H144,$J144,$L144,$N144,$P144)</f>
        <v>0</v>
      </c>
      <c r="S144" s="1">
        <f>MIN($C144,$E144,$G144,$I144,$K144,$M144,$O144,$Q144)</f>
        <v>0</v>
      </c>
      <c r="T144" s="1">
        <f>MEDIAN($B144,$D144,$F144,$H144,$J144,$L144,$N144,$P144)</f>
        <v>0</v>
      </c>
      <c r="U144" s="1">
        <f>MEDIAN($C144,$E144,$G144,$I144,$K144,$M144,$O144,$Q144)</f>
        <v>0</v>
      </c>
      <c r="V144" s="1">
        <f>MAX($B144,$D144,$F144,$H144,$J144,$L144,$N144,$P144)</f>
        <v>0</v>
      </c>
      <c r="W144" s="1">
        <f>MAX($C144,$E144,$G144,$I144,$K144,$M144,$O144,$Q144)</f>
        <v>0</v>
      </c>
    </row>
    <row r="145" spans="1:23">
      <c r="A145" s="1" t="s">
        <v>142</v>
      </c>
      <c r="B145" s="1"/>
      <c r="C145" s="1"/>
      <c r="D145" s="1" cm="1">
        <f t="array" ref="D145">_xlfn.SWITCH($A$2,"average", AVERAGE(Instances!D145:Instances!D145),"median", MEDIAN(Instances!D145:Instances!D145),"min", MIN(Instances!D145:Instances!D145),"max", MAX(Instances!D145:Instances!D145),"diff", MAX(Instances!D145:Instances!D145)-MIN(Instances!D145:Instances!D145))</f>
        <v>0</v>
      </c>
      <c r="E145" s="1" cm="1">
        <f t="array" ref="E145">_xlfn.SWITCH($A$2,"average", AVERAGE(Instances!E145:Instances!E145),"median", MEDIAN(Instances!E145:Instances!E145),"min", MIN(Instances!E145:Instances!E145),"max", MAX(Instances!E145:Instances!E145),"diff", MAX(Instances!E145:Instances!E145)-MIN(Instances!E145:Instances!E145))</f>
        <v>0</v>
      </c>
      <c r="F145" s="1" cm="1">
        <f t="array" ref="F145">_xlfn.SWITCH($A$2,"average", AVERAGE(Instances!F145:Instances!F145),"median", MEDIAN(Instances!F145:Instances!F145),"min", MIN(Instances!F145:Instances!F145),"max", MAX(Instances!F145:Instances!F145),"diff", MAX(Instances!F145:Instances!F145)-MIN(Instances!F145:Instances!F145))</f>
        <v>0</v>
      </c>
      <c r="G145" s="1" cm="1">
        <f t="array" ref="G145">_xlfn.SWITCH($A$2,"average", AVERAGE(Instances!G145:Instances!G145),"median", MEDIAN(Instances!G145:Instances!G145),"min", MIN(Instances!G145:Instances!G145),"max", MAX(Instances!G145:Instances!G145),"diff", MAX(Instances!G145:Instances!G145)-MIN(Instances!G145:Instances!G145))</f>
        <v>0</v>
      </c>
      <c r="H145" s="1"/>
      <c r="I145" s="1"/>
      <c r="J145" s="1" cm="1">
        <f t="array" ref="J145">_xlfn.SWITCH($A$2,"average", AVERAGE(Instances!J145:Instances!J145),"median", MEDIAN(Instances!J145:Instances!J145),"min", MIN(Instances!J145:Instances!J145),"max", MAX(Instances!J145:Instances!J145),"diff", MAX(Instances!J145:Instances!J145)-MIN(Instances!J145:Instances!J145))</f>
        <v>0</v>
      </c>
      <c r="K145" s="1" cm="1">
        <f t="array" ref="K145">_xlfn.SWITCH($A$2,"average", AVERAGE(Instances!K145:Instances!K145),"median", MEDIAN(Instances!K145:Instances!K145),"min", MIN(Instances!K145:Instances!K145),"max", MAX(Instances!K145:Instances!K145),"diff", MAX(Instances!K145:Instances!K145)-MIN(Instances!K145:Instances!K145))</f>
        <v>0</v>
      </c>
      <c r="L145" s="1" cm="1">
        <f t="array" ref="L145">_xlfn.SWITCH($A$2,"average", AVERAGE(Instances!L145:Instances!L145),"median", MEDIAN(Instances!L145:Instances!L145),"min", MIN(Instances!L145:Instances!L145),"max", MAX(Instances!L145:Instances!L145),"diff", MAX(Instances!L145:Instances!L145)-MIN(Instances!L145:Instances!L145))</f>
        <v>0</v>
      </c>
      <c r="M145" s="1" cm="1">
        <f t="array" ref="M145">_xlfn.SWITCH($A$2,"average", AVERAGE(Instances!M145:Instances!M145),"median", MEDIAN(Instances!M145:Instances!M145),"min", MIN(Instances!M145:Instances!M145),"max", MAX(Instances!M145:Instances!M145),"diff", MAX(Instances!M145:Instances!M145)-MIN(Instances!M145:Instances!M145))</f>
        <v>0</v>
      </c>
      <c r="N145" s="1" cm="1">
        <f t="array" ref="N145">_xlfn.SWITCH($A$2,"average", AVERAGE(Instances!N145:Instances!N145),"median", MEDIAN(Instances!N145:Instances!N145),"min", MIN(Instances!N145:Instances!N145),"max", MAX(Instances!N145:Instances!N145),"diff", MAX(Instances!N145:Instances!N145)-MIN(Instances!N145:Instances!N145))</f>
        <v>0</v>
      </c>
      <c r="O145" s="1" cm="1">
        <f t="array" ref="O145">_xlfn.SWITCH($A$2,"average", AVERAGE(Instances!O145:Instances!O145),"median", MEDIAN(Instances!O145:Instances!O145),"min", MIN(Instances!O145:Instances!O145),"max", MAX(Instances!O145:Instances!O145),"diff", MAX(Instances!O145:Instances!O145)-MIN(Instances!O145:Instances!O145))</f>
        <v>0</v>
      </c>
      <c r="P145" s="1" cm="1">
        <f t="array" ref="P145">_xlfn.SWITCH($A$2,"average", AVERAGE(Instances!P145:Instances!P145),"median", MEDIAN(Instances!P145:Instances!P145),"min", MIN(Instances!P145:Instances!P145),"max", MAX(Instances!P145:Instances!P145),"diff", MAX(Instances!P145:Instances!P145)-MIN(Instances!P145:Instances!P145))</f>
        <v>0</v>
      </c>
      <c r="Q145" s="1" cm="1">
        <f t="array" ref="Q145">_xlfn.SWITCH($A$2,"average", AVERAGE(Instances!Q145:Instances!Q145),"median", MEDIAN(Instances!Q145:Instances!Q145),"min", MIN(Instances!Q145:Instances!Q145),"max", MAX(Instances!Q145:Instances!Q145),"diff", MAX(Instances!Q145:Instances!Q145)-MIN(Instances!Q145:Instances!Q145))</f>
        <v>0</v>
      </c>
      <c r="R145" s="1">
        <f>MIN($B145,$D145,$F145,$H145,$J145,$L145,$N145,$P145)</f>
        <v>0</v>
      </c>
      <c r="S145" s="1">
        <f>MIN($C145,$E145,$G145,$I145,$K145,$M145,$O145,$Q145)</f>
        <v>0</v>
      </c>
      <c r="T145" s="1">
        <f>MEDIAN($B145,$D145,$F145,$H145,$J145,$L145,$N145,$P145)</f>
        <v>0</v>
      </c>
      <c r="U145" s="1">
        <f>MEDIAN($C145,$E145,$G145,$I145,$K145,$M145,$O145,$Q145)</f>
        <v>0</v>
      </c>
      <c r="V145" s="1">
        <f>MAX($B145,$D145,$F145,$H145,$J145,$L145,$N145,$P145)</f>
        <v>0</v>
      </c>
      <c r="W145" s="1">
        <f>MAX($C145,$E145,$G145,$I145,$K145,$M145,$O145,$Q145)</f>
        <v>0</v>
      </c>
    </row>
    <row r="146" spans="1:23">
      <c r="A146" s="1" t="s">
        <v>143</v>
      </c>
      <c r="B146" s="1"/>
      <c r="C146" s="1"/>
      <c r="D146" s="1" cm="1">
        <f t="array" ref="D146">_xlfn.SWITCH($A$2,"average", AVERAGE(Instances!D146:Instances!D146),"median", MEDIAN(Instances!D146:Instances!D146),"min", MIN(Instances!D146:Instances!D146),"max", MAX(Instances!D146:Instances!D146),"diff", MAX(Instances!D146:Instances!D146)-MIN(Instances!D146:Instances!D146))</f>
        <v>0</v>
      </c>
      <c r="E146" s="1" cm="1">
        <f t="array" ref="E146">_xlfn.SWITCH($A$2,"average", AVERAGE(Instances!E146:Instances!E146),"median", MEDIAN(Instances!E146:Instances!E146),"min", MIN(Instances!E146:Instances!E146),"max", MAX(Instances!E146:Instances!E146),"diff", MAX(Instances!E146:Instances!E146)-MIN(Instances!E146:Instances!E146))</f>
        <v>0</v>
      </c>
      <c r="F146" s="1" cm="1">
        <f t="array" ref="F146">_xlfn.SWITCH($A$2,"average", AVERAGE(Instances!F146:Instances!F146),"median", MEDIAN(Instances!F146:Instances!F146),"min", MIN(Instances!F146:Instances!F146),"max", MAX(Instances!F146:Instances!F146),"diff", MAX(Instances!F146:Instances!F146)-MIN(Instances!F146:Instances!F146))</f>
        <v>0</v>
      </c>
      <c r="G146" s="1" cm="1">
        <f t="array" ref="G146">_xlfn.SWITCH($A$2,"average", AVERAGE(Instances!G146:Instances!G146),"median", MEDIAN(Instances!G146:Instances!G146),"min", MIN(Instances!G146:Instances!G146),"max", MAX(Instances!G146:Instances!G146),"diff", MAX(Instances!G146:Instances!G146)-MIN(Instances!G146:Instances!G146))</f>
        <v>0</v>
      </c>
      <c r="H146" s="1"/>
      <c r="I146" s="1"/>
      <c r="J146" s="1" cm="1">
        <f t="array" ref="J146">_xlfn.SWITCH($A$2,"average", AVERAGE(Instances!J146:Instances!J146),"median", MEDIAN(Instances!J146:Instances!J146),"min", MIN(Instances!J146:Instances!J146),"max", MAX(Instances!J146:Instances!J146),"diff", MAX(Instances!J146:Instances!J146)-MIN(Instances!J146:Instances!J146))</f>
        <v>0</v>
      </c>
      <c r="K146" s="1" cm="1">
        <f t="array" ref="K146">_xlfn.SWITCH($A$2,"average", AVERAGE(Instances!K146:Instances!K146),"median", MEDIAN(Instances!K146:Instances!K146),"min", MIN(Instances!K146:Instances!K146),"max", MAX(Instances!K146:Instances!K146),"diff", MAX(Instances!K146:Instances!K146)-MIN(Instances!K146:Instances!K146))</f>
        <v>0</v>
      </c>
      <c r="L146" s="1" cm="1">
        <f t="array" ref="L146">_xlfn.SWITCH($A$2,"average", AVERAGE(Instances!L146:Instances!L146),"median", MEDIAN(Instances!L146:Instances!L146),"min", MIN(Instances!L146:Instances!L146),"max", MAX(Instances!L146:Instances!L146),"diff", MAX(Instances!L146:Instances!L146)-MIN(Instances!L146:Instances!L146))</f>
        <v>0</v>
      </c>
      <c r="M146" s="1" cm="1">
        <f t="array" ref="M146">_xlfn.SWITCH($A$2,"average", AVERAGE(Instances!M146:Instances!M146),"median", MEDIAN(Instances!M146:Instances!M146),"min", MIN(Instances!M146:Instances!M146),"max", MAX(Instances!M146:Instances!M146),"diff", MAX(Instances!M146:Instances!M146)-MIN(Instances!M146:Instances!M146))</f>
        <v>0</v>
      </c>
      <c r="N146" s="1" cm="1">
        <f t="array" ref="N146">_xlfn.SWITCH($A$2,"average", AVERAGE(Instances!N146:Instances!N146),"median", MEDIAN(Instances!N146:Instances!N146),"min", MIN(Instances!N146:Instances!N146),"max", MAX(Instances!N146:Instances!N146),"diff", MAX(Instances!N146:Instances!N146)-MIN(Instances!N146:Instances!N146))</f>
        <v>0</v>
      </c>
      <c r="O146" s="1" cm="1">
        <f t="array" ref="O146">_xlfn.SWITCH($A$2,"average", AVERAGE(Instances!O146:Instances!O146),"median", MEDIAN(Instances!O146:Instances!O146),"min", MIN(Instances!O146:Instances!O146),"max", MAX(Instances!O146:Instances!O146),"diff", MAX(Instances!O146:Instances!O146)-MIN(Instances!O146:Instances!O146))</f>
        <v>0</v>
      </c>
      <c r="P146" s="1" cm="1">
        <f t="array" ref="P146">_xlfn.SWITCH($A$2,"average", AVERAGE(Instances!P146:Instances!P146),"median", MEDIAN(Instances!P146:Instances!P146),"min", MIN(Instances!P146:Instances!P146),"max", MAX(Instances!P146:Instances!P146),"diff", MAX(Instances!P146:Instances!P146)-MIN(Instances!P146:Instances!P146))</f>
        <v>0</v>
      </c>
      <c r="Q146" s="1" cm="1">
        <f t="array" ref="Q146">_xlfn.SWITCH($A$2,"average", AVERAGE(Instances!Q146:Instances!Q146),"median", MEDIAN(Instances!Q146:Instances!Q146),"min", MIN(Instances!Q146:Instances!Q146),"max", MAX(Instances!Q146:Instances!Q146),"diff", MAX(Instances!Q146:Instances!Q146)-MIN(Instances!Q146:Instances!Q146))</f>
        <v>0</v>
      </c>
      <c r="R146" s="1">
        <f>MIN($B146,$D146,$F146,$H146,$J146,$L146,$N146,$P146)</f>
        <v>0</v>
      </c>
      <c r="S146" s="1">
        <f>MIN($C146,$E146,$G146,$I146,$K146,$M146,$O146,$Q146)</f>
        <v>0</v>
      </c>
      <c r="T146" s="1">
        <f>MEDIAN($B146,$D146,$F146,$H146,$J146,$L146,$N146,$P146)</f>
        <v>0</v>
      </c>
      <c r="U146" s="1">
        <f>MEDIAN($C146,$E146,$G146,$I146,$K146,$M146,$O146,$Q146)</f>
        <v>0</v>
      </c>
      <c r="V146" s="1">
        <f>MAX($B146,$D146,$F146,$H146,$J146,$L146,$N146,$P146)</f>
        <v>0</v>
      </c>
      <c r="W146" s="1">
        <f>MAX($C146,$E146,$G146,$I146,$K146,$M146,$O146,$Q146)</f>
        <v>0</v>
      </c>
    </row>
    <row r="147" spans="1:23">
      <c r="A147" s="1" t="s">
        <v>144</v>
      </c>
      <c r="B147" s="1"/>
      <c r="C147" s="1"/>
      <c r="D147" s="1" cm="1">
        <f t="array" ref="D147">_xlfn.SWITCH($A$2,"average", AVERAGE(Instances!D147:Instances!D147),"median", MEDIAN(Instances!D147:Instances!D147),"min", MIN(Instances!D147:Instances!D147),"max", MAX(Instances!D147:Instances!D147),"diff", MAX(Instances!D147:Instances!D147)-MIN(Instances!D147:Instances!D147))</f>
        <v>0</v>
      </c>
      <c r="E147" s="1" cm="1">
        <f t="array" ref="E147">_xlfn.SWITCH($A$2,"average", AVERAGE(Instances!E147:Instances!E147),"median", MEDIAN(Instances!E147:Instances!E147),"min", MIN(Instances!E147:Instances!E147),"max", MAX(Instances!E147:Instances!E147),"diff", MAX(Instances!E147:Instances!E147)-MIN(Instances!E147:Instances!E147))</f>
        <v>0</v>
      </c>
      <c r="F147" s="1" cm="1">
        <f t="array" ref="F147">_xlfn.SWITCH($A$2,"average", AVERAGE(Instances!F147:Instances!F147),"median", MEDIAN(Instances!F147:Instances!F147),"min", MIN(Instances!F147:Instances!F147),"max", MAX(Instances!F147:Instances!F147),"diff", MAX(Instances!F147:Instances!F147)-MIN(Instances!F147:Instances!F147))</f>
        <v>0</v>
      </c>
      <c r="G147" s="1" cm="1">
        <f t="array" ref="G147">_xlfn.SWITCH($A$2,"average", AVERAGE(Instances!G147:Instances!G147),"median", MEDIAN(Instances!G147:Instances!G147),"min", MIN(Instances!G147:Instances!G147),"max", MAX(Instances!G147:Instances!G147),"diff", MAX(Instances!G147:Instances!G147)-MIN(Instances!G147:Instances!G147))</f>
        <v>0</v>
      </c>
      <c r="H147" s="1"/>
      <c r="I147" s="1"/>
      <c r="J147" s="1" cm="1">
        <f t="array" ref="J147">_xlfn.SWITCH($A$2,"average", AVERAGE(Instances!J147:Instances!J147),"median", MEDIAN(Instances!J147:Instances!J147),"min", MIN(Instances!J147:Instances!J147),"max", MAX(Instances!J147:Instances!J147),"diff", MAX(Instances!J147:Instances!J147)-MIN(Instances!J147:Instances!J147))</f>
        <v>0</v>
      </c>
      <c r="K147" s="1" cm="1">
        <f t="array" ref="K147">_xlfn.SWITCH($A$2,"average", AVERAGE(Instances!K147:Instances!K147),"median", MEDIAN(Instances!K147:Instances!K147),"min", MIN(Instances!K147:Instances!K147),"max", MAX(Instances!K147:Instances!K147),"diff", MAX(Instances!K147:Instances!K147)-MIN(Instances!K147:Instances!K147))</f>
        <v>0</v>
      </c>
      <c r="L147" s="1" cm="1">
        <f t="array" ref="L147">_xlfn.SWITCH($A$2,"average", AVERAGE(Instances!L147:Instances!L147),"median", MEDIAN(Instances!L147:Instances!L147),"min", MIN(Instances!L147:Instances!L147),"max", MAX(Instances!L147:Instances!L147),"diff", MAX(Instances!L147:Instances!L147)-MIN(Instances!L147:Instances!L147))</f>
        <v>0</v>
      </c>
      <c r="M147" s="1" cm="1">
        <f t="array" ref="M147">_xlfn.SWITCH($A$2,"average", AVERAGE(Instances!M147:Instances!M147),"median", MEDIAN(Instances!M147:Instances!M147),"min", MIN(Instances!M147:Instances!M147),"max", MAX(Instances!M147:Instances!M147),"diff", MAX(Instances!M147:Instances!M147)-MIN(Instances!M147:Instances!M147))</f>
        <v>0</v>
      </c>
      <c r="N147" s="1" cm="1">
        <f t="array" ref="N147">_xlfn.SWITCH($A$2,"average", AVERAGE(Instances!N147:Instances!N147),"median", MEDIAN(Instances!N147:Instances!N147),"min", MIN(Instances!N147:Instances!N147),"max", MAX(Instances!N147:Instances!N147),"diff", MAX(Instances!N147:Instances!N147)-MIN(Instances!N147:Instances!N147))</f>
        <v>0</v>
      </c>
      <c r="O147" s="1" cm="1">
        <f t="array" ref="O147">_xlfn.SWITCH($A$2,"average", AVERAGE(Instances!O147:Instances!O147),"median", MEDIAN(Instances!O147:Instances!O147),"min", MIN(Instances!O147:Instances!O147),"max", MAX(Instances!O147:Instances!O147),"diff", MAX(Instances!O147:Instances!O147)-MIN(Instances!O147:Instances!O147))</f>
        <v>0</v>
      </c>
      <c r="P147" s="1" cm="1">
        <f t="array" ref="P147">_xlfn.SWITCH($A$2,"average", AVERAGE(Instances!P147:Instances!P147),"median", MEDIAN(Instances!P147:Instances!P147),"min", MIN(Instances!P147:Instances!P147),"max", MAX(Instances!P147:Instances!P147),"diff", MAX(Instances!P147:Instances!P147)-MIN(Instances!P147:Instances!P147))</f>
        <v>0</v>
      </c>
      <c r="Q147" s="1" cm="1">
        <f t="array" ref="Q147">_xlfn.SWITCH($A$2,"average", AVERAGE(Instances!Q147:Instances!Q147),"median", MEDIAN(Instances!Q147:Instances!Q147),"min", MIN(Instances!Q147:Instances!Q147),"max", MAX(Instances!Q147:Instances!Q147),"diff", MAX(Instances!Q147:Instances!Q147)-MIN(Instances!Q147:Instances!Q147))</f>
        <v>0</v>
      </c>
      <c r="R147" s="1">
        <f>MIN($B147,$D147,$F147,$H147,$J147,$L147,$N147,$P147)</f>
        <v>0</v>
      </c>
      <c r="S147" s="1">
        <f>MIN($C147,$E147,$G147,$I147,$K147,$M147,$O147,$Q147)</f>
        <v>0</v>
      </c>
      <c r="T147" s="1">
        <f>MEDIAN($B147,$D147,$F147,$H147,$J147,$L147,$N147,$P147)</f>
        <v>0</v>
      </c>
      <c r="U147" s="1">
        <f>MEDIAN($C147,$E147,$G147,$I147,$K147,$M147,$O147,$Q147)</f>
        <v>0</v>
      </c>
      <c r="V147" s="1">
        <f>MAX($B147,$D147,$F147,$H147,$J147,$L147,$N147,$P147)</f>
        <v>0</v>
      </c>
      <c r="W147" s="1">
        <f>MAX($C147,$E147,$G147,$I147,$K147,$M147,$O147,$Q147)</f>
        <v>0</v>
      </c>
    </row>
    <row r="148" spans="1:23">
      <c r="A148" s="1" t="s">
        <v>145</v>
      </c>
      <c r="B148" s="1"/>
      <c r="C148" s="1"/>
      <c r="D148" s="1" cm="1">
        <f t="array" ref="D148">_xlfn.SWITCH($A$2,"average", AVERAGE(Instances!D148:Instances!D148),"median", MEDIAN(Instances!D148:Instances!D148),"min", MIN(Instances!D148:Instances!D148),"max", MAX(Instances!D148:Instances!D148),"diff", MAX(Instances!D148:Instances!D148)-MIN(Instances!D148:Instances!D148))</f>
        <v>0</v>
      </c>
      <c r="E148" s="1" cm="1">
        <f t="array" ref="E148">_xlfn.SWITCH($A$2,"average", AVERAGE(Instances!E148:Instances!E148),"median", MEDIAN(Instances!E148:Instances!E148),"min", MIN(Instances!E148:Instances!E148),"max", MAX(Instances!E148:Instances!E148),"diff", MAX(Instances!E148:Instances!E148)-MIN(Instances!E148:Instances!E148))</f>
        <v>0</v>
      </c>
      <c r="F148" s="1" cm="1">
        <f t="array" ref="F148">_xlfn.SWITCH($A$2,"average", AVERAGE(Instances!F148:Instances!F148),"median", MEDIAN(Instances!F148:Instances!F148),"min", MIN(Instances!F148:Instances!F148),"max", MAX(Instances!F148:Instances!F148),"diff", MAX(Instances!F148:Instances!F148)-MIN(Instances!F148:Instances!F148))</f>
        <v>0</v>
      </c>
      <c r="G148" s="1" cm="1">
        <f t="array" ref="G148">_xlfn.SWITCH($A$2,"average", AVERAGE(Instances!G148:Instances!G148),"median", MEDIAN(Instances!G148:Instances!G148),"min", MIN(Instances!G148:Instances!G148),"max", MAX(Instances!G148:Instances!G148),"diff", MAX(Instances!G148:Instances!G148)-MIN(Instances!G148:Instances!G148))</f>
        <v>0</v>
      </c>
      <c r="H148" s="1"/>
      <c r="I148" s="1"/>
      <c r="J148" s="1" cm="1">
        <f t="array" ref="J148">_xlfn.SWITCH($A$2,"average", AVERAGE(Instances!J148:Instances!J148),"median", MEDIAN(Instances!J148:Instances!J148),"min", MIN(Instances!J148:Instances!J148),"max", MAX(Instances!J148:Instances!J148),"diff", MAX(Instances!J148:Instances!J148)-MIN(Instances!J148:Instances!J148))</f>
        <v>0</v>
      </c>
      <c r="K148" s="1" cm="1">
        <f t="array" ref="K148">_xlfn.SWITCH($A$2,"average", AVERAGE(Instances!K148:Instances!K148),"median", MEDIAN(Instances!K148:Instances!K148),"min", MIN(Instances!K148:Instances!K148),"max", MAX(Instances!K148:Instances!K148),"diff", MAX(Instances!K148:Instances!K148)-MIN(Instances!K148:Instances!K148))</f>
        <v>0</v>
      </c>
      <c r="L148" s="1" cm="1">
        <f t="array" ref="L148">_xlfn.SWITCH($A$2,"average", AVERAGE(Instances!L148:Instances!L148),"median", MEDIAN(Instances!L148:Instances!L148),"min", MIN(Instances!L148:Instances!L148),"max", MAX(Instances!L148:Instances!L148),"diff", MAX(Instances!L148:Instances!L148)-MIN(Instances!L148:Instances!L148))</f>
        <v>0</v>
      </c>
      <c r="M148" s="1" cm="1">
        <f t="array" ref="M148">_xlfn.SWITCH($A$2,"average", AVERAGE(Instances!M148:Instances!M148),"median", MEDIAN(Instances!M148:Instances!M148),"min", MIN(Instances!M148:Instances!M148),"max", MAX(Instances!M148:Instances!M148),"diff", MAX(Instances!M148:Instances!M148)-MIN(Instances!M148:Instances!M148))</f>
        <v>0</v>
      </c>
      <c r="N148" s="1" cm="1">
        <f t="array" ref="N148">_xlfn.SWITCH($A$2,"average", AVERAGE(Instances!N148:Instances!N148),"median", MEDIAN(Instances!N148:Instances!N148),"min", MIN(Instances!N148:Instances!N148),"max", MAX(Instances!N148:Instances!N148),"diff", MAX(Instances!N148:Instances!N148)-MIN(Instances!N148:Instances!N148))</f>
        <v>0</v>
      </c>
      <c r="O148" s="1" cm="1">
        <f t="array" ref="O148">_xlfn.SWITCH($A$2,"average", AVERAGE(Instances!O148:Instances!O148),"median", MEDIAN(Instances!O148:Instances!O148),"min", MIN(Instances!O148:Instances!O148),"max", MAX(Instances!O148:Instances!O148),"diff", MAX(Instances!O148:Instances!O148)-MIN(Instances!O148:Instances!O148))</f>
        <v>0</v>
      </c>
      <c r="P148" s="1" cm="1">
        <f t="array" ref="P148">_xlfn.SWITCH($A$2,"average", AVERAGE(Instances!P148:Instances!P148),"median", MEDIAN(Instances!P148:Instances!P148),"min", MIN(Instances!P148:Instances!P148),"max", MAX(Instances!P148:Instances!P148),"diff", MAX(Instances!P148:Instances!P148)-MIN(Instances!P148:Instances!P148))</f>
        <v>0</v>
      </c>
      <c r="Q148" s="1" cm="1">
        <f t="array" ref="Q148">_xlfn.SWITCH($A$2,"average", AVERAGE(Instances!Q148:Instances!Q148),"median", MEDIAN(Instances!Q148:Instances!Q148),"min", MIN(Instances!Q148:Instances!Q148),"max", MAX(Instances!Q148:Instances!Q148),"diff", MAX(Instances!Q148:Instances!Q148)-MIN(Instances!Q148:Instances!Q148))</f>
        <v>0</v>
      </c>
      <c r="R148" s="1">
        <f>MIN($B148,$D148,$F148,$H148,$J148,$L148,$N148,$P148)</f>
        <v>0</v>
      </c>
      <c r="S148" s="1">
        <f>MIN($C148,$E148,$G148,$I148,$K148,$M148,$O148,$Q148)</f>
        <v>0</v>
      </c>
      <c r="T148" s="1">
        <f>MEDIAN($B148,$D148,$F148,$H148,$J148,$L148,$N148,$P148)</f>
        <v>0</v>
      </c>
      <c r="U148" s="1">
        <f>MEDIAN($C148,$E148,$G148,$I148,$K148,$M148,$O148,$Q148)</f>
        <v>0</v>
      </c>
      <c r="V148" s="1">
        <f>MAX($B148,$D148,$F148,$H148,$J148,$L148,$N148,$P148)</f>
        <v>0</v>
      </c>
      <c r="W148" s="1">
        <f>MAX($C148,$E148,$G148,$I148,$K148,$M148,$O148,$Q148)</f>
        <v>0</v>
      </c>
    </row>
    <row r="149" spans="1:23">
      <c r="A149" s="1" t="s">
        <v>146</v>
      </c>
      <c r="B149" s="1"/>
      <c r="C149" s="1"/>
      <c r="D149" s="1" cm="1">
        <f t="array" ref="D149">_xlfn.SWITCH($A$2,"average", AVERAGE(Instances!D149:Instances!D149),"median", MEDIAN(Instances!D149:Instances!D149),"min", MIN(Instances!D149:Instances!D149),"max", MAX(Instances!D149:Instances!D149),"diff", MAX(Instances!D149:Instances!D149)-MIN(Instances!D149:Instances!D149))</f>
        <v>0</v>
      </c>
      <c r="E149" s="1" cm="1">
        <f t="array" ref="E149">_xlfn.SWITCH($A$2,"average", AVERAGE(Instances!E149:Instances!E149),"median", MEDIAN(Instances!E149:Instances!E149),"min", MIN(Instances!E149:Instances!E149),"max", MAX(Instances!E149:Instances!E149),"diff", MAX(Instances!E149:Instances!E149)-MIN(Instances!E149:Instances!E149))</f>
        <v>0</v>
      </c>
      <c r="F149" s="1" cm="1">
        <f t="array" ref="F149">_xlfn.SWITCH($A$2,"average", AVERAGE(Instances!F149:Instances!F149),"median", MEDIAN(Instances!F149:Instances!F149),"min", MIN(Instances!F149:Instances!F149),"max", MAX(Instances!F149:Instances!F149),"diff", MAX(Instances!F149:Instances!F149)-MIN(Instances!F149:Instances!F149))</f>
        <v>0</v>
      </c>
      <c r="G149" s="1" cm="1">
        <f t="array" ref="G149">_xlfn.SWITCH($A$2,"average", AVERAGE(Instances!G149:Instances!G149),"median", MEDIAN(Instances!G149:Instances!G149),"min", MIN(Instances!G149:Instances!G149),"max", MAX(Instances!G149:Instances!G149),"diff", MAX(Instances!G149:Instances!G149)-MIN(Instances!G149:Instances!G149))</f>
        <v>0</v>
      </c>
      <c r="H149" s="1"/>
      <c r="I149" s="1"/>
      <c r="J149" s="1" cm="1">
        <f t="array" ref="J149">_xlfn.SWITCH($A$2,"average", AVERAGE(Instances!J149:Instances!J149),"median", MEDIAN(Instances!J149:Instances!J149),"min", MIN(Instances!J149:Instances!J149),"max", MAX(Instances!J149:Instances!J149),"diff", MAX(Instances!J149:Instances!J149)-MIN(Instances!J149:Instances!J149))</f>
        <v>0</v>
      </c>
      <c r="K149" s="1" cm="1">
        <f t="array" ref="K149">_xlfn.SWITCH($A$2,"average", AVERAGE(Instances!K149:Instances!K149),"median", MEDIAN(Instances!K149:Instances!K149),"min", MIN(Instances!K149:Instances!K149),"max", MAX(Instances!K149:Instances!K149),"diff", MAX(Instances!K149:Instances!K149)-MIN(Instances!K149:Instances!K149))</f>
        <v>0</v>
      </c>
      <c r="L149" s="1" cm="1">
        <f t="array" ref="L149">_xlfn.SWITCH($A$2,"average", AVERAGE(Instances!L149:Instances!L149),"median", MEDIAN(Instances!L149:Instances!L149),"min", MIN(Instances!L149:Instances!L149),"max", MAX(Instances!L149:Instances!L149),"diff", MAX(Instances!L149:Instances!L149)-MIN(Instances!L149:Instances!L149))</f>
        <v>0</v>
      </c>
      <c r="M149" s="1" cm="1">
        <f t="array" ref="M149">_xlfn.SWITCH($A$2,"average", AVERAGE(Instances!M149:Instances!M149),"median", MEDIAN(Instances!M149:Instances!M149),"min", MIN(Instances!M149:Instances!M149),"max", MAX(Instances!M149:Instances!M149),"diff", MAX(Instances!M149:Instances!M149)-MIN(Instances!M149:Instances!M149))</f>
        <v>0</v>
      </c>
      <c r="N149" s="1" cm="1">
        <f t="array" ref="N149">_xlfn.SWITCH($A$2,"average", AVERAGE(Instances!N149:Instances!N149),"median", MEDIAN(Instances!N149:Instances!N149),"min", MIN(Instances!N149:Instances!N149),"max", MAX(Instances!N149:Instances!N149),"diff", MAX(Instances!N149:Instances!N149)-MIN(Instances!N149:Instances!N149))</f>
        <v>0</v>
      </c>
      <c r="O149" s="1" cm="1">
        <f t="array" ref="O149">_xlfn.SWITCH($A$2,"average", AVERAGE(Instances!O149:Instances!O149),"median", MEDIAN(Instances!O149:Instances!O149),"min", MIN(Instances!O149:Instances!O149),"max", MAX(Instances!O149:Instances!O149),"diff", MAX(Instances!O149:Instances!O149)-MIN(Instances!O149:Instances!O149))</f>
        <v>0</v>
      </c>
      <c r="P149" s="1" cm="1">
        <f t="array" ref="P149">_xlfn.SWITCH($A$2,"average", AVERAGE(Instances!P149:Instances!P149),"median", MEDIAN(Instances!P149:Instances!P149),"min", MIN(Instances!P149:Instances!P149),"max", MAX(Instances!P149:Instances!P149),"diff", MAX(Instances!P149:Instances!P149)-MIN(Instances!P149:Instances!P149))</f>
        <v>0</v>
      </c>
      <c r="Q149" s="1" cm="1">
        <f t="array" ref="Q149">_xlfn.SWITCH($A$2,"average", AVERAGE(Instances!Q149:Instances!Q149),"median", MEDIAN(Instances!Q149:Instances!Q149),"min", MIN(Instances!Q149:Instances!Q149),"max", MAX(Instances!Q149:Instances!Q149),"diff", MAX(Instances!Q149:Instances!Q149)-MIN(Instances!Q149:Instances!Q149))</f>
        <v>0</v>
      </c>
      <c r="R149" s="1">
        <f>MIN($B149,$D149,$F149,$H149,$J149,$L149,$N149,$P149)</f>
        <v>0</v>
      </c>
      <c r="S149" s="1">
        <f>MIN($C149,$E149,$G149,$I149,$K149,$M149,$O149,$Q149)</f>
        <v>0</v>
      </c>
      <c r="T149" s="1">
        <f>MEDIAN($B149,$D149,$F149,$H149,$J149,$L149,$N149,$P149)</f>
        <v>0</v>
      </c>
      <c r="U149" s="1">
        <f>MEDIAN($C149,$E149,$G149,$I149,$K149,$M149,$O149,$Q149)</f>
        <v>0</v>
      </c>
      <c r="V149" s="1">
        <f>MAX($B149,$D149,$F149,$H149,$J149,$L149,$N149,$P149)</f>
        <v>0</v>
      </c>
      <c r="W149" s="1">
        <f>MAX($C149,$E149,$G149,$I149,$K149,$M149,$O149,$Q149)</f>
        <v>0</v>
      </c>
    </row>
    <row r="150" spans="1:23">
      <c r="A150" s="1" t="s">
        <v>147</v>
      </c>
      <c r="B150" s="1"/>
      <c r="C150" s="1"/>
      <c r="D150" s="1" cm="1">
        <f t="array" ref="D150">_xlfn.SWITCH($A$2,"average", AVERAGE(Instances!D150:Instances!D150),"median", MEDIAN(Instances!D150:Instances!D150),"min", MIN(Instances!D150:Instances!D150),"max", MAX(Instances!D150:Instances!D150),"diff", MAX(Instances!D150:Instances!D150)-MIN(Instances!D150:Instances!D150))</f>
        <v>0</v>
      </c>
      <c r="E150" s="1" cm="1">
        <f t="array" ref="E150">_xlfn.SWITCH($A$2,"average", AVERAGE(Instances!E150:Instances!E150),"median", MEDIAN(Instances!E150:Instances!E150),"min", MIN(Instances!E150:Instances!E150),"max", MAX(Instances!E150:Instances!E150),"diff", MAX(Instances!E150:Instances!E150)-MIN(Instances!E150:Instances!E150))</f>
        <v>0</v>
      </c>
      <c r="F150" s="1" cm="1">
        <f t="array" ref="F150">_xlfn.SWITCH($A$2,"average", AVERAGE(Instances!F150:Instances!F150),"median", MEDIAN(Instances!F150:Instances!F150),"min", MIN(Instances!F150:Instances!F150),"max", MAX(Instances!F150:Instances!F150),"diff", MAX(Instances!F150:Instances!F150)-MIN(Instances!F150:Instances!F150))</f>
        <v>0</v>
      </c>
      <c r="G150" s="1" cm="1">
        <f t="array" ref="G150">_xlfn.SWITCH($A$2,"average", AVERAGE(Instances!G150:Instances!G150),"median", MEDIAN(Instances!G150:Instances!G150),"min", MIN(Instances!G150:Instances!G150),"max", MAX(Instances!G150:Instances!G150),"diff", MAX(Instances!G150:Instances!G150)-MIN(Instances!G150:Instances!G150))</f>
        <v>0</v>
      </c>
      <c r="H150" s="1"/>
      <c r="I150" s="1"/>
      <c r="J150" s="1" cm="1">
        <f t="array" ref="J150">_xlfn.SWITCH($A$2,"average", AVERAGE(Instances!J150:Instances!J150),"median", MEDIAN(Instances!J150:Instances!J150),"min", MIN(Instances!J150:Instances!J150),"max", MAX(Instances!J150:Instances!J150),"diff", MAX(Instances!J150:Instances!J150)-MIN(Instances!J150:Instances!J150))</f>
        <v>0</v>
      </c>
      <c r="K150" s="1" cm="1">
        <f t="array" ref="K150">_xlfn.SWITCH($A$2,"average", AVERAGE(Instances!K150:Instances!K150),"median", MEDIAN(Instances!K150:Instances!K150),"min", MIN(Instances!K150:Instances!K150),"max", MAX(Instances!K150:Instances!K150),"diff", MAX(Instances!K150:Instances!K150)-MIN(Instances!K150:Instances!K150))</f>
        <v>0</v>
      </c>
      <c r="L150" s="1" cm="1">
        <f t="array" ref="L150">_xlfn.SWITCH($A$2,"average", AVERAGE(Instances!L150:Instances!L150),"median", MEDIAN(Instances!L150:Instances!L150),"min", MIN(Instances!L150:Instances!L150),"max", MAX(Instances!L150:Instances!L150),"diff", MAX(Instances!L150:Instances!L150)-MIN(Instances!L150:Instances!L150))</f>
        <v>0</v>
      </c>
      <c r="M150" s="1" cm="1">
        <f t="array" ref="M150">_xlfn.SWITCH($A$2,"average", AVERAGE(Instances!M150:Instances!M150),"median", MEDIAN(Instances!M150:Instances!M150),"min", MIN(Instances!M150:Instances!M150),"max", MAX(Instances!M150:Instances!M150),"diff", MAX(Instances!M150:Instances!M150)-MIN(Instances!M150:Instances!M150))</f>
        <v>0</v>
      </c>
      <c r="N150" s="1" cm="1">
        <f t="array" ref="N150">_xlfn.SWITCH($A$2,"average", AVERAGE(Instances!N150:Instances!N150),"median", MEDIAN(Instances!N150:Instances!N150),"min", MIN(Instances!N150:Instances!N150),"max", MAX(Instances!N150:Instances!N150),"diff", MAX(Instances!N150:Instances!N150)-MIN(Instances!N150:Instances!N150))</f>
        <v>0</v>
      </c>
      <c r="O150" s="1" cm="1">
        <f t="array" ref="O150">_xlfn.SWITCH($A$2,"average", AVERAGE(Instances!O150:Instances!O150),"median", MEDIAN(Instances!O150:Instances!O150),"min", MIN(Instances!O150:Instances!O150),"max", MAX(Instances!O150:Instances!O150),"diff", MAX(Instances!O150:Instances!O150)-MIN(Instances!O150:Instances!O150))</f>
        <v>0</v>
      </c>
      <c r="P150" s="1" cm="1">
        <f t="array" ref="P150">_xlfn.SWITCH($A$2,"average", AVERAGE(Instances!P150:Instances!P150),"median", MEDIAN(Instances!P150:Instances!P150),"min", MIN(Instances!P150:Instances!P150),"max", MAX(Instances!P150:Instances!P150),"diff", MAX(Instances!P150:Instances!P150)-MIN(Instances!P150:Instances!P150))</f>
        <v>0</v>
      </c>
      <c r="Q150" s="1" cm="1">
        <f t="array" ref="Q150">_xlfn.SWITCH($A$2,"average", AVERAGE(Instances!Q150:Instances!Q150),"median", MEDIAN(Instances!Q150:Instances!Q150),"min", MIN(Instances!Q150:Instances!Q150),"max", MAX(Instances!Q150:Instances!Q150),"diff", MAX(Instances!Q150:Instances!Q150)-MIN(Instances!Q150:Instances!Q150))</f>
        <v>0</v>
      </c>
      <c r="R150" s="1">
        <f>MIN($B150,$D150,$F150,$H150,$J150,$L150,$N150,$P150)</f>
        <v>0</v>
      </c>
      <c r="S150" s="1">
        <f>MIN($C150,$E150,$G150,$I150,$K150,$M150,$O150,$Q150)</f>
        <v>0</v>
      </c>
      <c r="T150" s="1">
        <f>MEDIAN($B150,$D150,$F150,$H150,$J150,$L150,$N150,$P150)</f>
        <v>0</v>
      </c>
      <c r="U150" s="1">
        <f>MEDIAN($C150,$E150,$G150,$I150,$K150,$M150,$O150,$Q150)</f>
        <v>0</v>
      </c>
      <c r="V150" s="1">
        <f>MAX($B150,$D150,$F150,$H150,$J150,$L150,$N150,$P150)</f>
        <v>0</v>
      </c>
      <c r="W150" s="1">
        <f>MAX($C150,$E150,$G150,$I150,$K150,$M150,$O150,$Q150)</f>
        <v>0</v>
      </c>
    </row>
    <row r="151" spans="1:23">
      <c r="A151" s="1" t="s">
        <v>148</v>
      </c>
      <c r="B151" s="1"/>
      <c r="C151" s="1"/>
      <c r="D151" s="1" cm="1">
        <f t="array" ref="D151">_xlfn.SWITCH($A$2,"average", AVERAGE(Instances!D151:Instances!D151),"median", MEDIAN(Instances!D151:Instances!D151),"min", MIN(Instances!D151:Instances!D151),"max", MAX(Instances!D151:Instances!D151),"diff", MAX(Instances!D151:Instances!D151)-MIN(Instances!D151:Instances!D151))</f>
        <v>0</v>
      </c>
      <c r="E151" s="1" cm="1">
        <f t="array" ref="E151">_xlfn.SWITCH($A$2,"average", AVERAGE(Instances!E151:Instances!E151),"median", MEDIAN(Instances!E151:Instances!E151),"min", MIN(Instances!E151:Instances!E151),"max", MAX(Instances!E151:Instances!E151),"diff", MAX(Instances!E151:Instances!E151)-MIN(Instances!E151:Instances!E151))</f>
        <v>0</v>
      </c>
      <c r="F151" s="1" cm="1">
        <f t="array" ref="F151">_xlfn.SWITCH($A$2,"average", AVERAGE(Instances!F151:Instances!F151),"median", MEDIAN(Instances!F151:Instances!F151),"min", MIN(Instances!F151:Instances!F151),"max", MAX(Instances!F151:Instances!F151),"diff", MAX(Instances!F151:Instances!F151)-MIN(Instances!F151:Instances!F151))</f>
        <v>0</v>
      </c>
      <c r="G151" s="1" cm="1">
        <f t="array" ref="G151">_xlfn.SWITCH($A$2,"average", AVERAGE(Instances!G151:Instances!G151),"median", MEDIAN(Instances!G151:Instances!G151),"min", MIN(Instances!G151:Instances!G151),"max", MAX(Instances!G151:Instances!G151),"diff", MAX(Instances!G151:Instances!G151)-MIN(Instances!G151:Instances!G151))</f>
        <v>0</v>
      </c>
      <c r="H151" s="1"/>
      <c r="I151" s="1"/>
      <c r="J151" s="1" cm="1">
        <f t="array" ref="J151">_xlfn.SWITCH($A$2,"average", AVERAGE(Instances!J151:Instances!J151),"median", MEDIAN(Instances!J151:Instances!J151),"min", MIN(Instances!J151:Instances!J151),"max", MAX(Instances!J151:Instances!J151),"diff", MAX(Instances!J151:Instances!J151)-MIN(Instances!J151:Instances!J151))</f>
        <v>0</v>
      </c>
      <c r="K151" s="1" cm="1">
        <f t="array" ref="K151">_xlfn.SWITCH($A$2,"average", AVERAGE(Instances!K151:Instances!K151),"median", MEDIAN(Instances!K151:Instances!K151),"min", MIN(Instances!K151:Instances!K151),"max", MAX(Instances!K151:Instances!K151),"diff", MAX(Instances!K151:Instances!K151)-MIN(Instances!K151:Instances!K151))</f>
        <v>0</v>
      </c>
      <c r="L151" s="1" cm="1">
        <f t="array" ref="L151">_xlfn.SWITCH($A$2,"average", AVERAGE(Instances!L151:Instances!L151),"median", MEDIAN(Instances!L151:Instances!L151),"min", MIN(Instances!L151:Instances!L151),"max", MAX(Instances!L151:Instances!L151),"diff", MAX(Instances!L151:Instances!L151)-MIN(Instances!L151:Instances!L151))</f>
        <v>0</v>
      </c>
      <c r="M151" s="1" cm="1">
        <f t="array" ref="M151">_xlfn.SWITCH($A$2,"average", AVERAGE(Instances!M151:Instances!M151),"median", MEDIAN(Instances!M151:Instances!M151),"min", MIN(Instances!M151:Instances!M151),"max", MAX(Instances!M151:Instances!M151),"diff", MAX(Instances!M151:Instances!M151)-MIN(Instances!M151:Instances!M151))</f>
        <v>0</v>
      </c>
      <c r="N151" s="1" cm="1">
        <f t="array" ref="N151">_xlfn.SWITCH($A$2,"average", AVERAGE(Instances!N151:Instances!N151),"median", MEDIAN(Instances!N151:Instances!N151),"min", MIN(Instances!N151:Instances!N151),"max", MAX(Instances!N151:Instances!N151),"diff", MAX(Instances!N151:Instances!N151)-MIN(Instances!N151:Instances!N151))</f>
        <v>0</v>
      </c>
      <c r="O151" s="1" cm="1">
        <f t="array" ref="O151">_xlfn.SWITCH($A$2,"average", AVERAGE(Instances!O151:Instances!O151),"median", MEDIAN(Instances!O151:Instances!O151),"min", MIN(Instances!O151:Instances!O151),"max", MAX(Instances!O151:Instances!O151),"diff", MAX(Instances!O151:Instances!O151)-MIN(Instances!O151:Instances!O151))</f>
        <v>0</v>
      </c>
      <c r="P151" s="1" cm="1">
        <f t="array" ref="P151">_xlfn.SWITCH($A$2,"average", AVERAGE(Instances!P151:Instances!P151),"median", MEDIAN(Instances!P151:Instances!P151),"min", MIN(Instances!P151:Instances!P151),"max", MAX(Instances!P151:Instances!P151),"diff", MAX(Instances!P151:Instances!P151)-MIN(Instances!P151:Instances!P151))</f>
        <v>0</v>
      </c>
      <c r="Q151" s="1" cm="1">
        <f t="array" ref="Q151">_xlfn.SWITCH($A$2,"average", AVERAGE(Instances!Q151:Instances!Q151),"median", MEDIAN(Instances!Q151:Instances!Q151),"min", MIN(Instances!Q151:Instances!Q151),"max", MAX(Instances!Q151:Instances!Q151),"diff", MAX(Instances!Q151:Instances!Q151)-MIN(Instances!Q151:Instances!Q151))</f>
        <v>0</v>
      </c>
      <c r="R151" s="1">
        <f>MIN($B151,$D151,$F151,$H151,$J151,$L151,$N151,$P151)</f>
        <v>0</v>
      </c>
      <c r="S151" s="1">
        <f>MIN($C151,$E151,$G151,$I151,$K151,$M151,$O151,$Q151)</f>
        <v>0</v>
      </c>
      <c r="T151" s="1">
        <f>MEDIAN($B151,$D151,$F151,$H151,$J151,$L151,$N151,$P151)</f>
        <v>0</v>
      </c>
      <c r="U151" s="1">
        <f>MEDIAN($C151,$E151,$G151,$I151,$K151,$M151,$O151,$Q151)</f>
        <v>0</v>
      </c>
      <c r="V151" s="1">
        <f>MAX($B151,$D151,$F151,$H151,$J151,$L151,$N151,$P151)</f>
        <v>0</v>
      </c>
      <c r="W151" s="1">
        <f>MAX($C151,$E151,$G151,$I151,$K151,$M151,$O151,$Q151)</f>
        <v>0</v>
      </c>
    </row>
    <row r="152" spans="1:23">
      <c r="A152" s="1" t="s">
        <v>149</v>
      </c>
      <c r="B152" s="1"/>
      <c r="C152" s="1"/>
      <c r="D152" s="1" cm="1">
        <f t="array" ref="D152">_xlfn.SWITCH($A$2,"average", AVERAGE(Instances!D152:Instances!D152),"median", MEDIAN(Instances!D152:Instances!D152),"min", MIN(Instances!D152:Instances!D152),"max", MAX(Instances!D152:Instances!D152),"diff", MAX(Instances!D152:Instances!D152)-MIN(Instances!D152:Instances!D152))</f>
        <v>0</v>
      </c>
      <c r="E152" s="1" cm="1">
        <f t="array" ref="E152">_xlfn.SWITCH($A$2,"average", AVERAGE(Instances!E152:Instances!E152),"median", MEDIAN(Instances!E152:Instances!E152),"min", MIN(Instances!E152:Instances!E152),"max", MAX(Instances!E152:Instances!E152),"diff", MAX(Instances!E152:Instances!E152)-MIN(Instances!E152:Instances!E152))</f>
        <v>0</v>
      </c>
      <c r="F152" s="1" cm="1">
        <f t="array" ref="F152">_xlfn.SWITCH($A$2,"average", AVERAGE(Instances!F152:Instances!F152),"median", MEDIAN(Instances!F152:Instances!F152),"min", MIN(Instances!F152:Instances!F152),"max", MAX(Instances!F152:Instances!F152),"diff", MAX(Instances!F152:Instances!F152)-MIN(Instances!F152:Instances!F152))</f>
        <v>0</v>
      </c>
      <c r="G152" s="1" cm="1">
        <f t="array" ref="G152">_xlfn.SWITCH($A$2,"average", AVERAGE(Instances!G152:Instances!G152),"median", MEDIAN(Instances!G152:Instances!G152),"min", MIN(Instances!G152:Instances!G152),"max", MAX(Instances!G152:Instances!G152),"diff", MAX(Instances!G152:Instances!G152)-MIN(Instances!G152:Instances!G152))</f>
        <v>0</v>
      </c>
      <c r="H152" s="1"/>
      <c r="I152" s="1"/>
      <c r="J152" s="1" cm="1">
        <f t="array" ref="J152">_xlfn.SWITCH($A$2,"average", AVERAGE(Instances!J152:Instances!J152),"median", MEDIAN(Instances!J152:Instances!J152),"min", MIN(Instances!J152:Instances!J152),"max", MAX(Instances!J152:Instances!J152),"diff", MAX(Instances!J152:Instances!J152)-MIN(Instances!J152:Instances!J152))</f>
        <v>0</v>
      </c>
      <c r="K152" s="1" cm="1">
        <f t="array" ref="K152">_xlfn.SWITCH($A$2,"average", AVERAGE(Instances!K152:Instances!K152),"median", MEDIAN(Instances!K152:Instances!K152),"min", MIN(Instances!K152:Instances!K152),"max", MAX(Instances!K152:Instances!K152),"diff", MAX(Instances!K152:Instances!K152)-MIN(Instances!K152:Instances!K152))</f>
        <v>0</v>
      </c>
      <c r="L152" s="1" cm="1">
        <f t="array" ref="L152">_xlfn.SWITCH($A$2,"average", AVERAGE(Instances!L152:Instances!L152),"median", MEDIAN(Instances!L152:Instances!L152),"min", MIN(Instances!L152:Instances!L152),"max", MAX(Instances!L152:Instances!L152),"diff", MAX(Instances!L152:Instances!L152)-MIN(Instances!L152:Instances!L152))</f>
        <v>0</v>
      </c>
      <c r="M152" s="1" cm="1">
        <f t="array" ref="M152">_xlfn.SWITCH($A$2,"average", AVERAGE(Instances!M152:Instances!M152),"median", MEDIAN(Instances!M152:Instances!M152),"min", MIN(Instances!M152:Instances!M152),"max", MAX(Instances!M152:Instances!M152),"diff", MAX(Instances!M152:Instances!M152)-MIN(Instances!M152:Instances!M152))</f>
        <v>0</v>
      </c>
      <c r="N152" s="1" cm="1">
        <f t="array" ref="N152">_xlfn.SWITCH($A$2,"average", AVERAGE(Instances!N152:Instances!N152),"median", MEDIAN(Instances!N152:Instances!N152),"min", MIN(Instances!N152:Instances!N152),"max", MAX(Instances!N152:Instances!N152),"diff", MAX(Instances!N152:Instances!N152)-MIN(Instances!N152:Instances!N152))</f>
        <v>0</v>
      </c>
      <c r="O152" s="1" cm="1">
        <f t="array" ref="O152">_xlfn.SWITCH($A$2,"average", AVERAGE(Instances!O152:Instances!O152),"median", MEDIAN(Instances!O152:Instances!O152),"min", MIN(Instances!O152:Instances!O152),"max", MAX(Instances!O152:Instances!O152),"diff", MAX(Instances!O152:Instances!O152)-MIN(Instances!O152:Instances!O152))</f>
        <v>0</v>
      </c>
      <c r="P152" s="1" cm="1">
        <f t="array" ref="P152">_xlfn.SWITCH($A$2,"average", AVERAGE(Instances!P152:Instances!P152),"median", MEDIAN(Instances!P152:Instances!P152),"min", MIN(Instances!P152:Instances!P152),"max", MAX(Instances!P152:Instances!P152),"diff", MAX(Instances!P152:Instances!P152)-MIN(Instances!P152:Instances!P152))</f>
        <v>0</v>
      </c>
      <c r="Q152" s="1" cm="1">
        <f t="array" ref="Q152">_xlfn.SWITCH($A$2,"average", AVERAGE(Instances!Q152:Instances!Q152),"median", MEDIAN(Instances!Q152:Instances!Q152),"min", MIN(Instances!Q152:Instances!Q152),"max", MAX(Instances!Q152:Instances!Q152),"diff", MAX(Instances!Q152:Instances!Q152)-MIN(Instances!Q152:Instances!Q152))</f>
        <v>0</v>
      </c>
      <c r="R152" s="1">
        <f>MIN($B152,$D152,$F152,$H152,$J152,$L152,$N152,$P152)</f>
        <v>0</v>
      </c>
      <c r="S152" s="1">
        <f>MIN($C152,$E152,$G152,$I152,$K152,$M152,$O152,$Q152)</f>
        <v>0</v>
      </c>
      <c r="T152" s="1">
        <f>MEDIAN($B152,$D152,$F152,$H152,$J152,$L152,$N152,$P152)</f>
        <v>0</v>
      </c>
      <c r="U152" s="1">
        <f>MEDIAN($C152,$E152,$G152,$I152,$K152,$M152,$O152,$Q152)</f>
        <v>0</v>
      </c>
      <c r="V152" s="1">
        <f>MAX($B152,$D152,$F152,$H152,$J152,$L152,$N152,$P152)</f>
        <v>0</v>
      </c>
      <c r="W152" s="1">
        <f>MAX($C152,$E152,$G152,$I152,$K152,$M152,$O152,$Q152)</f>
        <v>0</v>
      </c>
    </row>
    <row r="153" spans="1:23">
      <c r="A153" s="1" t="s">
        <v>150</v>
      </c>
      <c r="B153" s="1"/>
      <c r="C153" s="1"/>
      <c r="D153" s="1" cm="1">
        <f t="array" ref="D153">_xlfn.SWITCH($A$2,"average", AVERAGE(Instances!D153:Instances!D153),"median", MEDIAN(Instances!D153:Instances!D153),"min", MIN(Instances!D153:Instances!D153),"max", MAX(Instances!D153:Instances!D153),"diff", MAX(Instances!D153:Instances!D153)-MIN(Instances!D153:Instances!D153))</f>
        <v>0</v>
      </c>
      <c r="E153" s="1" cm="1">
        <f t="array" ref="E153">_xlfn.SWITCH($A$2,"average", AVERAGE(Instances!E153:Instances!E153),"median", MEDIAN(Instances!E153:Instances!E153),"min", MIN(Instances!E153:Instances!E153),"max", MAX(Instances!E153:Instances!E153),"diff", MAX(Instances!E153:Instances!E153)-MIN(Instances!E153:Instances!E153))</f>
        <v>0</v>
      </c>
      <c r="F153" s="1" cm="1">
        <f t="array" ref="F153">_xlfn.SWITCH($A$2,"average", AVERAGE(Instances!F153:Instances!F153),"median", MEDIAN(Instances!F153:Instances!F153),"min", MIN(Instances!F153:Instances!F153),"max", MAX(Instances!F153:Instances!F153),"diff", MAX(Instances!F153:Instances!F153)-MIN(Instances!F153:Instances!F153))</f>
        <v>0</v>
      </c>
      <c r="G153" s="1" cm="1">
        <f t="array" ref="G153">_xlfn.SWITCH($A$2,"average", AVERAGE(Instances!G153:Instances!G153),"median", MEDIAN(Instances!G153:Instances!G153),"min", MIN(Instances!G153:Instances!G153),"max", MAX(Instances!G153:Instances!G153),"diff", MAX(Instances!G153:Instances!G153)-MIN(Instances!G153:Instances!G153))</f>
        <v>0</v>
      </c>
      <c r="H153" s="1"/>
      <c r="I153" s="1"/>
      <c r="J153" s="1" cm="1">
        <f t="array" ref="J153">_xlfn.SWITCH($A$2,"average", AVERAGE(Instances!J153:Instances!J153),"median", MEDIAN(Instances!J153:Instances!J153),"min", MIN(Instances!J153:Instances!J153),"max", MAX(Instances!J153:Instances!J153),"diff", MAX(Instances!J153:Instances!J153)-MIN(Instances!J153:Instances!J153))</f>
        <v>0</v>
      </c>
      <c r="K153" s="1" cm="1">
        <f t="array" ref="K153">_xlfn.SWITCH($A$2,"average", AVERAGE(Instances!K153:Instances!K153),"median", MEDIAN(Instances!K153:Instances!K153),"min", MIN(Instances!K153:Instances!K153),"max", MAX(Instances!K153:Instances!K153),"diff", MAX(Instances!K153:Instances!K153)-MIN(Instances!K153:Instances!K153))</f>
        <v>0</v>
      </c>
      <c r="L153" s="1" cm="1">
        <f t="array" ref="L153">_xlfn.SWITCH($A$2,"average", AVERAGE(Instances!L153:Instances!L153),"median", MEDIAN(Instances!L153:Instances!L153),"min", MIN(Instances!L153:Instances!L153),"max", MAX(Instances!L153:Instances!L153),"diff", MAX(Instances!L153:Instances!L153)-MIN(Instances!L153:Instances!L153))</f>
        <v>0</v>
      </c>
      <c r="M153" s="1" cm="1">
        <f t="array" ref="M153">_xlfn.SWITCH($A$2,"average", AVERAGE(Instances!M153:Instances!M153),"median", MEDIAN(Instances!M153:Instances!M153),"min", MIN(Instances!M153:Instances!M153),"max", MAX(Instances!M153:Instances!M153),"diff", MAX(Instances!M153:Instances!M153)-MIN(Instances!M153:Instances!M153))</f>
        <v>0</v>
      </c>
      <c r="N153" s="1" cm="1">
        <f t="array" ref="N153">_xlfn.SWITCH($A$2,"average", AVERAGE(Instances!N153:Instances!N153),"median", MEDIAN(Instances!N153:Instances!N153),"min", MIN(Instances!N153:Instances!N153),"max", MAX(Instances!N153:Instances!N153),"diff", MAX(Instances!N153:Instances!N153)-MIN(Instances!N153:Instances!N153))</f>
        <v>0</v>
      </c>
      <c r="O153" s="1" cm="1">
        <f t="array" ref="O153">_xlfn.SWITCH($A$2,"average", AVERAGE(Instances!O153:Instances!O153),"median", MEDIAN(Instances!O153:Instances!O153),"min", MIN(Instances!O153:Instances!O153),"max", MAX(Instances!O153:Instances!O153),"diff", MAX(Instances!O153:Instances!O153)-MIN(Instances!O153:Instances!O153))</f>
        <v>0</v>
      </c>
      <c r="P153" s="1" cm="1">
        <f t="array" ref="P153">_xlfn.SWITCH($A$2,"average", AVERAGE(Instances!P153:Instances!P153),"median", MEDIAN(Instances!P153:Instances!P153),"min", MIN(Instances!P153:Instances!P153),"max", MAX(Instances!P153:Instances!P153),"diff", MAX(Instances!P153:Instances!P153)-MIN(Instances!P153:Instances!P153))</f>
        <v>0</v>
      </c>
      <c r="Q153" s="1" cm="1">
        <f t="array" ref="Q153">_xlfn.SWITCH($A$2,"average", AVERAGE(Instances!Q153:Instances!Q153),"median", MEDIAN(Instances!Q153:Instances!Q153),"min", MIN(Instances!Q153:Instances!Q153),"max", MAX(Instances!Q153:Instances!Q153),"diff", MAX(Instances!Q153:Instances!Q153)-MIN(Instances!Q153:Instances!Q153))</f>
        <v>0</v>
      </c>
      <c r="R153" s="1">
        <f>MIN($B153,$D153,$F153,$H153,$J153,$L153,$N153,$P153)</f>
        <v>0</v>
      </c>
      <c r="S153" s="1">
        <f>MIN($C153,$E153,$G153,$I153,$K153,$M153,$O153,$Q153)</f>
        <v>0</v>
      </c>
      <c r="T153" s="1">
        <f>MEDIAN($B153,$D153,$F153,$H153,$J153,$L153,$N153,$P153)</f>
        <v>0</v>
      </c>
      <c r="U153" s="1">
        <f>MEDIAN($C153,$E153,$G153,$I153,$K153,$M153,$O153,$Q153)</f>
        <v>0</v>
      </c>
      <c r="V153" s="1">
        <f>MAX($B153,$D153,$F153,$H153,$J153,$L153,$N153,$P153)</f>
        <v>0</v>
      </c>
      <c r="W153" s="1">
        <f>MAX($C153,$E153,$G153,$I153,$K153,$M153,$O153,$Q153)</f>
        <v>0</v>
      </c>
    </row>
    <row r="154" spans="1:23">
      <c r="A154" s="1" t="s">
        <v>151</v>
      </c>
      <c r="B154" s="1"/>
      <c r="C154" s="1"/>
      <c r="D154" s="1" cm="1">
        <f t="array" ref="D154">_xlfn.SWITCH($A$2,"average", AVERAGE(Instances!D154:Instances!D154),"median", MEDIAN(Instances!D154:Instances!D154),"min", MIN(Instances!D154:Instances!D154),"max", MAX(Instances!D154:Instances!D154),"diff", MAX(Instances!D154:Instances!D154)-MIN(Instances!D154:Instances!D154))</f>
        <v>0</v>
      </c>
      <c r="E154" s="1" cm="1">
        <f t="array" ref="E154">_xlfn.SWITCH($A$2,"average", AVERAGE(Instances!E154:Instances!E154),"median", MEDIAN(Instances!E154:Instances!E154),"min", MIN(Instances!E154:Instances!E154),"max", MAX(Instances!E154:Instances!E154),"diff", MAX(Instances!E154:Instances!E154)-MIN(Instances!E154:Instances!E154))</f>
        <v>0</v>
      </c>
      <c r="F154" s="1" cm="1">
        <f t="array" ref="F154">_xlfn.SWITCH($A$2,"average", AVERAGE(Instances!F154:Instances!F154),"median", MEDIAN(Instances!F154:Instances!F154),"min", MIN(Instances!F154:Instances!F154),"max", MAX(Instances!F154:Instances!F154),"diff", MAX(Instances!F154:Instances!F154)-MIN(Instances!F154:Instances!F154))</f>
        <v>0</v>
      </c>
      <c r="G154" s="1" cm="1">
        <f t="array" ref="G154">_xlfn.SWITCH($A$2,"average", AVERAGE(Instances!G154:Instances!G154),"median", MEDIAN(Instances!G154:Instances!G154),"min", MIN(Instances!G154:Instances!G154),"max", MAX(Instances!G154:Instances!G154),"diff", MAX(Instances!G154:Instances!G154)-MIN(Instances!G154:Instances!G154))</f>
        <v>0</v>
      </c>
      <c r="H154" s="1"/>
      <c r="I154" s="1"/>
      <c r="J154" s="1" cm="1">
        <f t="array" ref="J154">_xlfn.SWITCH($A$2,"average", AVERAGE(Instances!J154:Instances!J154),"median", MEDIAN(Instances!J154:Instances!J154),"min", MIN(Instances!J154:Instances!J154),"max", MAX(Instances!J154:Instances!J154),"diff", MAX(Instances!J154:Instances!J154)-MIN(Instances!J154:Instances!J154))</f>
        <v>0</v>
      </c>
      <c r="K154" s="1" cm="1">
        <f t="array" ref="K154">_xlfn.SWITCH($A$2,"average", AVERAGE(Instances!K154:Instances!K154),"median", MEDIAN(Instances!K154:Instances!K154),"min", MIN(Instances!K154:Instances!K154),"max", MAX(Instances!K154:Instances!K154),"diff", MAX(Instances!K154:Instances!K154)-MIN(Instances!K154:Instances!K154))</f>
        <v>0</v>
      </c>
      <c r="L154" s="1" cm="1">
        <f t="array" ref="L154">_xlfn.SWITCH($A$2,"average", AVERAGE(Instances!L154:Instances!L154),"median", MEDIAN(Instances!L154:Instances!L154),"min", MIN(Instances!L154:Instances!L154),"max", MAX(Instances!L154:Instances!L154),"diff", MAX(Instances!L154:Instances!L154)-MIN(Instances!L154:Instances!L154))</f>
        <v>0</v>
      </c>
      <c r="M154" s="1" cm="1">
        <f t="array" ref="M154">_xlfn.SWITCH($A$2,"average", AVERAGE(Instances!M154:Instances!M154),"median", MEDIAN(Instances!M154:Instances!M154),"min", MIN(Instances!M154:Instances!M154),"max", MAX(Instances!M154:Instances!M154),"diff", MAX(Instances!M154:Instances!M154)-MIN(Instances!M154:Instances!M154))</f>
        <v>0</v>
      </c>
      <c r="N154" s="1" cm="1">
        <f t="array" ref="N154">_xlfn.SWITCH($A$2,"average", AVERAGE(Instances!N154:Instances!N154),"median", MEDIAN(Instances!N154:Instances!N154),"min", MIN(Instances!N154:Instances!N154),"max", MAX(Instances!N154:Instances!N154),"diff", MAX(Instances!N154:Instances!N154)-MIN(Instances!N154:Instances!N154))</f>
        <v>0</v>
      </c>
      <c r="O154" s="1" cm="1">
        <f t="array" ref="O154">_xlfn.SWITCH($A$2,"average", AVERAGE(Instances!O154:Instances!O154),"median", MEDIAN(Instances!O154:Instances!O154),"min", MIN(Instances!O154:Instances!O154),"max", MAX(Instances!O154:Instances!O154),"diff", MAX(Instances!O154:Instances!O154)-MIN(Instances!O154:Instances!O154))</f>
        <v>0</v>
      </c>
      <c r="P154" s="1" cm="1">
        <f t="array" ref="P154">_xlfn.SWITCH($A$2,"average", AVERAGE(Instances!P154:Instances!P154),"median", MEDIAN(Instances!P154:Instances!P154),"min", MIN(Instances!P154:Instances!P154),"max", MAX(Instances!P154:Instances!P154),"diff", MAX(Instances!P154:Instances!P154)-MIN(Instances!P154:Instances!P154))</f>
        <v>0</v>
      </c>
      <c r="Q154" s="1" cm="1">
        <f t="array" ref="Q154">_xlfn.SWITCH($A$2,"average", AVERAGE(Instances!Q154:Instances!Q154),"median", MEDIAN(Instances!Q154:Instances!Q154),"min", MIN(Instances!Q154:Instances!Q154),"max", MAX(Instances!Q154:Instances!Q154),"diff", MAX(Instances!Q154:Instances!Q154)-MIN(Instances!Q154:Instances!Q154))</f>
        <v>0</v>
      </c>
      <c r="R154" s="1">
        <f>MIN($B154,$D154,$F154,$H154,$J154,$L154,$N154,$P154)</f>
        <v>0</v>
      </c>
      <c r="S154" s="1">
        <f>MIN($C154,$E154,$G154,$I154,$K154,$M154,$O154,$Q154)</f>
        <v>0</v>
      </c>
      <c r="T154" s="1">
        <f>MEDIAN($B154,$D154,$F154,$H154,$J154,$L154,$N154,$P154)</f>
        <v>0</v>
      </c>
      <c r="U154" s="1">
        <f>MEDIAN($C154,$E154,$G154,$I154,$K154,$M154,$O154,$Q154)</f>
        <v>0</v>
      </c>
      <c r="V154" s="1">
        <f>MAX($B154,$D154,$F154,$H154,$J154,$L154,$N154,$P154)</f>
        <v>0</v>
      </c>
      <c r="W154" s="1">
        <f>MAX($C154,$E154,$G154,$I154,$K154,$M154,$O154,$Q154)</f>
        <v>0</v>
      </c>
    </row>
    <row r="155" spans="1:23">
      <c r="A155" s="1" t="s">
        <v>152</v>
      </c>
      <c r="B155" s="1"/>
      <c r="C155" s="1"/>
      <c r="D155" s="1" cm="1">
        <f t="array" ref="D155">_xlfn.SWITCH($A$2,"average", AVERAGE(Instances!D155:Instances!D155),"median", MEDIAN(Instances!D155:Instances!D155),"min", MIN(Instances!D155:Instances!D155),"max", MAX(Instances!D155:Instances!D155),"diff", MAX(Instances!D155:Instances!D155)-MIN(Instances!D155:Instances!D155))</f>
        <v>0</v>
      </c>
      <c r="E155" s="1" cm="1">
        <f t="array" ref="E155">_xlfn.SWITCH($A$2,"average", AVERAGE(Instances!E155:Instances!E155),"median", MEDIAN(Instances!E155:Instances!E155),"min", MIN(Instances!E155:Instances!E155),"max", MAX(Instances!E155:Instances!E155),"diff", MAX(Instances!E155:Instances!E155)-MIN(Instances!E155:Instances!E155))</f>
        <v>0</v>
      </c>
      <c r="F155" s="1" cm="1">
        <f t="array" ref="F155">_xlfn.SWITCH($A$2,"average", AVERAGE(Instances!F155:Instances!F155),"median", MEDIAN(Instances!F155:Instances!F155),"min", MIN(Instances!F155:Instances!F155),"max", MAX(Instances!F155:Instances!F155),"diff", MAX(Instances!F155:Instances!F155)-MIN(Instances!F155:Instances!F155))</f>
        <v>0</v>
      </c>
      <c r="G155" s="1" cm="1">
        <f t="array" ref="G155">_xlfn.SWITCH($A$2,"average", AVERAGE(Instances!G155:Instances!G155),"median", MEDIAN(Instances!G155:Instances!G155),"min", MIN(Instances!G155:Instances!G155),"max", MAX(Instances!G155:Instances!G155),"diff", MAX(Instances!G155:Instances!G155)-MIN(Instances!G155:Instances!G155))</f>
        <v>0</v>
      </c>
      <c r="H155" s="1"/>
      <c r="I155" s="1"/>
      <c r="J155" s="1" cm="1">
        <f t="array" ref="J155">_xlfn.SWITCH($A$2,"average", AVERAGE(Instances!J155:Instances!J155),"median", MEDIAN(Instances!J155:Instances!J155),"min", MIN(Instances!J155:Instances!J155),"max", MAX(Instances!J155:Instances!J155),"diff", MAX(Instances!J155:Instances!J155)-MIN(Instances!J155:Instances!J155))</f>
        <v>0</v>
      </c>
      <c r="K155" s="1" cm="1">
        <f t="array" ref="K155">_xlfn.SWITCH($A$2,"average", AVERAGE(Instances!K155:Instances!K155),"median", MEDIAN(Instances!K155:Instances!K155),"min", MIN(Instances!K155:Instances!K155),"max", MAX(Instances!K155:Instances!K155),"diff", MAX(Instances!K155:Instances!K155)-MIN(Instances!K155:Instances!K155))</f>
        <v>0</v>
      </c>
      <c r="L155" s="1" cm="1">
        <f t="array" ref="L155">_xlfn.SWITCH($A$2,"average", AVERAGE(Instances!L155:Instances!L155),"median", MEDIAN(Instances!L155:Instances!L155),"min", MIN(Instances!L155:Instances!L155),"max", MAX(Instances!L155:Instances!L155),"diff", MAX(Instances!L155:Instances!L155)-MIN(Instances!L155:Instances!L155))</f>
        <v>0</v>
      </c>
      <c r="M155" s="1" cm="1">
        <f t="array" ref="M155">_xlfn.SWITCH($A$2,"average", AVERAGE(Instances!M155:Instances!M155),"median", MEDIAN(Instances!M155:Instances!M155),"min", MIN(Instances!M155:Instances!M155),"max", MAX(Instances!M155:Instances!M155),"diff", MAX(Instances!M155:Instances!M155)-MIN(Instances!M155:Instances!M155))</f>
        <v>0</v>
      </c>
      <c r="N155" s="1" cm="1">
        <f t="array" ref="N155">_xlfn.SWITCH($A$2,"average", AVERAGE(Instances!N155:Instances!N155),"median", MEDIAN(Instances!N155:Instances!N155),"min", MIN(Instances!N155:Instances!N155),"max", MAX(Instances!N155:Instances!N155),"diff", MAX(Instances!N155:Instances!N155)-MIN(Instances!N155:Instances!N155))</f>
        <v>0</v>
      </c>
      <c r="O155" s="1" cm="1">
        <f t="array" ref="O155">_xlfn.SWITCH($A$2,"average", AVERAGE(Instances!O155:Instances!O155),"median", MEDIAN(Instances!O155:Instances!O155),"min", MIN(Instances!O155:Instances!O155),"max", MAX(Instances!O155:Instances!O155),"diff", MAX(Instances!O155:Instances!O155)-MIN(Instances!O155:Instances!O155))</f>
        <v>0</v>
      </c>
      <c r="P155" s="1" cm="1">
        <f t="array" ref="P155">_xlfn.SWITCH($A$2,"average", AVERAGE(Instances!P155:Instances!P155),"median", MEDIAN(Instances!P155:Instances!P155),"min", MIN(Instances!P155:Instances!P155),"max", MAX(Instances!P155:Instances!P155),"diff", MAX(Instances!P155:Instances!P155)-MIN(Instances!P155:Instances!P155))</f>
        <v>0</v>
      </c>
      <c r="Q155" s="1" cm="1">
        <f t="array" ref="Q155">_xlfn.SWITCH($A$2,"average", AVERAGE(Instances!Q155:Instances!Q155),"median", MEDIAN(Instances!Q155:Instances!Q155),"min", MIN(Instances!Q155:Instances!Q155),"max", MAX(Instances!Q155:Instances!Q155),"diff", MAX(Instances!Q155:Instances!Q155)-MIN(Instances!Q155:Instances!Q155))</f>
        <v>0</v>
      </c>
      <c r="R155" s="1">
        <f>MIN($B155,$D155,$F155,$H155,$J155,$L155,$N155,$P155)</f>
        <v>0</v>
      </c>
      <c r="S155" s="1">
        <f>MIN($C155,$E155,$G155,$I155,$K155,$M155,$O155,$Q155)</f>
        <v>0</v>
      </c>
      <c r="T155" s="1">
        <f>MEDIAN($B155,$D155,$F155,$H155,$J155,$L155,$N155,$P155)</f>
        <v>0</v>
      </c>
      <c r="U155" s="1">
        <f>MEDIAN($C155,$E155,$G155,$I155,$K155,$M155,$O155,$Q155)</f>
        <v>0</v>
      </c>
      <c r="V155" s="1">
        <f>MAX($B155,$D155,$F155,$H155,$J155,$L155,$N155,$P155)</f>
        <v>0</v>
      </c>
      <c r="W155" s="1">
        <f>MAX($C155,$E155,$G155,$I155,$K155,$M155,$O155,$Q155)</f>
        <v>0</v>
      </c>
    </row>
    <row r="156" spans="1:23">
      <c r="A156" s="1" t="s">
        <v>153</v>
      </c>
      <c r="B156" s="1"/>
      <c r="C156" s="1"/>
      <c r="D156" s="1" cm="1">
        <f t="array" ref="D156">_xlfn.SWITCH($A$2,"average", AVERAGE(Instances!D156:Instances!D156),"median", MEDIAN(Instances!D156:Instances!D156),"min", MIN(Instances!D156:Instances!D156),"max", MAX(Instances!D156:Instances!D156),"diff", MAX(Instances!D156:Instances!D156)-MIN(Instances!D156:Instances!D156))</f>
        <v>0</v>
      </c>
      <c r="E156" s="1" cm="1">
        <f t="array" ref="E156">_xlfn.SWITCH($A$2,"average", AVERAGE(Instances!E156:Instances!E156),"median", MEDIAN(Instances!E156:Instances!E156),"min", MIN(Instances!E156:Instances!E156),"max", MAX(Instances!E156:Instances!E156),"diff", MAX(Instances!E156:Instances!E156)-MIN(Instances!E156:Instances!E156))</f>
        <v>0</v>
      </c>
      <c r="F156" s="1" cm="1">
        <f t="array" ref="F156">_xlfn.SWITCH($A$2,"average", AVERAGE(Instances!F156:Instances!F156),"median", MEDIAN(Instances!F156:Instances!F156),"min", MIN(Instances!F156:Instances!F156),"max", MAX(Instances!F156:Instances!F156),"diff", MAX(Instances!F156:Instances!F156)-MIN(Instances!F156:Instances!F156))</f>
        <v>0</v>
      </c>
      <c r="G156" s="1" cm="1">
        <f t="array" ref="G156">_xlfn.SWITCH($A$2,"average", AVERAGE(Instances!G156:Instances!G156),"median", MEDIAN(Instances!G156:Instances!G156),"min", MIN(Instances!G156:Instances!G156),"max", MAX(Instances!G156:Instances!G156),"diff", MAX(Instances!G156:Instances!G156)-MIN(Instances!G156:Instances!G156))</f>
        <v>0</v>
      </c>
      <c r="H156" s="1"/>
      <c r="I156" s="1"/>
      <c r="J156" s="1" cm="1">
        <f t="array" ref="J156">_xlfn.SWITCH($A$2,"average", AVERAGE(Instances!J156:Instances!J156),"median", MEDIAN(Instances!J156:Instances!J156),"min", MIN(Instances!J156:Instances!J156),"max", MAX(Instances!J156:Instances!J156),"diff", MAX(Instances!J156:Instances!J156)-MIN(Instances!J156:Instances!J156))</f>
        <v>0</v>
      </c>
      <c r="K156" s="1" cm="1">
        <f t="array" ref="K156">_xlfn.SWITCH($A$2,"average", AVERAGE(Instances!K156:Instances!K156),"median", MEDIAN(Instances!K156:Instances!K156),"min", MIN(Instances!K156:Instances!K156),"max", MAX(Instances!K156:Instances!K156),"diff", MAX(Instances!K156:Instances!K156)-MIN(Instances!K156:Instances!K156))</f>
        <v>0</v>
      </c>
      <c r="L156" s="1" cm="1">
        <f t="array" ref="L156">_xlfn.SWITCH($A$2,"average", AVERAGE(Instances!L156:Instances!L156),"median", MEDIAN(Instances!L156:Instances!L156),"min", MIN(Instances!L156:Instances!L156),"max", MAX(Instances!L156:Instances!L156),"diff", MAX(Instances!L156:Instances!L156)-MIN(Instances!L156:Instances!L156))</f>
        <v>0</v>
      </c>
      <c r="M156" s="1" cm="1">
        <f t="array" ref="M156">_xlfn.SWITCH($A$2,"average", AVERAGE(Instances!M156:Instances!M156),"median", MEDIAN(Instances!M156:Instances!M156),"min", MIN(Instances!M156:Instances!M156),"max", MAX(Instances!M156:Instances!M156),"diff", MAX(Instances!M156:Instances!M156)-MIN(Instances!M156:Instances!M156))</f>
        <v>0</v>
      </c>
      <c r="N156" s="1" cm="1">
        <f t="array" ref="N156">_xlfn.SWITCH($A$2,"average", AVERAGE(Instances!N156:Instances!N156),"median", MEDIAN(Instances!N156:Instances!N156),"min", MIN(Instances!N156:Instances!N156),"max", MAX(Instances!N156:Instances!N156),"diff", MAX(Instances!N156:Instances!N156)-MIN(Instances!N156:Instances!N156))</f>
        <v>0</v>
      </c>
      <c r="O156" s="1" cm="1">
        <f t="array" ref="O156">_xlfn.SWITCH($A$2,"average", AVERAGE(Instances!O156:Instances!O156),"median", MEDIAN(Instances!O156:Instances!O156),"min", MIN(Instances!O156:Instances!O156),"max", MAX(Instances!O156:Instances!O156),"diff", MAX(Instances!O156:Instances!O156)-MIN(Instances!O156:Instances!O156))</f>
        <v>0</v>
      </c>
      <c r="P156" s="1" cm="1">
        <f t="array" ref="P156">_xlfn.SWITCH($A$2,"average", AVERAGE(Instances!P156:Instances!P156),"median", MEDIAN(Instances!P156:Instances!P156),"min", MIN(Instances!P156:Instances!P156),"max", MAX(Instances!P156:Instances!P156),"diff", MAX(Instances!P156:Instances!P156)-MIN(Instances!P156:Instances!P156))</f>
        <v>0</v>
      </c>
      <c r="Q156" s="1" cm="1">
        <f t="array" ref="Q156">_xlfn.SWITCH($A$2,"average", AVERAGE(Instances!Q156:Instances!Q156),"median", MEDIAN(Instances!Q156:Instances!Q156),"min", MIN(Instances!Q156:Instances!Q156),"max", MAX(Instances!Q156:Instances!Q156),"diff", MAX(Instances!Q156:Instances!Q156)-MIN(Instances!Q156:Instances!Q156))</f>
        <v>0</v>
      </c>
      <c r="R156" s="1">
        <f>MIN($B156,$D156,$F156,$H156,$J156,$L156,$N156,$P156)</f>
        <v>0</v>
      </c>
      <c r="S156" s="1">
        <f>MIN($C156,$E156,$G156,$I156,$K156,$M156,$O156,$Q156)</f>
        <v>0</v>
      </c>
      <c r="T156" s="1">
        <f>MEDIAN($B156,$D156,$F156,$H156,$J156,$L156,$N156,$P156)</f>
        <v>0</v>
      </c>
      <c r="U156" s="1">
        <f>MEDIAN($C156,$E156,$G156,$I156,$K156,$M156,$O156,$Q156)</f>
        <v>0</v>
      </c>
      <c r="V156" s="1">
        <f>MAX($B156,$D156,$F156,$H156,$J156,$L156,$N156,$P156)</f>
        <v>0</v>
      </c>
      <c r="W156" s="1">
        <f>MAX($C156,$E156,$G156,$I156,$K156,$M156,$O156,$Q156)</f>
        <v>0</v>
      </c>
    </row>
    <row r="157" spans="1:23">
      <c r="A157" s="1" t="s">
        <v>154</v>
      </c>
      <c r="B157" s="1"/>
      <c r="C157" s="1"/>
      <c r="D157" s="1" cm="1">
        <f t="array" ref="D157">_xlfn.SWITCH($A$2,"average", AVERAGE(Instances!D157:Instances!D157),"median", MEDIAN(Instances!D157:Instances!D157),"min", MIN(Instances!D157:Instances!D157),"max", MAX(Instances!D157:Instances!D157),"diff", MAX(Instances!D157:Instances!D157)-MIN(Instances!D157:Instances!D157))</f>
        <v>0</v>
      </c>
      <c r="E157" s="1" cm="1">
        <f t="array" ref="E157">_xlfn.SWITCH($A$2,"average", AVERAGE(Instances!E157:Instances!E157),"median", MEDIAN(Instances!E157:Instances!E157),"min", MIN(Instances!E157:Instances!E157),"max", MAX(Instances!E157:Instances!E157),"diff", MAX(Instances!E157:Instances!E157)-MIN(Instances!E157:Instances!E157))</f>
        <v>0</v>
      </c>
      <c r="F157" s="1" cm="1">
        <f t="array" ref="F157">_xlfn.SWITCH($A$2,"average", AVERAGE(Instances!F157:Instances!F157),"median", MEDIAN(Instances!F157:Instances!F157),"min", MIN(Instances!F157:Instances!F157),"max", MAX(Instances!F157:Instances!F157),"diff", MAX(Instances!F157:Instances!F157)-MIN(Instances!F157:Instances!F157))</f>
        <v>0</v>
      </c>
      <c r="G157" s="1" cm="1">
        <f t="array" ref="G157">_xlfn.SWITCH($A$2,"average", AVERAGE(Instances!G157:Instances!G157),"median", MEDIAN(Instances!G157:Instances!G157),"min", MIN(Instances!G157:Instances!G157),"max", MAX(Instances!G157:Instances!G157),"diff", MAX(Instances!G157:Instances!G157)-MIN(Instances!G157:Instances!G157))</f>
        <v>0</v>
      </c>
      <c r="H157" s="1"/>
      <c r="I157" s="1"/>
      <c r="J157" s="1" cm="1">
        <f t="array" ref="J157">_xlfn.SWITCH($A$2,"average", AVERAGE(Instances!J157:Instances!J157),"median", MEDIAN(Instances!J157:Instances!J157),"min", MIN(Instances!J157:Instances!J157),"max", MAX(Instances!J157:Instances!J157),"diff", MAX(Instances!J157:Instances!J157)-MIN(Instances!J157:Instances!J157))</f>
        <v>0</v>
      </c>
      <c r="K157" s="1" cm="1">
        <f t="array" ref="K157">_xlfn.SWITCH($A$2,"average", AVERAGE(Instances!K157:Instances!K157),"median", MEDIAN(Instances!K157:Instances!K157),"min", MIN(Instances!K157:Instances!K157),"max", MAX(Instances!K157:Instances!K157),"diff", MAX(Instances!K157:Instances!K157)-MIN(Instances!K157:Instances!K157))</f>
        <v>0</v>
      </c>
      <c r="L157" s="1" cm="1">
        <f t="array" ref="L157">_xlfn.SWITCH($A$2,"average", AVERAGE(Instances!L157:Instances!L157),"median", MEDIAN(Instances!L157:Instances!L157),"min", MIN(Instances!L157:Instances!L157),"max", MAX(Instances!L157:Instances!L157),"diff", MAX(Instances!L157:Instances!L157)-MIN(Instances!L157:Instances!L157))</f>
        <v>0</v>
      </c>
      <c r="M157" s="1" cm="1">
        <f t="array" ref="M157">_xlfn.SWITCH($A$2,"average", AVERAGE(Instances!M157:Instances!M157),"median", MEDIAN(Instances!M157:Instances!M157),"min", MIN(Instances!M157:Instances!M157),"max", MAX(Instances!M157:Instances!M157),"diff", MAX(Instances!M157:Instances!M157)-MIN(Instances!M157:Instances!M157))</f>
        <v>0</v>
      </c>
      <c r="N157" s="1" cm="1">
        <f t="array" ref="N157">_xlfn.SWITCH($A$2,"average", AVERAGE(Instances!N157:Instances!N157),"median", MEDIAN(Instances!N157:Instances!N157),"min", MIN(Instances!N157:Instances!N157),"max", MAX(Instances!N157:Instances!N157),"diff", MAX(Instances!N157:Instances!N157)-MIN(Instances!N157:Instances!N157))</f>
        <v>0</v>
      </c>
      <c r="O157" s="1" cm="1">
        <f t="array" ref="O157">_xlfn.SWITCH($A$2,"average", AVERAGE(Instances!O157:Instances!O157),"median", MEDIAN(Instances!O157:Instances!O157),"min", MIN(Instances!O157:Instances!O157),"max", MAX(Instances!O157:Instances!O157),"diff", MAX(Instances!O157:Instances!O157)-MIN(Instances!O157:Instances!O157))</f>
        <v>0</v>
      </c>
      <c r="P157" s="1" cm="1">
        <f t="array" ref="P157">_xlfn.SWITCH($A$2,"average", AVERAGE(Instances!P157:Instances!P157),"median", MEDIAN(Instances!P157:Instances!P157),"min", MIN(Instances!P157:Instances!P157),"max", MAX(Instances!P157:Instances!P157),"diff", MAX(Instances!P157:Instances!P157)-MIN(Instances!P157:Instances!P157))</f>
        <v>0</v>
      </c>
      <c r="Q157" s="1" cm="1">
        <f t="array" ref="Q157">_xlfn.SWITCH($A$2,"average", AVERAGE(Instances!Q157:Instances!Q157),"median", MEDIAN(Instances!Q157:Instances!Q157),"min", MIN(Instances!Q157:Instances!Q157),"max", MAX(Instances!Q157:Instances!Q157),"diff", MAX(Instances!Q157:Instances!Q157)-MIN(Instances!Q157:Instances!Q157))</f>
        <v>0</v>
      </c>
      <c r="R157" s="1">
        <f>MIN($B157,$D157,$F157,$H157,$J157,$L157,$N157,$P157)</f>
        <v>0</v>
      </c>
      <c r="S157" s="1">
        <f>MIN($C157,$E157,$G157,$I157,$K157,$M157,$O157,$Q157)</f>
        <v>0</v>
      </c>
      <c r="T157" s="1">
        <f>MEDIAN($B157,$D157,$F157,$H157,$J157,$L157,$N157,$P157)</f>
        <v>0</v>
      </c>
      <c r="U157" s="1">
        <f>MEDIAN($C157,$E157,$G157,$I157,$K157,$M157,$O157,$Q157)</f>
        <v>0</v>
      </c>
      <c r="V157" s="1">
        <f>MAX($B157,$D157,$F157,$H157,$J157,$L157,$N157,$P157)</f>
        <v>0</v>
      </c>
      <c r="W157" s="1">
        <f>MAX($C157,$E157,$G157,$I157,$K157,$M157,$O157,$Q157)</f>
        <v>0</v>
      </c>
    </row>
    <row r="158" spans="1:23">
      <c r="A158" s="1" t="s">
        <v>155</v>
      </c>
      <c r="B158" s="1"/>
      <c r="C158" s="1"/>
      <c r="D158" s="1" cm="1">
        <f t="array" ref="D158">_xlfn.SWITCH($A$2,"average", AVERAGE(Instances!D158:Instances!D158),"median", MEDIAN(Instances!D158:Instances!D158),"min", MIN(Instances!D158:Instances!D158),"max", MAX(Instances!D158:Instances!D158),"diff", MAX(Instances!D158:Instances!D158)-MIN(Instances!D158:Instances!D158))</f>
        <v>0</v>
      </c>
      <c r="E158" s="1" cm="1">
        <f t="array" ref="E158">_xlfn.SWITCH($A$2,"average", AVERAGE(Instances!E158:Instances!E158),"median", MEDIAN(Instances!E158:Instances!E158),"min", MIN(Instances!E158:Instances!E158),"max", MAX(Instances!E158:Instances!E158),"diff", MAX(Instances!E158:Instances!E158)-MIN(Instances!E158:Instances!E158))</f>
        <v>0</v>
      </c>
      <c r="F158" s="1" cm="1">
        <f t="array" ref="F158">_xlfn.SWITCH($A$2,"average", AVERAGE(Instances!F158:Instances!F158),"median", MEDIAN(Instances!F158:Instances!F158),"min", MIN(Instances!F158:Instances!F158),"max", MAX(Instances!F158:Instances!F158),"diff", MAX(Instances!F158:Instances!F158)-MIN(Instances!F158:Instances!F158))</f>
        <v>0</v>
      </c>
      <c r="G158" s="1" cm="1">
        <f t="array" ref="G158">_xlfn.SWITCH($A$2,"average", AVERAGE(Instances!G158:Instances!G158),"median", MEDIAN(Instances!G158:Instances!G158),"min", MIN(Instances!G158:Instances!G158),"max", MAX(Instances!G158:Instances!G158),"diff", MAX(Instances!G158:Instances!G158)-MIN(Instances!G158:Instances!G158))</f>
        <v>0</v>
      </c>
      <c r="H158" s="1"/>
      <c r="I158" s="1"/>
      <c r="J158" s="1" cm="1">
        <f t="array" ref="J158">_xlfn.SWITCH($A$2,"average", AVERAGE(Instances!J158:Instances!J158),"median", MEDIAN(Instances!J158:Instances!J158),"min", MIN(Instances!J158:Instances!J158),"max", MAX(Instances!J158:Instances!J158),"diff", MAX(Instances!J158:Instances!J158)-MIN(Instances!J158:Instances!J158))</f>
        <v>0</v>
      </c>
      <c r="K158" s="1" cm="1">
        <f t="array" ref="K158">_xlfn.SWITCH($A$2,"average", AVERAGE(Instances!K158:Instances!K158),"median", MEDIAN(Instances!K158:Instances!K158),"min", MIN(Instances!K158:Instances!K158),"max", MAX(Instances!K158:Instances!K158),"diff", MAX(Instances!K158:Instances!K158)-MIN(Instances!K158:Instances!K158))</f>
        <v>0</v>
      </c>
      <c r="L158" s="1" cm="1">
        <f t="array" ref="L158">_xlfn.SWITCH($A$2,"average", AVERAGE(Instances!L158:Instances!L158),"median", MEDIAN(Instances!L158:Instances!L158),"min", MIN(Instances!L158:Instances!L158),"max", MAX(Instances!L158:Instances!L158),"diff", MAX(Instances!L158:Instances!L158)-MIN(Instances!L158:Instances!L158))</f>
        <v>0</v>
      </c>
      <c r="M158" s="1" cm="1">
        <f t="array" ref="M158">_xlfn.SWITCH($A$2,"average", AVERAGE(Instances!M158:Instances!M158),"median", MEDIAN(Instances!M158:Instances!M158),"min", MIN(Instances!M158:Instances!M158),"max", MAX(Instances!M158:Instances!M158),"diff", MAX(Instances!M158:Instances!M158)-MIN(Instances!M158:Instances!M158))</f>
        <v>0</v>
      </c>
      <c r="N158" s="1" cm="1">
        <f t="array" ref="N158">_xlfn.SWITCH($A$2,"average", AVERAGE(Instances!N158:Instances!N158),"median", MEDIAN(Instances!N158:Instances!N158),"min", MIN(Instances!N158:Instances!N158),"max", MAX(Instances!N158:Instances!N158),"diff", MAX(Instances!N158:Instances!N158)-MIN(Instances!N158:Instances!N158))</f>
        <v>0</v>
      </c>
      <c r="O158" s="1" cm="1">
        <f t="array" ref="O158">_xlfn.SWITCH($A$2,"average", AVERAGE(Instances!O158:Instances!O158),"median", MEDIAN(Instances!O158:Instances!O158),"min", MIN(Instances!O158:Instances!O158),"max", MAX(Instances!O158:Instances!O158),"diff", MAX(Instances!O158:Instances!O158)-MIN(Instances!O158:Instances!O158))</f>
        <v>0</v>
      </c>
      <c r="P158" s="1" cm="1">
        <f t="array" ref="P158">_xlfn.SWITCH($A$2,"average", AVERAGE(Instances!P158:Instances!P158),"median", MEDIAN(Instances!P158:Instances!P158),"min", MIN(Instances!P158:Instances!P158),"max", MAX(Instances!P158:Instances!P158),"diff", MAX(Instances!P158:Instances!P158)-MIN(Instances!P158:Instances!P158))</f>
        <v>0</v>
      </c>
      <c r="Q158" s="1" cm="1">
        <f t="array" ref="Q158">_xlfn.SWITCH($A$2,"average", AVERAGE(Instances!Q158:Instances!Q158),"median", MEDIAN(Instances!Q158:Instances!Q158),"min", MIN(Instances!Q158:Instances!Q158),"max", MAX(Instances!Q158:Instances!Q158),"diff", MAX(Instances!Q158:Instances!Q158)-MIN(Instances!Q158:Instances!Q158))</f>
        <v>0</v>
      </c>
      <c r="R158" s="1">
        <f>MIN($B158,$D158,$F158,$H158,$J158,$L158,$N158,$P158)</f>
        <v>0</v>
      </c>
      <c r="S158" s="1">
        <f>MIN($C158,$E158,$G158,$I158,$K158,$M158,$O158,$Q158)</f>
        <v>0</v>
      </c>
      <c r="T158" s="1">
        <f>MEDIAN($B158,$D158,$F158,$H158,$J158,$L158,$N158,$P158)</f>
        <v>0</v>
      </c>
      <c r="U158" s="1">
        <f>MEDIAN($C158,$E158,$G158,$I158,$K158,$M158,$O158,$Q158)</f>
        <v>0</v>
      </c>
      <c r="V158" s="1">
        <f>MAX($B158,$D158,$F158,$H158,$J158,$L158,$N158,$P158)</f>
        <v>0</v>
      </c>
      <c r="W158" s="1">
        <f>MAX($C158,$E158,$G158,$I158,$K158,$M158,$O158,$Q158)</f>
        <v>0</v>
      </c>
    </row>
    <row r="159" spans="1:23">
      <c r="A159" s="1" t="s">
        <v>156</v>
      </c>
      <c r="B159" s="1"/>
      <c r="C159" s="1"/>
      <c r="D159" s="1" cm="1">
        <f t="array" ref="D159">_xlfn.SWITCH($A$2,"average", AVERAGE(Instances!D159:Instances!D159),"median", MEDIAN(Instances!D159:Instances!D159),"min", MIN(Instances!D159:Instances!D159),"max", MAX(Instances!D159:Instances!D159),"diff", MAX(Instances!D159:Instances!D159)-MIN(Instances!D159:Instances!D159))</f>
        <v>0</v>
      </c>
      <c r="E159" s="1" cm="1">
        <f t="array" ref="E159">_xlfn.SWITCH($A$2,"average", AVERAGE(Instances!E159:Instances!E159),"median", MEDIAN(Instances!E159:Instances!E159),"min", MIN(Instances!E159:Instances!E159),"max", MAX(Instances!E159:Instances!E159),"diff", MAX(Instances!E159:Instances!E159)-MIN(Instances!E159:Instances!E159))</f>
        <v>0</v>
      </c>
      <c r="F159" s="1" cm="1">
        <f t="array" ref="F159">_xlfn.SWITCH($A$2,"average", AVERAGE(Instances!F159:Instances!F159),"median", MEDIAN(Instances!F159:Instances!F159),"min", MIN(Instances!F159:Instances!F159),"max", MAX(Instances!F159:Instances!F159),"diff", MAX(Instances!F159:Instances!F159)-MIN(Instances!F159:Instances!F159))</f>
        <v>0</v>
      </c>
      <c r="G159" s="1" cm="1">
        <f t="array" ref="G159">_xlfn.SWITCH($A$2,"average", AVERAGE(Instances!G159:Instances!G159),"median", MEDIAN(Instances!G159:Instances!G159),"min", MIN(Instances!G159:Instances!G159),"max", MAX(Instances!G159:Instances!G159),"diff", MAX(Instances!G159:Instances!G159)-MIN(Instances!G159:Instances!G159))</f>
        <v>0</v>
      </c>
      <c r="H159" s="1"/>
      <c r="I159" s="1"/>
      <c r="J159" s="1" cm="1">
        <f t="array" ref="J159">_xlfn.SWITCH($A$2,"average", AVERAGE(Instances!J159:Instances!J159),"median", MEDIAN(Instances!J159:Instances!J159),"min", MIN(Instances!J159:Instances!J159),"max", MAX(Instances!J159:Instances!J159),"diff", MAX(Instances!J159:Instances!J159)-MIN(Instances!J159:Instances!J159))</f>
        <v>0</v>
      </c>
      <c r="K159" s="1" cm="1">
        <f t="array" ref="K159">_xlfn.SWITCH($A$2,"average", AVERAGE(Instances!K159:Instances!K159),"median", MEDIAN(Instances!K159:Instances!K159),"min", MIN(Instances!K159:Instances!K159),"max", MAX(Instances!K159:Instances!K159),"diff", MAX(Instances!K159:Instances!K159)-MIN(Instances!K159:Instances!K159))</f>
        <v>0</v>
      </c>
      <c r="L159" s="1" cm="1">
        <f t="array" ref="L159">_xlfn.SWITCH($A$2,"average", AVERAGE(Instances!L159:Instances!L159),"median", MEDIAN(Instances!L159:Instances!L159),"min", MIN(Instances!L159:Instances!L159),"max", MAX(Instances!L159:Instances!L159),"diff", MAX(Instances!L159:Instances!L159)-MIN(Instances!L159:Instances!L159))</f>
        <v>0</v>
      </c>
      <c r="M159" s="1" cm="1">
        <f t="array" ref="M159">_xlfn.SWITCH($A$2,"average", AVERAGE(Instances!M159:Instances!M159),"median", MEDIAN(Instances!M159:Instances!M159),"min", MIN(Instances!M159:Instances!M159),"max", MAX(Instances!M159:Instances!M159),"diff", MAX(Instances!M159:Instances!M159)-MIN(Instances!M159:Instances!M159))</f>
        <v>0</v>
      </c>
      <c r="N159" s="1" cm="1">
        <f t="array" ref="N159">_xlfn.SWITCH($A$2,"average", AVERAGE(Instances!N159:Instances!N159),"median", MEDIAN(Instances!N159:Instances!N159),"min", MIN(Instances!N159:Instances!N159),"max", MAX(Instances!N159:Instances!N159),"diff", MAX(Instances!N159:Instances!N159)-MIN(Instances!N159:Instances!N159))</f>
        <v>0</v>
      </c>
      <c r="O159" s="1" cm="1">
        <f t="array" ref="O159">_xlfn.SWITCH($A$2,"average", AVERAGE(Instances!O159:Instances!O159),"median", MEDIAN(Instances!O159:Instances!O159),"min", MIN(Instances!O159:Instances!O159),"max", MAX(Instances!O159:Instances!O159),"diff", MAX(Instances!O159:Instances!O159)-MIN(Instances!O159:Instances!O159))</f>
        <v>0</v>
      </c>
      <c r="P159" s="1" cm="1">
        <f t="array" ref="P159">_xlfn.SWITCH($A$2,"average", AVERAGE(Instances!P159:Instances!P159),"median", MEDIAN(Instances!P159:Instances!P159),"min", MIN(Instances!P159:Instances!P159),"max", MAX(Instances!P159:Instances!P159),"diff", MAX(Instances!P159:Instances!P159)-MIN(Instances!P159:Instances!P159))</f>
        <v>0</v>
      </c>
      <c r="Q159" s="1" cm="1">
        <f t="array" ref="Q159">_xlfn.SWITCH($A$2,"average", AVERAGE(Instances!Q159:Instances!Q159),"median", MEDIAN(Instances!Q159:Instances!Q159),"min", MIN(Instances!Q159:Instances!Q159),"max", MAX(Instances!Q159:Instances!Q159),"diff", MAX(Instances!Q159:Instances!Q159)-MIN(Instances!Q159:Instances!Q159))</f>
        <v>0</v>
      </c>
      <c r="R159" s="1">
        <f>MIN($B159,$D159,$F159,$H159,$J159,$L159,$N159,$P159)</f>
        <v>0</v>
      </c>
      <c r="S159" s="1">
        <f>MIN($C159,$E159,$G159,$I159,$K159,$M159,$O159,$Q159)</f>
        <v>0</v>
      </c>
      <c r="T159" s="1">
        <f>MEDIAN($B159,$D159,$F159,$H159,$J159,$L159,$N159,$P159)</f>
        <v>0</v>
      </c>
      <c r="U159" s="1">
        <f>MEDIAN($C159,$E159,$G159,$I159,$K159,$M159,$O159,$Q159)</f>
        <v>0</v>
      </c>
      <c r="V159" s="1">
        <f>MAX($B159,$D159,$F159,$H159,$J159,$L159,$N159,$P159)</f>
        <v>0</v>
      </c>
      <c r="W159" s="1">
        <f>MAX($C159,$E159,$G159,$I159,$K159,$M159,$O159,$Q159)</f>
        <v>0</v>
      </c>
    </row>
    <row r="160" spans="1:23">
      <c r="A160" s="1" t="s">
        <v>157</v>
      </c>
      <c r="B160" s="1"/>
      <c r="C160" s="1"/>
      <c r="D160" s="1" cm="1">
        <f t="array" ref="D160">_xlfn.SWITCH($A$2,"average", AVERAGE(Instances!D160:Instances!D160),"median", MEDIAN(Instances!D160:Instances!D160),"min", MIN(Instances!D160:Instances!D160),"max", MAX(Instances!D160:Instances!D160),"diff", MAX(Instances!D160:Instances!D160)-MIN(Instances!D160:Instances!D160))</f>
        <v>0</v>
      </c>
      <c r="E160" s="1" cm="1">
        <f t="array" ref="E160">_xlfn.SWITCH($A$2,"average", AVERAGE(Instances!E160:Instances!E160),"median", MEDIAN(Instances!E160:Instances!E160),"min", MIN(Instances!E160:Instances!E160),"max", MAX(Instances!E160:Instances!E160),"diff", MAX(Instances!E160:Instances!E160)-MIN(Instances!E160:Instances!E160))</f>
        <v>0</v>
      </c>
      <c r="F160" s="1" cm="1">
        <f t="array" ref="F160">_xlfn.SWITCH($A$2,"average", AVERAGE(Instances!F160:Instances!F160),"median", MEDIAN(Instances!F160:Instances!F160),"min", MIN(Instances!F160:Instances!F160),"max", MAX(Instances!F160:Instances!F160),"diff", MAX(Instances!F160:Instances!F160)-MIN(Instances!F160:Instances!F160))</f>
        <v>0</v>
      </c>
      <c r="G160" s="1" cm="1">
        <f t="array" ref="G160">_xlfn.SWITCH($A$2,"average", AVERAGE(Instances!G160:Instances!G160),"median", MEDIAN(Instances!G160:Instances!G160),"min", MIN(Instances!G160:Instances!G160),"max", MAX(Instances!G160:Instances!G160),"diff", MAX(Instances!G160:Instances!G160)-MIN(Instances!G160:Instances!G160))</f>
        <v>0</v>
      </c>
      <c r="H160" s="1"/>
      <c r="I160" s="1"/>
      <c r="J160" s="1" cm="1">
        <f t="array" ref="J160">_xlfn.SWITCH($A$2,"average", AVERAGE(Instances!J160:Instances!J160),"median", MEDIAN(Instances!J160:Instances!J160),"min", MIN(Instances!J160:Instances!J160),"max", MAX(Instances!J160:Instances!J160),"diff", MAX(Instances!J160:Instances!J160)-MIN(Instances!J160:Instances!J160))</f>
        <v>0</v>
      </c>
      <c r="K160" s="1" cm="1">
        <f t="array" ref="K160">_xlfn.SWITCH($A$2,"average", AVERAGE(Instances!K160:Instances!K160),"median", MEDIAN(Instances!K160:Instances!K160),"min", MIN(Instances!K160:Instances!K160),"max", MAX(Instances!K160:Instances!K160),"diff", MAX(Instances!K160:Instances!K160)-MIN(Instances!K160:Instances!K160))</f>
        <v>0</v>
      </c>
      <c r="L160" s="1" cm="1">
        <f t="array" ref="L160">_xlfn.SWITCH($A$2,"average", AVERAGE(Instances!L160:Instances!L160),"median", MEDIAN(Instances!L160:Instances!L160),"min", MIN(Instances!L160:Instances!L160),"max", MAX(Instances!L160:Instances!L160),"diff", MAX(Instances!L160:Instances!L160)-MIN(Instances!L160:Instances!L160))</f>
        <v>0</v>
      </c>
      <c r="M160" s="1" cm="1">
        <f t="array" ref="M160">_xlfn.SWITCH($A$2,"average", AVERAGE(Instances!M160:Instances!M160),"median", MEDIAN(Instances!M160:Instances!M160),"min", MIN(Instances!M160:Instances!M160),"max", MAX(Instances!M160:Instances!M160),"diff", MAX(Instances!M160:Instances!M160)-MIN(Instances!M160:Instances!M160))</f>
        <v>0</v>
      </c>
      <c r="N160" s="1" cm="1">
        <f t="array" ref="N160">_xlfn.SWITCH($A$2,"average", AVERAGE(Instances!N160:Instances!N160),"median", MEDIAN(Instances!N160:Instances!N160),"min", MIN(Instances!N160:Instances!N160),"max", MAX(Instances!N160:Instances!N160),"diff", MAX(Instances!N160:Instances!N160)-MIN(Instances!N160:Instances!N160))</f>
        <v>0</v>
      </c>
      <c r="O160" s="1" cm="1">
        <f t="array" ref="O160">_xlfn.SWITCH($A$2,"average", AVERAGE(Instances!O160:Instances!O160),"median", MEDIAN(Instances!O160:Instances!O160),"min", MIN(Instances!O160:Instances!O160),"max", MAX(Instances!O160:Instances!O160),"diff", MAX(Instances!O160:Instances!O160)-MIN(Instances!O160:Instances!O160))</f>
        <v>0</v>
      </c>
      <c r="P160" s="1" cm="1">
        <f t="array" ref="P160">_xlfn.SWITCH($A$2,"average", AVERAGE(Instances!P160:Instances!P160),"median", MEDIAN(Instances!P160:Instances!P160),"min", MIN(Instances!P160:Instances!P160),"max", MAX(Instances!P160:Instances!P160),"diff", MAX(Instances!P160:Instances!P160)-MIN(Instances!P160:Instances!P160))</f>
        <v>0</v>
      </c>
      <c r="Q160" s="1" cm="1">
        <f t="array" ref="Q160">_xlfn.SWITCH($A$2,"average", AVERAGE(Instances!Q160:Instances!Q160),"median", MEDIAN(Instances!Q160:Instances!Q160),"min", MIN(Instances!Q160:Instances!Q160),"max", MAX(Instances!Q160:Instances!Q160),"diff", MAX(Instances!Q160:Instances!Q160)-MIN(Instances!Q160:Instances!Q160))</f>
        <v>0</v>
      </c>
      <c r="R160" s="1">
        <f>MIN($B160,$D160,$F160,$H160,$J160,$L160,$N160,$P160)</f>
        <v>0</v>
      </c>
      <c r="S160" s="1">
        <f>MIN($C160,$E160,$G160,$I160,$K160,$M160,$O160,$Q160)</f>
        <v>0</v>
      </c>
      <c r="T160" s="1">
        <f>MEDIAN($B160,$D160,$F160,$H160,$J160,$L160,$N160,$P160)</f>
        <v>0</v>
      </c>
      <c r="U160" s="1">
        <f>MEDIAN($C160,$E160,$G160,$I160,$K160,$M160,$O160,$Q160)</f>
        <v>0</v>
      </c>
      <c r="V160" s="1">
        <f>MAX($B160,$D160,$F160,$H160,$J160,$L160,$N160,$P160)</f>
        <v>0</v>
      </c>
      <c r="W160" s="1">
        <f>MAX($C160,$E160,$G160,$I160,$K160,$M160,$O160,$Q160)</f>
        <v>0</v>
      </c>
    </row>
    <row r="161" spans="1:23">
      <c r="A161" s="1" t="s">
        <v>158</v>
      </c>
      <c r="B161" s="1"/>
      <c r="C161" s="1"/>
      <c r="D161" s="1" cm="1">
        <f t="array" ref="D161">_xlfn.SWITCH($A$2,"average", AVERAGE(Instances!D161:Instances!D161),"median", MEDIAN(Instances!D161:Instances!D161),"min", MIN(Instances!D161:Instances!D161),"max", MAX(Instances!D161:Instances!D161),"diff", MAX(Instances!D161:Instances!D161)-MIN(Instances!D161:Instances!D161))</f>
        <v>0</v>
      </c>
      <c r="E161" s="1" cm="1">
        <f t="array" ref="E161">_xlfn.SWITCH($A$2,"average", AVERAGE(Instances!E161:Instances!E161),"median", MEDIAN(Instances!E161:Instances!E161),"min", MIN(Instances!E161:Instances!E161),"max", MAX(Instances!E161:Instances!E161),"diff", MAX(Instances!E161:Instances!E161)-MIN(Instances!E161:Instances!E161))</f>
        <v>0</v>
      </c>
      <c r="F161" s="1" cm="1">
        <f t="array" ref="F161">_xlfn.SWITCH($A$2,"average", AVERAGE(Instances!F161:Instances!F161),"median", MEDIAN(Instances!F161:Instances!F161),"min", MIN(Instances!F161:Instances!F161),"max", MAX(Instances!F161:Instances!F161),"diff", MAX(Instances!F161:Instances!F161)-MIN(Instances!F161:Instances!F161))</f>
        <v>0</v>
      </c>
      <c r="G161" s="1" cm="1">
        <f t="array" ref="G161">_xlfn.SWITCH($A$2,"average", AVERAGE(Instances!G161:Instances!G161),"median", MEDIAN(Instances!G161:Instances!G161),"min", MIN(Instances!G161:Instances!G161),"max", MAX(Instances!G161:Instances!G161),"diff", MAX(Instances!G161:Instances!G161)-MIN(Instances!G161:Instances!G161))</f>
        <v>0</v>
      </c>
      <c r="H161" s="1"/>
      <c r="I161" s="1"/>
      <c r="J161" s="1" cm="1">
        <f t="array" ref="J161">_xlfn.SWITCH($A$2,"average", AVERAGE(Instances!J161:Instances!J161),"median", MEDIAN(Instances!J161:Instances!J161),"min", MIN(Instances!J161:Instances!J161),"max", MAX(Instances!J161:Instances!J161),"diff", MAX(Instances!J161:Instances!J161)-MIN(Instances!J161:Instances!J161))</f>
        <v>0</v>
      </c>
      <c r="K161" s="1" cm="1">
        <f t="array" ref="K161">_xlfn.SWITCH($A$2,"average", AVERAGE(Instances!K161:Instances!K161),"median", MEDIAN(Instances!K161:Instances!K161),"min", MIN(Instances!K161:Instances!K161),"max", MAX(Instances!K161:Instances!K161),"diff", MAX(Instances!K161:Instances!K161)-MIN(Instances!K161:Instances!K161))</f>
        <v>0</v>
      </c>
      <c r="L161" s="1" cm="1">
        <f t="array" ref="L161">_xlfn.SWITCH($A$2,"average", AVERAGE(Instances!L161:Instances!L161),"median", MEDIAN(Instances!L161:Instances!L161),"min", MIN(Instances!L161:Instances!L161),"max", MAX(Instances!L161:Instances!L161),"diff", MAX(Instances!L161:Instances!L161)-MIN(Instances!L161:Instances!L161))</f>
        <v>0</v>
      </c>
      <c r="M161" s="1" cm="1">
        <f t="array" ref="M161">_xlfn.SWITCH($A$2,"average", AVERAGE(Instances!M161:Instances!M161),"median", MEDIAN(Instances!M161:Instances!M161),"min", MIN(Instances!M161:Instances!M161),"max", MAX(Instances!M161:Instances!M161),"diff", MAX(Instances!M161:Instances!M161)-MIN(Instances!M161:Instances!M161))</f>
        <v>0</v>
      </c>
      <c r="N161" s="1" cm="1">
        <f t="array" ref="N161">_xlfn.SWITCH($A$2,"average", AVERAGE(Instances!N161:Instances!N161),"median", MEDIAN(Instances!N161:Instances!N161),"min", MIN(Instances!N161:Instances!N161),"max", MAX(Instances!N161:Instances!N161),"diff", MAX(Instances!N161:Instances!N161)-MIN(Instances!N161:Instances!N161))</f>
        <v>0</v>
      </c>
      <c r="O161" s="1" cm="1">
        <f t="array" ref="O161">_xlfn.SWITCH($A$2,"average", AVERAGE(Instances!O161:Instances!O161),"median", MEDIAN(Instances!O161:Instances!O161),"min", MIN(Instances!O161:Instances!O161),"max", MAX(Instances!O161:Instances!O161),"diff", MAX(Instances!O161:Instances!O161)-MIN(Instances!O161:Instances!O161))</f>
        <v>0</v>
      </c>
      <c r="P161" s="1" cm="1">
        <f t="array" ref="P161">_xlfn.SWITCH($A$2,"average", AVERAGE(Instances!P161:Instances!P161),"median", MEDIAN(Instances!P161:Instances!P161),"min", MIN(Instances!P161:Instances!P161),"max", MAX(Instances!P161:Instances!P161),"diff", MAX(Instances!P161:Instances!P161)-MIN(Instances!P161:Instances!P161))</f>
        <v>0</v>
      </c>
      <c r="Q161" s="1" cm="1">
        <f t="array" ref="Q161">_xlfn.SWITCH($A$2,"average", AVERAGE(Instances!Q161:Instances!Q161),"median", MEDIAN(Instances!Q161:Instances!Q161),"min", MIN(Instances!Q161:Instances!Q161),"max", MAX(Instances!Q161:Instances!Q161),"diff", MAX(Instances!Q161:Instances!Q161)-MIN(Instances!Q161:Instances!Q161))</f>
        <v>0</v>
      </c>
      <c r="R161" s="1">
        <f>MIN($B161,$D161,$F161,$H161,$J161,$L161,$N161,$P161)</f>
        <v>0</v>
      </c>
      <c r="S161" s="1">
        <f>MIN($C161,$E161,$G161,$I161,$K161,$M161,$O161,$Q161)</f>
        <v>0</v>
      </c>
      <c r="T161" s="1">
        <f>MEDIAN($B161,$D161,$F161,$H161,$J161,$L161,$N161,$P161)</f>
        <v>0</v>
      </c>
      <c r="U161" s="1">
        <f>MEDIAN($C161,$E161,$G161,$I161,$K161,$M161,$O161,$Q161)</f>
        <v>0</v>
      </c>
      <c r="V161" s="1">
        <f>MAX($B161,$D161,$F161,$H161,$J161,$L161,$N161,$P161)</f>
        <v>0</v>
      </c>
      <c r="W161" s="1">
        <f>MAX($C161,$E161,$G161,$I161,$K161,$M161,$O161,$Q161)</f>
        <v>0</v>
      </c>
    </row>
    <row r="162" spans="1:23">
      <c r="A162" s="1" t="s">
        <v>159</v>
      </c>
      <c r="B162" s="1"/>
      <c r="C162" s="1"/>
      <c r="D162" s="1" cm="1">
        <f t="array" ref="D162">_xlfn.SWITCH($A$2,"average", AVERAGE(Instances!D162:Instances!D162),"median", MEDIAN(Instances!D162:Instances!D162),"min", MIN(Instances!D162:Instances!D162),"max", MAX(Instances!D162:Instances!D162),"diff", MAX(Instances!D162:Instances!D162)-MIN(Instances!D162:Instances!D162))</f>
        <v>0</v>
      </c>
      <c r="E162" s="1" cm="1">
        <f t="array" ref="E162">_xlfn.SWITCH($A$2,"average", AVERAGE(Instances!E162:Instances!E162),"median", MEDIAN(Instances!E162:Instances!E162),"min", MIN(Instances!E162:Instances!E162),"max", MAX(Instances!E162:Instances!E162),"diff", MAX(Instances!E162:Instances!E162)-MIN(Instances!E162:Instances!E162))</f>
        <v>0</v>
      </c>
      <c r="F162" s="1" cm="1">
        <f t="array" ref="F162">_xlfn.SWITCH($A$2,"average", AVERAGE(Instances!F162:Instances!F162),"median", MEDIAN(Instances!F162:Instances!F162),"min", MIN(Instances!F162:Instances!F162),"max", MAX(Instances!F162:Instances!F162),"diff", MAX(Instances!F162:Instances!F162)-MIN(Instances!F162:Instances!F162))</f>
        <v>0</v>
      </c>
      <c r="G162" s="1" cm="1">
        <f t="array" ref="G162">_xlfn.SWITCH($A$2,"average", AVERAGE(Instances!G162:Instances!G162),"median", MEDIAN(Instances!G162:Instances!G162),"min", MIN(Instances!G162:Instances!G162),"max", MAX(Instances!G162:Instances!G162),"diff", MAX(Instances!G162:Instances!G162)-MIN(Instances!G162:Instances!G162))</f>
        <v>0</v>
      </c>
      <c r="H162" s="1"/>
      <c r="I162" s="1"/>
      <c r="J162" s="1" cm="1">
        <f t="array" ref="J162">_xlfn.SWITCH($A$2,"average", AVERAGE(Instances!J162:Instances!J162),"median", MEDIAN(Instances!J162:Instances!J162),"min", MIN(Instances!J162:Instances!J162),"max", MAX(Instances!J162:Instances!J162),"diff", MAX(Instances!J162:Instances!J162)-MIN(Instances!J162:Instances!J162))</f>
        <v>0</v>
      </c>
      <c r="K162" s="1" cm="1">
        <f t="array" ref="K162">_xlfn.SWITCH($A$2,"average", AVERAGE(Instances!K162:Instances!K162),"median", MEDIAN(Instances!K162:Instances!K162),"min", MIN(Instances!K162:Instances!K162),"max", MAX(Instances!K162:Instances!K162),"diff", MAX(Instances!K162:Instances!K162)-MIN(Instances!K162:Instances!K162))</f>
        <v>0</v>
      </c>
      <c r="L162" s="1" cm="1">
        <f t="array" ref="L162">_xlfn.SWITCH($A$2,"average", AVERAGE(Instances!L162:Instances!L162),"median", MEDIAN(Instances!L162:Instances!L162),"min", MIN(Instances!L162:Instances!L162),"max", MAX(Instances!L162:Instances!L162),"diff", MAX(Instances!L162:Instances!L162)-MIN(Instances!L162:Instances!L162))</f>
        <v>0</v>
      </c>
      <c r="M162" s="1" cm="1">
        <f t="array" ref="M162">_xlfn.SWITCH($A$2,"average", AVERAGE(Instances!M162:Instances!M162),"median", MEDIAN(Instances!M162:Instances!M162),"min", MIN(Instances!M162:Instances!M162),"max", MAX(Instances!M162:Instances!M162),"diff", MAX(Instances!M162:Instances!M162)-MIN(Instances!M162:Instances!M162))</f>
        <v>0</v>
      </c>
      <c r="N162" s="1" cm="1">
        <f t="array" ref="N162">_xlfn.SWITCH($A$2,"average", AVERAGE(Instances!N162:Instances!N162),"median", MEDIAN(Instances!N162:Instances!N162),"min", MIN(Instances!N162:Instances!N162),"max", MAX(Instances!N162:Instances!N162),"diff", MAX(Instances!N162:Instances!N162)-MIN(Instances!N162:Instances!N162))</f>
        <v>0</v>
      </c>
      <c r="O162" s="1" cm="1">
        <f t="array" ref="O162">_xlfn.SWITCH($A$2,"average", AVERAGE(Instances!O162:Instances!O162),"median", MEDIAN(Instances!O162:Instances!O162),"min", MIN(Instances!O162:Instances!O162),"max", MAX(Instances!O162:Instances!O162),"diff", MAX(Instances!O162:Instances!O162)-MIN(Instances!O162:Instances!O162))</f>
        <v>0</v>
      </c>
      <c r="P162" s="1" cm="1">
        <f t="array" ref="P162">_xlfn.SWITCH($A$2,"average", AVERAGE(Instances!P162:Instances!P162),"median", MEDIAN(Instances!P162:Instances!P162),"min", MIN(Instances!P162:Instances!P162),"max", MAX(Instances!P162:Instances!P162),"diff", MAX(Instances!P162:Instances!P162)-MIN(Instances!P162:Instances!P162))</f>
        <v>0</v>
      </c>
      <c r="Q162" s="1" cm="1">
        <f t="array" ref="Q162">_xlfn.SWITCH($A$2,"average", AVERAGE(Instances!Q162:Instances!Q162),"median", MEDIAN(Instances!Q162:Instances!Q162),"min", MIN(Instances!Q162:Instances!Q162),"max", MAX(Instances!Q162:Instances!Q162),"diff", MAX(Instances!Q162:Instances!Q162)-MIN(Instances!Q162:Instances!Q162))</f>
        <v>0</v>
      </c>
      <c r="R162" s="1">
        <f>MIN($B162,$D162,$F162,$H162,$J162,$L162,$N162,$P162)</f>
        <v>0</v>
      </c>
      <c r="S162" s="1">
        <f>MIN($C162,$E162,$G162,$I162,$K162,$M162,$O162,$Q162)</f>
        <v>0</v>
      </c>
      <c r="T162" s="1">
        <f>MEDIAN($B162,$D162,$F162,$H162,$J162,$L162,$N162,$P162)</f>
        <v>0</v>
      </c>
      <c r="U162" s="1">
        <f>MEDIAN($C162,$E162,$G162,$I162,$K162,$M162,$O162,$Q162)</f>
        <v>0</v>
      </c>
      <c r="V162" s="1">
        <f>MAX($B162,$D162,$F162,$H162,$J162,$L162,$N162,$P162)</f>
        <v>0</v>
      </c>
      <c r="W162" s="1">
        <f>MAX($C162,$E162,$G162,$I162,$K162,$M162,$O162,$Q162)</f>
        <v>0</v>
      </c>
    </row>
    <row r="163" spans="1:23">
      <c r="A163" s="1" t="s">
        <v>160</v>
      </c>
      <c r="B163" s="1"/>
      <c r="C163" s="1"/>
      <c r="D163" s="1" cm="1">
        <f t="array" ref="D163">_xlfn.SWITCH($A$2,"average", AVERAGE(Instances!D163:Instances!D163),"median", MEDIAN(Instances!D163:Instances!D163),"min", MIN(Instances!D163:Instances!D163),"max", MAX(Instances!D163:Instances!D163),"diff", MAX(Instances!D163:Instances!D163)-MIN(Instances!D163:Instances!D163))</f>
        <v>0</v>
      </c>
      <c r="E163" s="1" cm="1">
        <f t="array" ref="E163">_xlfn.SWITCH($A$2,"average", AVERAGE(Instances!E163:Instances!E163),"median", MEDIAN(Instances!E163:Instances!E163),"min", MIN(Instances!E163:Instances!E163),"max", MAX(Instances!E163:Instances!E163),"diff", MAX(Instances!E163:Instances!E163)-MIN(Instances!E163:Instances!E163))</f>
        <v>0</v>
      </c>
      <c r="F163" s="1" cm="1">
        <f t="array" ref="F163">_xlfn.SWITCH($A$2,"average", AVERAGE(Instances!F163:Instances!F163),"median", MEDIAN(Instances!F163:Instances!F163),"min", MIN(Instances!F163:Instances!F163),"max", MAX(Instances!F163:Instances!F163),"diff", MAX(Instances!F163:Instances!F163)-MIN(Instances!F163:Instances!F163))</f>
        <v>0</v>
      </c>
      <c r="G163" s="1" cm="1">
        <f t="array" ref="G163">_xlfn.SWITCH($A$2,"average", AVERAGE(Instances!G163:Instances!G163),"median", MEDIAN(Instances!G163:Instances!G163),"min", MIN(Instances!G163:Instances!G163),"max", MAX(Instances!G163:Instances!G163),"diff", MAX(Instances!G163:Instances!G163)-MIN(Instances!G163:Instances!G163))</f>
        <v>0</v>
      </c>
      <c r="H163" s="1"/>
      <c r="I163" s="1"/>
      <c r="J163" s="1" cm="1">
        <f t="array" ref="J163">_xlfn.SWITCH($A$2,"average", AVERAGE(Instances!J163:Instances!J163),"median", MEDIAN(Instances!J163:Instances!J163),"min", MIN(Instances!J163:Instances!J163),"max", MAX(Instances!J163:Instances!J163),"diff", MAX(Instances!J163:Instances!J163)-MIN(Instances!J163:Instances!J163))</f>
        <v>0</v>
      </c>
      <c r="K163" s="1" cm="1">
        <f t="array" ref="K163">_xlfn.SWITCH($A$2,"average", AVERAGE(Instances!K163:Instances!K163),"median", MEDIAN(Instances!K163:Instances!K163),"min", MIN(Instances!K163:Instances!K163),"max", MAX(Instances!K163:Instances!K163),"diff", MAX(Instances!K163:Instances!K163)-MIN(Instances!K163:Instances!K163))</f>
        <v>0</v>
      </c>
      <c r="L163" s="1" cm="1">
        <f t="array" ref="L163">_xlfn.SWITCH($A$2,"average", AVERAGE(Instances!L163:Instances!L163),"median", MEDIAN(Instances!L163:Instances!L163),"min", MIN(Instances!L163:Instances!L163),"max", MAX(Instances!L163:Instances!L163),"diff", MAX(Instances!L163:Instances!L163)-MIN(Instances!L163:Instances!L163))</f>
        <v>0</v>
      </c>
      <c r="M163" s="1" cm="1">
        <f t="array" ref="M163">_xlfn.SWITCH($A$2,"average", AVERAGE(Instances!M163:Instances!M163),"median", MEDIAN(Instances!M163:Instances!M163),"min", MIN(Instances!M163:Instances!M163),"max", MAX(Instances!M163:Instances!M163),"diff", MAX(Instances!M163:Instances!M163)-MIN(Instances!M163:Instances!M163))</f>
        <v>0</v>
      </c>
      <c r="N163" s="1" cm="1">
        <f t="array" ref="N163">_xlfn.SWITCH($A$2,"average", AVERAGE(Instances!N163:Instances!N163),"median", MEDIAN(Instances!N163:Instances!N163),"min", MIN(Instances!N163:Instances!N163),"max", MAX(Instances!N163:Instances!N163),"diff", MAX(Instances!N163:Instances!N163)-MIN(Instances!N163:Instances!N163))</f>
        <v>0</v>
      </c>
      <c r="O163" s="1" cm="1">
        <f t="array" ref="O163">_xlfn.SWITCH($A$2,"average", AVERAGE(Instances!O163:Instances!O163),"median", MEDIAN(Instances!O163:Instances!O163),"min", MIN(Instances!O163:Instances!O163),"max", MAX(Instances!O163:Instances!O163),"diff", MAX(Instances!O163:Instances!O163)-MIN(Instances!O163:Instances!O163))</f>
        <v>0</v>
      </c>
      <c r="P163" s="1" cm="1">
        <f t="array" ref="P163">_xlfn.SWITCH($A$2,"average", AVERAGE(Instances!P163:Instances!P163),"median", MEDIAN(Instances!P163:Instances!P163),"min", MIN(Instances!P163:Instances!P163),"max", MAX(Instances!P163:Instances!P163),"diff", MAX(Instances!P163:Instances!P163)-MIN(Instances!P163:Instances!P163))</f>
        <v>0</v>
      </c>
      <c r="Q163" s="1" cm="1">
        <f t="array" ref="Q163">_xlfn.SWITCH($A$2,"average", AVERAGE(Instances!Q163:Instances!Q163),"median", MEDIAN(Instances!Q163:Instances!Q163),"min", MIN(Instances!Q163:Instances!Q163),"max", MAX(Instances!Q163:Instances!Q163),"diff", MAX(Instances!Q163:Instances!Q163)-MIN(Instances!Q163:Instances!Q163))</f>
        <v>0</v>
      </c>
      <c r="R163" s="1">
        <f>MIN($B163,$D163,$F163,$H163,$J163,$L163,$N163,$P163)</f>
        <v>0</v>
      </c>
      <c r="S163" s="1">
        <f>MIN($C163,$E163,$G163,$I163,$K163,$M163,$O163,$Q163)</f>
        <v>0</v>
      </c>
      <c r="T163" s="1">
        <f>MEDIAN($B163,$D163,$F163,$H163,$J163,$L163,$N163,$P163)</f>
        <v>0</v>
      </c>
      <c r="U163" s="1">
        <f>MEDIAN($C163,$E163,$G163,$I163,$K163,$M163,$O163,$Q163)</f>
        <v>0</v>
      </c>
      <c r="V163" s="1">
        <f>MAX($B163,$D163,$F163,$H163,$J163,$L163,$N163,$P163)</f>
        <v>0</v>
      </c>
      <c r="W163" s="1">
        <f>MAX($C163,$E163,$G163,$I163,$K163,$M163,$O163,$Q163)</f>
        <v>0</v>
      </c>
    </row>
    <row r="164" spans="1:23">
      <c r="A164" s="1" t="s">
        <v>161</v>
      </c>
      <c r="B164" s="1"/>
      <c r="C164" s="1"/>
      <c r="D164" s="1" cm="1">
        <f t="array" ref="D164">_xlfn.SWITCH($A$2,"average", AVERAGE(Instances!D164:Instances!D164),"median", MEDIAN(Instances!D164:Instances!D164),"min", MIN(Instances!D164:Instances!D164),"max", MAX(Instances!D164:Instances!D164),"diff", MAX(Instances!D164:Instances!D164)-MIN(Instances!D164:Instances!D164))</f>
        <v>0</v>
      </c>
      <c r="E164" s="1" cm="1">
        <f t="array" ref="E164">_xlfn.SWITCH($A$2,"average", AVERAGE(Instances!E164:Instances!E164),"median", MEDIAN(Instances!E164:Instances!E164),"min", MIN(Instances!E164:Instances!E164),"max", MAX(Instances!E164:Instances!E164),"diff", MAX(Instances!E164:Instances!E164)-MIN(Instances!E164:Instances!E164))</f>
        <v>0</v>
      </c>
      <c r="F164" s="1" cm="1">
        <f t="array" ref="F164">_xlfn.SWITCH($A$2,"average", AVERAGE(Instances!F164:Instances!F164),"median", MEDIAN(Instances!F164:Instances!F164),"min", MIN(Instances!F164:Instances!F164),"max", MAX(Instances!F164:Instances!F164),"diff", MAX(Instances!F164:Instances!F164)-MIN(Instances!F164:Instances!F164))</f>
        <v>0</v>
      </c>
      <c r="G164" s="1" cm="1">
        <f t="array" ref="G164">_xlfn.SWITCH($A$2,"average", AVERAGE(Instances!G164:Instances!G164),"median", MEDIAN(Instances!G164:Instances!G164),"min", MIN(Instances!G164:Instances!G164),"max", MAX(Instances!G164:Instances!G164),"diff", MAX(Instances!G164:Instances!G164)-MIN(Instances!G164:Instances!G164))</f>
        <v>0</v>
      </c>
      <c r="H164" s="1"/>
      <c r="I164" s="1"/>
      <c r="J164" s="1" cm="1">
        <f t="array" ref="J164">_xlfn.SWITCH($A$2,"average", AVERAGE(Instances!J164:Instances!J164),"median", MEDIAN(Instances!J164:Instances!J164),"min", MIN(Instances!J164:Instances!J164),"max", MAX(Instances!J164:Instances!J164),"diff", MAX(Instances!J164:Instances!J164)-MIN(Instances!J164:Instances!J164))</f>
        <v>0</v>
      </c>
      <c r="K164" s="1" cm="1">
        <f t="array" ref="K164">_xlfn.SWITCH($A$2,"average", AVERAGE(Instances!K164:Instances!K164),"median", MEDIAN(Instances!K164:Instances!K164),"min", MIN(Instances!K164:Instances!K164),"max", MAX(Instances!K164:Instances!K164),"diff", MAX(Instances!K164:Instances!K164)-MIN(Instances!K164:Instances!K164))</f>
        <v>0</v>
      </c>
      <c r="L164" s="1" cm="1">
        <f t="array" ref="L164">_xlfn.SWITCH($A$2,"average", AVERAGE(Instances!L164:Instances!L164),"median", MEDIAN(Instances!L164:Instances!L164),"min", MIN(Instances!L164:Instances!L164),"max", MAX(Instances!L164:Instances!L164),"diff", MAX(Instances!L164:Instances!L164)-MIN(Instances!L164:Instances!L164))</f>
        <v>0</v>
      </c>
      <c r="M164" s="1" cm="1">
        <f t="array" ref="M164">_xlfn.SWITCH($A$2,"average", AVERAGE(Instances!M164:Instances!M164),"median", MEDIAN(Instances!M164:Instances!M164),"min", MIN(Instances!M164:Instances!M164),"max", MAX(Instances!M164:Instances!M164),"diff", MAX(Instances!M164:Instances!M164)-MIN(Instances!M164:Instances!M164))</f>
        <v>0</v>
      </c>
      <c r="N164" s="1" cm="1">
        <f t="array" ref="N164">_xlfn.SWITCH($A$2,"average", AVERAGE(Instances!N164:Instances!N164),"median", MEDIAN(Instances!N164:Instances!N164),"min", MIN(Instances!N164:Instances!N164),"max", MAX(Instances!N164:Instances!N164),"diff", MAX(Instances!N164:Instances!N164)-MIN(Instances!N164:Instances!N164))</f>
        <v>0</v>
      </c>
      <c r="O164" s="1" cm="1">
        <f t="array" ref="O164">_xlfn.SWITCH($A$2,"average", AVERAGE(Instances!O164:Instances!O164),"median", MEDIAN(Instances!O164:Instances!O164),"min", MIN(Instances!O164:Instances!O164),"max", MAX(Instances!O164:Instances!O164),"diff", MAX(Instances!O164:Instances!O164)-MIN(Instances!O164:Instances!O164))</f>
        <v>0</v>
      </c>
      <c r="P164" s="1" cm="1">
        <f t="array" ref="P164">_xlfn.SWITCH($A$2,"average", AVERAGE(Instances!P164:Instances!P164),"median", MEDIAN(Instances!P164:Instances!P164),"min", MIN(Instances!P164:Instances!P164),"max", MAX(Instances!P164:Instances!P164),"diff", MAX(Instances!P164:Instances!P164)-MIN(Instances!P164:Instances!P164))</f>
        <v>0</v>
      </c>
      <c r="Q164" s="1" cm="1">
        <f t="array" ref="Q164">_xlfn.SWITCH($A$2,"average", AVERAGE(Instances!Q164:Instances!Q164),"median", MEDIAN(Instances!Q164:Instances!Q164),"min", MIN(Instances!Q164:Instances!Q164),"max", MAX(Instances!Q164:Instances!Q164),"diff", MAX(Instances!Q164:Instances!Q164)-MIN(Instances!Q164:Instances!Q164))</f>
        <v>0</v>
      </c>
      <c r="R164" s="1">
        <f>MIN($B164,$D164,$F164,$H164,$J164,$L164,$N164,$P164)</f>
        <v>0</v>
      </c>
      <c r="S164" s="1">
        <f>MIN($C164,$E164,$G164,$I164,$K164,$M164,$O164,$Q164)</f>
        <v>0</v>
      </c>
      <c r="T164" s="1">
        <f>MEDIAN($B164,$D164,$F164,$H164,$J164,$L164,$N164,$P164)</f>
        <v>0</v>
      </c>
      <c r="U164" s="1">
        <f>MEDIAN($C164,$E164,$G164,$I164,$K164,$M164,$O164,$Q164)</f>
        <v>0</v>
      </c>
      <c r="V164" s="1">
        <f>MAX($B164,$D164,$F164,$H164,$J164,$L164,$N164,$P164)</f>
        <v>0</v>
      </c>
      <c r="W164" s="1">
        <f>MAX($C164,$E164,$G164,$I164,$K164,$M164,$O164,$Q164)</f>
        <v>0</v>
      </c>
    </row>
    <row r="165" spans="1:23">
      <c r="A165" s="1" t="s">
        <v>162</v>
      </c>
      <c r="B165" s="1"/>
      <c r="C165" s="1"/>
      <c r="D165" s="1" cm="1">
        <f t="array" ref="D165">_xlfn.SWITCH($A$2,"average", AVERAGE(Instances!D165:Instances!D165),"median", MEDIAN(Instances!D165:Instances!D165),"min", MIN(Instances!D165:Instances!D165),"max", MAX(Instances!D165:Instances!D165),"diff", MAX(Instances!D165:Instances!D165)-MIN(Instances!D165:Instances!D165))</f>
        <v>0</v>
      </c>
      <c r="E165" s="1" cm="1">
        <f t="array" ref="E165">_xlfn.SWITCH($A$2,"average", AVERAGE(Instances!E165:Instances!E165),"median", MEDIAN(Instances!E165:Instances!E165),"min", MIN(Instances!E165:Instances!E165),"max", MAX(Instances!E165:Instances!E165),"diff", MAX(Instances!E165:Instances!E165)-MIN(Instances!E165:Instances!E165))</f>
        <v>0</v>
      </c>
      <c r="F165" s="1" cm="1">
        <f t="array" ref="F165">_xlfn.SWITCH($A$2,"average", AVERAGE(Instances!F165:Instances!F165),"median", MEDIAN(Instances!F165:Instances!F165),"min", MIN(Instances!F165:Instances!F165),"max", MAX(Instances!F165:Instances!F165),"diff", MAX(Instances!F165:Instances!F165)-MIN(Instances!F165:Instances!F165))</f>
        <v>0</v>
      </c>
      <c r="G165" s="1" cm="1">
        <f t="array" ref="G165">_xlfn.SWITCH($A$2,"average", AVERAGE(Instances!G165:Instances!G165),"median", MEDIAN(Instances!G165:Instances!G165),"min", MIN(Instances!G165:Instances!G165),"max", MAX(Instances!G165:Instances!G165),"diff", MAX(Instances!G165:Instances!G165)-MIN(Instances!G165:Instances!G165))</f>
        <v>0</v>
      </c>
      <c r="H165" s="1"/>
      <c r="I165" s="1"/>
      <c r="J165" s="1" cm="1">
        <f t="array" ref="J165">_xlfn.SWITCH($A$2,"average", AVERAGE(Instances!J165:Instances!J165),"median", MEDIAN(Instances!J165:Instances!J165),"min", MIN(Instances!J165:Instances!J165),"max", MAX(Instances!J165:Instances!J165),"diff", MAX(Instances!J165:Instances!J165)-MIN(Instances!J165:Instances!J165))</f>
        <v>0</v>
      </c>
      <c r="K165" s="1" cm="1">
        <f t="array" ref="K165">_xlfn.SWITCH($A$2,"average", AVERAGE(Instances!K165:Instances!K165),"median", MEDIAN(Instances!K165:Instances!K165),"min", MIN(Instances!K165:Instances!K165),"max", MAX(Instances!K165:Instances!K165),"diff", MAX(Instances!K165:Instances!K165)-MIN(Instances!K165:Instances!K165))</f>
        <v>0</v>
      </c>
      <c r="L165" s="1" cm="1">
        <f t="array" ref="L165">_xlfn.SWITCH($A$2,"average", AVERAGE(Instances!L165:Instances!L165),"median", MEDIAN(Instances!L165:Instances!L165),"min", MIN(Instances!L165:Instances!L165),"max", MAX(Instances!L165:Instances!L165),"diff", MAX(Instances!L165:Instances!L165)-MIN(Instances!L165:Instances!L165))</f>
        <v>0</v>
      </c>
      <c r="M165" s="1" cm="1">
        <f t="array" ref="M165">_xlfn.SWITCH($A$2,"average", AVERAGE(Instances!M165:Instances!M165),"median", MEDIAN(Instances!M165:Instances!M165),"min", MIN(Instances!M165:Instances!M165),"max", MAX(Instances!M165:Instances!M165),"diff", MAX(Instances!M165:Instances!M165)-MIN(Instances!M165:Instances!M165))</f>
        <v>0</v>
      </c>
      <c r="N165" s="1" cm="1">
        <f t="array" ref="N165">_xlfn.SWITCH($A$2,"average", AVERAGE(Instances!N165:Instances!N165),"median", MEDIAN(Instances!N165:Instances!N165),"min", MIN(Instances!N165:Instances!N165),"max", MAX(Instances!N165:Instances!N165),"diff", MAX(Instances!N165:Instances!N165)-MIN(Instances!N165:Instances!N165))</f>
        <v>0</v>
      </c>
      <c r="O165" s="1" cm="1">
        <f t="array" ref="O165">_xlfn.SWITCH($A$2,"average", AVERAGE(Instances!O165:Instances!O165),"median", MEDIAN(Instances!O165:Instances!O165),"min", MIN(Instances!O165:Instances!O165),"max", MAX(Instances!O165:Instances!O165),"diff", MAX(Instances!O165:Instances!O165)-MIN(Instances!O165:Instances!O165))</f>
        <v>0</v>
      </c>
      <c r="P165" s="1" cm="1">
        <f t="array" ref="P165">_xlfn.SWITCH($A$2,"average", AVERAGE(Instances!P165:Instances!P165),"median", MEDIAN(Instances!P165:Instances!P165),"min", MIN(Instances!P165:Instances!P165),"max", MAX(Instances!P165:Instances!P165),"diff", MAX(Instances!P165:Instances!P165)-MIN(Instances!P165:Instances!P165))</f>
        <v>0</v>
      </c>
      <c r="Q165" s="1" cm="1">
        <f t="array" ref="Q165">_xlfn.SWITCH($A$2,"average", AVERAGE(Instances!Q165:Instances!Q165),"median", MEDIAN(Instances!Q165:Instances!Q165),"min", MIN(Instances!Q165:Instances!Q165),"max", MAX(Instances!Q165:Instances!Q165),"diff", MAX(Instances!Q165:Instances!Q165)-MIN(Instances!Q165:Instances!Q165))</f>
        <v>0</v>
      </c>
      <c r="R165" s="1">
        <f>MIN($B165,$D165,$F165,$H165,$J165,$L165,$N165,$P165)</f>
        <v>0</v>
      </c>
      <c r="S165" s="1">
        <f>MIN($C165,$E165,$G165,$I165,$K165,$M165,$O165,$Q165)</f>
        <v>0</v>
      </c>
      <c r="T165" s="1">
        <f>MEDIAN($B165,$D165,$F165,$H165,$J165,$L165,$N165,$P165)</f>
        <v>0</v>
      </c>
      <c r="U165" s="1">
        <f>MEDIAN($C165,$E165,$G165,$I165,$K165,$M165,$O165,$Q165)</f>
        <v>0</v>
      </c>
      <c r="V165" s="1">
        <f>MAX($B165,$D165,$F165,$H165,$J165,$L165,$N165,$P165)</f>
        <v>0</v>
      </c>
      <c r="W165" s="1">
        <f>MAX($C165,$E165,$G165,$I165,$K165,$M165,$O165,$Q165)</f>
        <v>0</v>
      </c>
    </row>
    <row r="166" spans="1:23">
      <c r="A166" s="1" t="s">
        <v>163</v>
      </c>
      <c r="B166" s="1"/>
      <c r="C166" s="1"/>
      <c r="D166" s="1" cm="1">
        <f t="array" ref="D166">_xlfn.SWITCH($A$2,"average", AVERAGE(Instances!D166:Instances!D166),"median", MEDIAN(Instances!D166:Instances!D166),"min", MIN(Instances!D166:Instances!D166),"max", MAX(Instances!D166:Instances!D166),"diff", MAX(Instances!D166:Instances!D166)-MIN(Instances!D166:Instances!D166))</f>
        <v>0</v>
      </c>
      <c r="E166" s="1" cm="1">
        <f t="array" ref="E166">_xlfn.SWITCH($A$2,"average", AVERAGE(Instances!E166:Instances!E166),"median", MEDIAN(Instances!E166:Instances!E166),"min", MIN(Instances!E166:Instances!E166),"max", MAX(Instances!E166:Instances!E166),"diff", MAX(Instances!E166:Instances!E166)-MIN(Instances!E166:Instances!E166))</f>
        <v>0</v>
      </c>
      <c r="F166" s="1" cm="1">
        <f t="array" ref="F166">_xlfn.SWITCH($A$2,"average", AVERAGE(Instances!F166:Instances!F166),"median", MEDIAN(Instances!F166:Instances!F166),"min", MIN(Instances!F166:Instances!F166),"max", MAX(Instances!F166:Instances!F166),"diff", MAX(Instances!F166:Instances!F166)-MIN(Instances!F166:Instances!F166))</f>
        <v>0</v>
      </c>
      <c r="G166" s="1" cm="1">
        <f t="array" ref="G166">_xlfn.SWITCH($A$2,"average", AVERAGE(Instances!G166:Instances!G166),"median", MEDIAN(Instances!G166:Instances!G166),"min", MIN(Instances!G166:Instances!G166),"max", MAX(Instances!G166:Instances!G166),"diff", MAX(Instances!G166:Instances!G166)-MIN(Instances!G166:Instances!G166))</f>
        <v>0</v>
      </c>
      <c r="H166" s="1"/>
      <c r="I166" s="1"/>
      <c r="J166" s="1" cm="1">
        <f t="array" ref="J166">_xlfn.SWITCH($A$2,"average", AVERAGE(Instances!J166:Instances!J166),"median", MEDIAN(Instances!J166:Instances!J166),"min", MIN(Instances!J166:Instances!J166),"max", MAX(Instances!J166:Instances!J166),"diff", MAX(Instances!J166:Instances!J166)-MIN(Instances!J166:Instances!J166))</f>
        <v>0</v>
      </c>
      <c r="K166" s="1" cm="1">
        <f t="array" ref="K166">_xlfn.SWITCH($A$2,"average", AVERAGE(Instances!K166:Instances!K166),"median", MEDIAN(Instances!K166:Instances!K166),"min", MIN(Instances!K166:Instances!K166),"max", MAX(Instances!K166:Instances!K166),"diff", MAX(Instances!K166:Instances!K166)-MIN(Instances!K166:Instances!K166))</f>
        <v>0</v>
      </c>
      <c r="L166" s="1" cm="1">
        <f t="array" ref="L166">_xlfn.SWITCH($A$2,"average", AVERAGE(Instances!L166:Instances!L166),"median", MEDIAN(Instances!L166:Instances!L166),"min", MIN(Instances!L166:Instances!L166),"max", MAX(Instances!L166:Instances!L166),"diff", MAX(Instances!L166:Instances!L166)-MIN(Instances!L166:Instances!L166))</f>
        <v>0</v>
      </c>
      <c r="M166" s="1" cm="1">
        <f t="array" ref="M166">_xlfn.SWITCH($A$2,"average", AVERAGE(Instances!M166:Instances!M166),"median", MEDIAN(Instances!M166:Instances!M166),"min", MIN(Instances!M166:Instances!M166),"max", MAX(Instances!M166:Instances!M166),"diff", MAX(Instances!M166:Instances!M166)-MIN(Instances!M166:Instances!M166))</f>
        <v>0</v>
      </c>
      <c r="N166" s="1" cm="1">
        <f t="array" ref="N166">_xlfn.SWITCH($A$2,"average", AVERAGE(Instances!N166:Instances!N166),"median", MEDIAN(Instances!N166:Instances!N166),"min", MIN(Instances!N166:Instances!N166),"max", MAX(Instances!N166:Instances!N166),"diff", MAX(Instances!N166:Instances!N166)-MIN(Instances!N166:Instances!N166))</f>
        <v>0</v>
      </c>
      <c r="O166" s="1" cm="1">
        <f t="array" ref="O166">_xlfn.SWITCH($A$2,"average", AVERAGE(Instances!O166:Instances!O166),"median", MEDIAN(Instances!O166:Instances!O166),"min", MIN(Instances!O166:Instances!O166),"max", MAX(Instances!O166:Instances!O166),"diff", MAX(Instances!O166:Instances!O166)-MIN(Instances!O166:Instances!O166))</f>
        <v>0</v>
      </c>
      <c r="P166" s="1" cm="1">
        <f t="array" ref="P166">_xlfn.SWITCH($A$2,"average", AVERAGE(Instances!P166:Instances!P166),"median", MEDIAN(Instances!P166:Instances!P166),"min", MIN(Instances!P166:Instances!P166),"max", MAX(Instances!P166:Instances!P166),"diff", MAX(Instances!P166:Instances!P166)-MIN(Instances!P166:Instances!P166))</f>
        <v>0</v>
      </c>
      <c r="Q166" s="1" cm="1">
        <f t="array" ref="Q166">_xlfn.SWITCH($A$2,"average", AVERAGE(Instances!Q166:Instances!Q166),"median", MEDIAN(Instances!Q166:Instances!Q166),"min", MIN(Instances!Q166:Instances!Q166),"max", MAX(Instances!Q166:Instances!Q166),"diff", MAX(Instances!Q166:Instances!Q166)-MIN(Instances!Q166:Instances!Q166))</f>
        <v>0</v>
      </c>
      <c r="R166" s="1">
        <f>MIN($B166,$D166,$F166,$H166,$J166,$L166,$N166,$P166)</f>
        <v>0</v>
      </c>
      <c r="S166" s="1">
        <f>MIN($C166,$E166,$G166,$I166,$K166,$M166,$O166,$Q166)</f>
        <v>0</v>
      </c>
      <c r="T166" s="1">
        <f>MEDIAN($B166,$D166,$F166,$H166,$J166,$L166,$N166,$P166)</f>
        <v>0</v>
      </c>
      <c r="U166" s="1">
        <f>MEDIAN($C166,$E166,$G166,$I166,$K166,$M166,$O166,$Q166)</f>
        <v>0</v>
      </c>
      <c r="V166" s="1">
        <f>MAX($B166,$D166,$F166,$H166,$J166,$L166,$N166,$P166)</f>
        <v>0</v>
      </c>
      <c r="W166" s="1">
        <f>MAX($C166,$E166,$G166,$I166,$K166,$M166,$O166,$Q166)</f>
        <v>0</v>
      </c>
    </row>
    <row r="167" spans="1:23">
      <c r="A167" s="1" t="s">
        <v>164</v>
      </c>
      <c r="B167" s="1"/>
      <c r="C167" s="1"/>
      <c r="D167" s="1" cm="1">
        <f t="array" ref="D167">_xlfn.SWITCH($A$2,"average", AVERAGE(Instances!D167:Instances!D167),"median", MEDIAN(Instances!D167:Instances!D167),"min", MIN(Instances!D167:Instances!D167),"max", MAX(Instances!D167:Instances!D167),"diff", MAX(Instances!D167:Instances!D167)-MIN(Instances!D167:Instances!D167))</f>
        <v>0</v>
      </c>
      <c r="E167" s="1" cm="1">
        <f t="array" ref="E167">_xlfn.SWITCH($A$2,"average", AVERAGE(Instances!E167:Instances!E167),"median", MEDIAN(Instances!E167:Instances!E167),"min", MIN(Instances!E167:Instances!E167),"max", MAX(Instances!E167:Instances!E167),"diff", MAX(Instances!E167:Instances!E167)-MIN(Instances!E167:Instances!E167))</f>
        <v>0</v>
      </c>
      <c r="F167" s="1" cm="1">
        <f t="array" ref="F167">_xlfn.SWITCH($A$2,"average", AVERAGE(Instances!F167:Instances!F167),"median", MEDIAN(Instances!F167:Instances!F167),"min", MIN(Instances!F167:Instances!F167),"max", MAX(Instances!F167:Instances!F167),"diff", MAX(Instances!F167:Instances!F167)-MIN(Instances!F167:Instances!F167))</f>
        <v>0</v>
      </c>
      <c r="G167" s="1" cm="1">
        <f t="array" ref="G167">_xlfn.SWITCH($A$2,"average", AVERAGE(Instances!G167:Instances!G167),"median", MEDIAN(Instances!G167:Instances!G167),"min", MIN(Instances!G167:Instances!G167),"max", MAX(Instances!G167:Instances!G167),"diff", MAX(Instances!G167:Instances!G167)-MIN(Instances!G167:Instances!G167))</f>
        <v>0</v>
      </c>
      <c r="H167" s="1"/>
      <c r="I167" s="1"/>
      <c r="J167" s="1" cm="1">
        <f t="array" ref="J167">_xlfn.SWITCH($A$2,"average", AVERAGE(Instances!J167:Instances!J167),"median", MEDIAN(Instances!J167:Instances!J167),"min", MIN(Instances!J167:Instances!J167),"max", MAX(Instances!J167:Instances!J167),"diff", MAX(Instances!J167:Instances!J167)-MIN(Instances!J167:Instances!J167))</f>
        <v>0</v>
      </c>
      <c r="K167" s="1" cm="1">
        <f t="array" ref="K167">_xlfn.SWITCH($A$2,"average", AVERAGE(Instances!K167:Instances!K167),"median", MEDIAN(Instances!K167:Instances!K167),"min", MIN(Instances!K167:Instances!K167),"max", MAX(Instances!K167:Instances!K167),"diff", MAX(Instances!K167:Instances!K167)-MIN(Instances!K167:Instances!K167))</f>
        <v>0</v>
      </c>
      <c r="L167" s="1" cm="1">
        <f t="array" ref="L167">_xlfn.SWITCH($A$2,"average", AVERAGE(Instances!L167:Instances!L167),"median", MEDIAN(Instances!L167:Instances!L167),"min", MIN(Instances!L167:Instances!L167),"max", MAX(Instances!L167:Instances!L167),"diff", MAX(Instances!L167:Instances!L167)-MIN(Instances!L167:Instances!L167))</f>
        <v>0</v>
      </c>
      <c r="M167" s="1" cm="1">
        <f t="array" ref="M167">_xlfn.SWITCH($A$2,"average", AVERAGE(Instances!M167:Instances!M167),"median", MEDIAN(Instances!M167:Instances!M167),"min", MIN(Instances!M167:Instances!M167),"max", MAX(Instances!M167:Instances!M167),"diff", MAX(Instances!M167:Instances!M167)-MIN(Instances!M167:Instances!M167))</f>
        <v>0</v>
      </c>
      <c r="N167" s="1" cm="1">
        <f t="array" ref="N167">_xlfn.SWITCH($A$2,"average", AVERAGE(Instances!N167:Instances!N167),"median", MEDIAN(Instances!N167:Instances!N167),"min", MIN(Instances!N167:Instances!N167),"max", MAX(Instances!N167:Instances!N167),"diff", MAX(Instances!N167:Instances!N167)-MIN(Instances!N167:Instances!N167))</f>
        <v>0</v>
      </c>
      <c r="O167" s="1" cm="1">
        <f t="array" ref="O167">_xlfn.SWITCH($A$2,"average", AVERAGE(Instances!O167:Instances!O167),"median", MEDIAN(Instances!O167:Instances!O167),"min", MIN(Instances!O167:Instances!O167),"max", MAX(Instances!O167:Instances!O167),"diff", MAX(Instances!O167:Instances!O167)-MIN(Instances!O167:Instances!O167))</f>
        <v>0</v>
      </c>
      <c r="P167" s="1" cm="1">
        <f t="array" ref="P167">_xlfn.SWITCH($A$2,"average", AVERAGE(Instances!P167:Instances!P167),"median", MEDIAN(Instances!P167:Instances!P167),"min", MIN(Instances!P167:Instances!P167),"max", MAX(Instances!P167:Instances!P167),"diff", MAX(Instances!P167:Instances!P167)-MIN(Instances!P167:Instances!P167))</f>
        <v>0</v>
      </c>
      <c r="Q167" s="1" cm="1">
        <f t="array" ref="Q167">_xlfn.SWITCH($A$2,"average", AVERAGE(Instances!Q167:Instances!Q167),"median", MEDIAN(Instances!Q167:Instances!Q167),"min", MIN(Instances!Q167:Instances!Q167),"max", MAX(Instances!Q167:Instances!Q167),"diff", MAX(Instances!Q167:Instances!Q167)-MIN(Instances!Q167:Instances!Q167))</f>
        <v>0</v>
      </c>
      <c r="R167" s="1">
        <f>MIN($B167,$D167,$F167,$H167,$J167,$L167,$N167,$P167)</f>
        <v>0</v>
      </c>
      <c r="S167" s="1">
        <f>MIN($C167,$E167,$G167,$I167,$K167,$M167,$O167,$Q167)</f>
        <v>0</v>
      </c>
      <c r="T167" s="1">
        <f>MEDIAN($B167,$D167,$F167,$H167,$J167,$L167,$N167,$P167)</f>
        <v>0</v>
      </c>
      <c r="U167" s="1">
        <f>MEDIAN($C167,$E167,$G167,$I167,$K167,$M167,$O167,$Q167)</f>
        <v>0</v>
      </c>
      <c r="V167" s="1">
        <f>MAX($B167,$D167,$F167,$H167,$J167,$L167,$N167,$P167)</f>
        <v>0</v>
      </c>
      <c r="W167" s="1">
        <f>MAX($C167,$E167,$G167,$I167,$K167,$M167,$O167,$Q167)</f>
        <v>0</v>
      </c>
    </row>
    <row r="168" spans="1:23">
      <c r="A168" s="1" t="s">
        <v>165</v>
      </c>
      <c r="B168" s="1"/>
      <c r="C168" s="1"/>
      <c r="D168" s="1" cm="1">
        <f t="array" ref="D168">_xlfn.SWITCH($A$2,"average", AVERAGE(Instances!D168:Instances!D168),"median", MEDIAN(Instances!D168:Instances!D168),"min", MIN(Instances!D168:Instances!D168),"max", MAX(Instances!D168:Instances!D168),"diff", MAX(Instances!D168:Instances!D168)-MIN(Instances!D168:Instances!D168))</f>
        <v>0</v>
      </c>
      <c r="E168" s="1" cm="1">
        <f t="array" ref="E168">_xlfn.SWITCH($A$2,"average", AVERAGE(Instances!E168:Instances!E168),"median", MEDIAN(Instances!E168:Instances!E168),"min", MIN(Instances!E168:Instances!E168),"max", MAX(Instances!E168:Instances!E168),"diff", MAX(Instances!E168:Instances!E168)-MIN(Instances!E168:Instances!E168))</f>
        <v>0</v>
      </c>
      <c r="F168" s="1" cm="1">
        <f t="array" ref="F168">_xlfn.SWITCH($A$2,"average", AVERAGE(Instances!F168:Instances!F168),"median", MEDIAN(Instances!F168:Instances!F168),"min", MIN(Instances!F168:Instances!F168),"max", MAX(Instances!F168:Instances!F168),"diff", MAX(Instances!F168:Instances!F168)-MIN(Instances!F168:Instances!F168))</f>
        <v>0</v>
      </c>
      <c r="G168" s="1" cm="1">
        <f t="array" ref="G168">_xlfn.SWITCH($A$2,"average", AVERAGE(Instances!G168:Instances!G168),"median", MEDIAN(Instances!G168:Instances!G168),"min", MIN(Instances!G168:Instances!G168),"max", MAX(Instances!G168:Instances!G168),"diff", MAX(Instances!G168:Instances!G168)-MIN(Instances!G168:Instances!G168))</f>
        <v>0</v>
      </c>
      <c r="H168" s="1"/>
      <c r="I168" s="1"/>
      <c r="J168" s="1" cm="1">
        <f t="array" ref="J168">_xlfn.SWITCH($A$2,"average", AVERAGE(Instances!J168:Instances!J168),"median", MEDIAN(Instances!J168:Instances!J168),"min", MIN(Instances!J168:Instances!J168),"max", MAX(Instances!J168:Instances!J168),"diff", MAX(Instances!J168:Instances!J168)-MIN(Instances!J168:Instances!J168))</f>
        <v>0</v>
      </c>
      <c r="K168" s="1" cm="1">
        <f t="array" ref="K168">_xlfn.SWITCH($A$2,"average", AVERAGE(Instances!K168:Instances!K168),"median", MEDIAN(Instances!K168:Instances!K168),"min", MIN(Instances!K168:Instances!K168),"max", MAX(Instances!K168:Instances!K168),"diff", MAX(Instances!K168:Instances!K168)-MIN(Instances!K168:Instances!K168))</f>
        <v>0</v>
      </c>
      <c r="L168" s="1" cm="1">
        <f t="array" ref="L168">_xlfn.SWITCH($A$2,"average", AVERAGE(Instances!L168:Instances!L168),"median", MEDIAN(Instances!L168:Instances!L168),"min", MIN(Instances!L168:Instances!L168),"max", MAX(Instances!L168:Instances!L168),"diff", MAX(Instances!L168:Instances!L168)-MIN(Instances!L168:Instances!L168))</f>
        <v>0</v>
      </c>
      <c r="M168" s="1" cm="1">
        <f t="array" ref="M168">_xlfn.SWITCH($A$2,"average", AVERAGE(Instances!M168:Instances!M168),"median", MEDIAN(Instances!M168:Instances!M168),"min", MIN(Instances!M168:Instances!M168),"max", MAX(Instances!M168:Instances!M168),"diff", MAX(Instances!M168:Instances!M168)-MIN(Instances!M168:Instances!M168))</f>
        <v>0</v>
      </c>
      <c r="N168" s="1" cm="1">
        <f t="array" ref="N168">_xlfn.SWITCH($A$2,"average", AVERAGE(Instances!N168:Instances!N168),"median", MEDIAN(Instances!N168:Instances!N168),"min", MIN(Instances!N168:Instances!N168),"max", MAX(Instances!N168:Instances!N168),"diff", MAX(Instances!N168:Instances!N168)-MIN(Instances!N168:Instances!N168))</f>
        <v>0</v>
      </c>
      <c r="O168" s="1" cm="1">
        <f t="array" ref="O168">_xlfn.SWITCH($A$2,"average", AVERAGE(Instances!O168:Instances!O168),"median", MEDIAN(Instances!O168:Instances!O168),"min", MIN(Instances!O168:Instances!O168),"max", MAX(Instances!O168:Instances!O168),"diff", MAX(Instances!O168:Instances!O168)-MIN(Instances!O168:Instances!O168))</f>
        <v>0</v>
      </c>
      <c r="P168" s="1" cm="1">
        <f t="array" ref="P168">_xlfn.SWITCH($A$2,"average", AVERAGE(Instances!P168:Instances!P168),"median", MEDIAN(Instances!P168:Instances!P168),"min", MIN(Instances!P168:Instances!P168),"max", MAX(Instances!P168:Instances!P168),"diff", MAX(Instances!P168:Instances!P168)-MIN(Instances!P168:Instances!P168))</f>
        <v>0</v>
      </c>
      <c r="Q168" s="1" cm="1">
        <f t="array" ref="Q168">_xlfn.SWITCH($A$2,"average", AVERAGE(Instances!Q168:Instances!Q168),"median", MEDIAN(Instances!Q168:Instances!Q168),"min", MIN(Instances!Q168:Instances!Q168),"max", MAX(Instances!Q168:Instances!Q168),"diff", MAX(Instances!Q168:Instances!Q168)-MIN(Instances!Q168:Instances!Q168))</f>
        <v>0</v>
      </c>
      <c r="R168" s="1">
        <f>MIN($B168,$D168,$F168,$H168,$J168,$L168,$N168,$P168)</f>
        <v>0</v>
      </c>
      <c r="S168" s="1">
        <f>MIN($C168,$E168,$G168,$I168,$K168,$M168,$O168,$Q168)</f>
        <v>0</v>
      </c>
      <c r="T168" s="1">
        <f>MEDIAN($B168,$D168,$F168,$H168,$J168,$L168,$N168,$P168)</f>
        <v>0</v>
      </c>
      <c r="U168" s="1">
        <f>MEDIAN($C168,$E168,$G168,$I168,$K168,$M168,$O168,$Q168)</f>
        <v>0</v>
      </c>
      <c r="V168" s="1">
        <f>MAX($B168,$D168,$F168,$H168,$J168,$L168,$N168,$P168)</f>
        <v>0</v>
      </c>
      <c r="W168" s="1">
        <f>MAX($C168,$E168,$G168,$I168,$K168,$M168,$O168,$Q168)</f>
        <v>0</v>
      </c>
    </row>
    <row r="169" spans="1:23">
      <c r="A169" s="1" t="s">
        <v>166</v>
      </c>
      <c r="B169" s="1"/>
      <c r="C169" s="1"/>
      <c r="D169" s="1" cm="1">
        <f t="array" ref="D169">_xlfn.SWITCH($A$2,"average", AVERAGE(Instances!D169:Instances!D169),"median", MEDIAN(Instances!D169:Instances!D169),"min", MIN(Instances!D169:Instances!D169),"max", MAX(Instances!D169:Instances!D169),"diff", MAX(Instances!D169:Instances!D169)-MIN(Instances!D169:Instances!D169))</f>
        <v>0</v>
      </c>
      <c r="E169" s="1" cm="1">
        <f t="array" ref="E169">_xlfn.SWITCH($A$2,"average", AVERAGE(Instances!E169:Instances!E169),"median", MEDIAN(Instances!E169:Instances!E169),"min", MIN(Instances!E169:Instances!E169),"max", MAX(Instances!E169:Instances!E169),"diff", MAX(Instances!E169:Instances!E169)-MIN(Instances!E169:Instances!E169))</f>
        <v>0</v>
      </c>
      <c r="F169" s="1" cm="1">
        <f t="array" ref="F169">_xlfn.SWITCH($A$2,"average", AVERAGE(Instances!F169:Instances!F169),"median", MEDIAN(Instances!F169:Instances!F169),"min", MIN(Instances!F169:Instances!F169),"max", MAX(Instances!F169:Instances!F169),"diff", MAX(Instances!F169:Instances!F169)-MIN(Instances!F169:Instances!F169))</f>
        <v>0</v>
      </c>
      <c r="G169" s="1" cm="1">
        <f t="array" ref="G169">_xlfn.SWITCH($A$2,"average", AVERAGE(Instances!G169:Instances!G169),"median", MEDIAN(Instances!G169:Instances!G169),"min", MIN(Instances!G169:Instances!G169),"max", MAX(Instances!G169:Instances!G169),"diff", MAX(Instances!G169:Instances!G169)-MIN(Instances!G169:Instances!G169))</f>
        <v>0</v>
      </c>
      <c r="H169" s="1"/>
      <c r="I169" s="1"/>
      <c r="J169" s="1" cm="1">
        <f t="array" ref="J169">_xlfn.SWITCH($A$2,"average", AVERAGE(Instances!J169:Instances!J169),"median", MEDIAN(Instances!J169:Instances!J169),"min", MIN(Instances!J169:Instances!J169),"max", MAX(Instances!J169:Instances!J169),"diff", MAX(Instances!J169:Instances!J169)-MIN(Instances!J169:Instances!J169))</f>
        <v>0</v>
      </c>
      <c r="K169" s="1" cm="1">
        <f t="array" ref="K169">_xlfn.SWITCH($A$2,"average", AVERAGE(Instances!K169:Instances!K169),"median", MEDIAN(Instances!K169:Instances!K169),"min", MIN(Instances!K169:Instances!K169),"max", MAX(Instances!K169:Instances!K169),"diff", MAX(Instances!K169:Instances!K169)-MIN(Instances!K169:Instances!K169))</f>
        <v>0</v>
      </c>
      <c r="L169" s="1" cm="1">
        <f t="array" ref="L169">_xlfn.SWITCH($A$2,"average", AVERAGE(Instances!L169:Instances!L169),"median", MEDIAN(Instances!L169:Instances!L169),"min", MIN(Instances!L169:Instances!L169),"max", MAX(Instances!L169:Instances!L169),"diff", MAX(Instances!L169:Instances!L169)-MIN(Instances!L169:Instances!L169))</f>
        <v>0</v>
      </c>
      <c r="M169" s="1" cm="1">
        <f t="array" ref="M169">_xlfn.SWITCH($A$2,"average", AVERAGE(Instances!M169:Instances!M169),"median", MEDIAN(Instances!M169:Instances!M169),"min", MIN(Instances!M169:Instances!M169),"max", MAX(Instances!M169:Instances!M169),"diff", MAX(Instances!M169:Instances!M169)-MIN(Instances!M169:Instances!M169))</f>
        <v>0</v>
      </c>
      <c r="N169" s="1" cm="1">
        <f t="array" ref="N169">_xlfn.SWITCH($A$2,"average", AVERAGE(Instances!N169:Instances!N169),"median", MEDIAN(Instances!N169:Instances!N169),"min", MIN(Instances!N169:Instances!N169),"max", MAX(Instances!N169:Instances!N169),"diff", MAX(Instances!N169:Instances!N169)-MIN(Instances!N169:Instances!N169))</f>
        <v>0</v>
      </c>
      <c r="O169" s="1" cm="1">
        <f t="array" ref="O169">_xlfn.SWITCH($A$2,"average", AVERAGE(Instances!O169:Instances!O169),"median", MEDIAN(Instances!O169:Instances!O169),"min", MIN(Instances!O169:Instances!O169),"max", MAX(Instances!O169:Instances!O169),"diff", MAX(Instances!O169:Instances!O169)-MIN(Instances!O169:Instances!O169))</f>
        <v>0</v>
      </c>
      <c r="P169" s="1" cm="1">
        <f t="array" ref="P169">_xlfn.SWITCH($A$2,"average", AVERAGE(Instances!P169:Instances!P169),"median", MEDIAN(Instances!P169:Instances!P169),"min", MIN(Instances!P169:Instances!P169),"max", MAX(Instances!P169:Instances!P169),"diff", MAX(Instances!P169:Instances!P169)-MIN(Instances!P169:Instances!P169))</f>
        <v>0</v>
      </c>
      <c r="Q169" s="1" cm="1">
        <f t="array" ref="Q169">_xlfn.SWITCH($A$2,"average", AVERAGE(Instances!Q169:Instances!Q169),"median", MEDIAN(Instances!Q169:Instances!Q169),"min", MIN(Instances!Q169:Instances!Q169),"max", MAX(Instances!Q169:Instances!Q169),"diff", MAX(Instances!Q169:Instances!Q169)-MIN(Instances!Q169:Instances!Q169))</f>
        <v>0</v>
      </c>
      <c r="R169" s="1">
        <f>MIN($B169,$D169,$F169,$H169,$J169,$L169,$N169,$P169)</f>
        <v>0</v>
      </c>
      <c r="S169" s="1">
        <f>MIN($C169,$E169,$G169,$I169,$K169,$M169,$O169,$Q169)</f>
        <v>0</v>
      </c>
      <c r="T169" s="1">
        <f>MEDIAN($B169,$D169,$F169,$H169,$J169,$L169,$N169,$P169)</f>
        <v>0</v>
      </c>
      <c r="U169" s="1">
        <f>MEDIAN($C169,$E169,$G169,$I169,$K169,$M169,$O169,$Q169)</f>
        <v>0</v>
      </c>
      <c r="V169" s="1">
        <f>MAX($B169,$D169,$F169,$H169,$J169,$L169,$N169,$P169)</f>
        <v>0</v>
      </c>
      <c r="W169" s="1">
        <f>MAX($C169,$E169,$G169,$I169,$K169,$M169,$O169,$Q169)</f>
        <v>0</v>
      </c>
    </row>
    <row r="170" spans="1:23">
      <c r="A170" s="1" t="s">
        <v>167</v>
      </c>
      <c r="B170" s="1"/>
      <c r="C170" s="1"/>
      <c r="D170" s="1" cm="1">
        <f t="array" ref="D170">_xlfn.SWITCH($A$2,"average", AVERAGE(Instances!D170:Instances!D170),"median", MEDIAN(Instances!D170:Instances!D170),"min", MIN(Instances!D170:Instances!D170),"max", MAX(Instances!D170:Instances!D170),"diff", MAX(Instances!D170:Instances!D170)-MIN(Instances!D170:Instances!D170))</f>
        <v>0</v>
      </c>
      <c r="E170" s="1" cm="1">
        <f t="array" ref="E170">_xlfn.SWITCH($A$2,"average", AVERAGE(Instances!E170:Instances!E170),"median", MEDIAN(Instances!E170:Instances!E170),"min", MIN(Instances!E170:Instances!E170),"max", MAX(Instances!E170:Instances!E170),"diff", MAX(Instances!E170:Instances!E170)-MIN(Instances!E170:Instances!E170))</f>
        <v>0</v>
      </c>
      <c r="F170" s="1" cm="1">
        <f t="array" ref="F170">_xlfn.SWITCH($A$2,"average", AVERAGE(Instances!F170:Instances!F170),"median", MEDIAN(Instances!F170:Instances!F170),"min", MIN(Instances!F170:Instances!F170),"max", MAX(Instances!F170:Instances!F170),"diff", MAX(Instances!F170:Instances!F170)-MIN(Instances!F170:Instances!F170))</f>
        <v>0</v>
      </c>
      <c r="G170" s="1" cm="1">
        <f t="array" ref="G170">_xlfn.SWITCH($A$2,"average", AVERAGE(Instances!G170:Instances!G170),"median", MEDIAN(Instances!G170:Instances!G170),"min", MIN(Instances!G170:Instances!G170),"max", MAX(Instances!G170:Instances!G170),"diff", MAX(Instances!G170:Instances!G170)-MIN(Instances!G170:Instances!G170))</f>
        <v>0</v>
      </c>
      <c r="H170" s="1"/>
      <c r="I170" s="1"/>
      <c r="J170" s="1" cm="1">
        <f t="array" ref="J170">_xlfn.SWITCH($A$2,"average", AVERAGE(Instances!J170:Instances!J170),"median", MEDIAN(Instances!J170:Instances!J170),"min", MIN(Instances!J170:Instances!J170),"max", MAX(Instances!J170:Instances!J170),"diff", MAX(Instances!J170:Instances!J170)-MIN(Instances!J170:Instances!J170))</f>
        <v>0</v>
      </c>
      <c r="K170" s="1" cm="1">
        <f t="array" ref="K170">_xlfn.SWITCH($A$2,"average", AVERAGE(Instances!K170:Instances!K170),"median", MEDIAN(Instances!K170:Instances!K170),"min", MIN(Instances!K170:Instances!K170),"max", MAX(Instances!K170:Instances!K170),"diff", MAX(Instances!K170:Instances!K170)-MIN(Instances!K170:Instances!K170))</f>
        <v>0</v>
      </c>
      <c r="L170" s="1" cm="1">
        <f t="array" ref="L170">_xlfn.SWITCH($A$2,"average", AVERAGE(Instances!L170:Instances!L170),"median", MEDIAN(Instances!L170:Instances!L170),"min", MIN(Instances!L170:Instances!L170),"max", MAX(Instances!L170:Instances!L170),"diff", MAX(Instances!L170:Instances!L170)-MIN(Instances!L170:Instances!L170))</f>
        <v>0</v>
      </c>
      <c r="M170" s="1" cm="1">
        <f t="array" ref="M170">_xlfn.SWITCH($A$2,"average", AVERAGE(Instances!M170:Instances!M170),"median", MEDIAN(Instances!M170:Instances!M170),"min", MIN(Instances!M170:Instances!M170),"max", MAX(Instances!M170:Instances!M170),"diff", MAX(Instances!M170:Instances!M170)-MIN(Instances!M170:Instances!M170))</f>
        <v>0</v>
      </c>
      <c r="N170" s="1" cm="1">
        <f t="array" ref="N170">_xlfn.SWITCH($A$2,"average", AVERAGE(Instances!N170:Instances!N170),"median", MEDIAN(Instances!N170:Instances!N170),"min", MIN(Instances!N170:Instances!N170),"max", MAX(Instances!N170:Instances!N170),"diff", MAX(Instances!N170:Instances!N170)-MIN(Instances!N170:Instances!N170))</f>
        <v>0</v>
      </c>
      <c r="O170" s="1" cm="1">
        <f t="array" ref="O170">_xlfn.SWITCH($A$2,"average", AVERAGE(Instances!O170:Instances!O170),"median", MEDIAN(Instances!O170:Instances!O170),"min", MIN(Instances!O170:Instances!O170),"max", MAX(Instances!O170:Instances!O170),"diff", MAX(Instances!O170:Instances!O170)-MIN(Instances!O170:Instances!O170))</f>
        <v>0</v>
      </c>
      <c r="P170" s="1" cm="1">
        <f t="array" ref="P170">_xlfn.SWITCH($A$2,"average", AVERAGE(Instances!P170:Instances!P170),"median", MEDIAN(Instances!P170:Instances!P170),"min", MIN(Instances!P170:Instances!P170),"max", MAX(Instances!P170:Instances!P170),"diff", MAX(Instances!P170:Instances!P170)-MIN(Instances!P170:Instances!P170))</f>
        <v>0</v>
      </c>
      <c r="Q170" s="1" cm="1">
        <f t="array" ref="Q170">_xlfn.SWITCH($A$2,"average", AVERAGE(Instances!Q170:Instances!Q170),"median", MEDIAN(Instances!Q170:Instances!Q170),"min", MIN(Instances!Q170:Instances!Q170),"max", MAX(Instances!Q170:Instances!Q170),"diff", MAX(Instances!Q170:Instances!Q170)-MIN(Instances!Q170:Instances!Q170))</f>
        <v>0</v>
      </c>
      <c r="R170" s="1">
        <f>MIN($B170,$D170,$F170,$H170,$J170,$L170,$N170,$P170)</f>
        <v>0</v>
      </c>
      <c r="S170" s="1">
        <f>MIN($C170,$E170,$G170,$I170,$K170,$M170,$O170,$Q170)</f>
        <v>0</v>
      </c>
      <c r="T170" s="1">
        <f>MEDIAN($B170,$D170,$F170,$H170,$J170,$L170,$N170,$P170)</f>
        <v>0</v>
      </c>
      <c r="U170" s="1">
        <f>MEDIAN($C170,$E170,$G170,$I170,$K170,$M170,$O170,$Q170)</f>
        <v>0</v>
      </c>
      <c r="V170" s="1">
        <f>MAX($B170,$D170,$F170,$H170,$J170,$L170,$N170,$P170)</f>
        <v>0</v>
      </c>
      <c r="W170" s="1">
        <f>MAX($C170,$E170,$G170,$I170,$K170,$M170,$O170,$Q170)</f>
        <v>0</v>
      </c>
    </row>
    <row r="171" spans="1:23">
      <c r="A171" s="1" t="s">
        <v>168</v>
      </c>
      <c r="B171" s="1"/>
      <c r="C171" s="1"/>
      <c r="D171" s="1" cm="1">
        <f t="array" ref="D171">_xlfn.SWITCH($A$2,"average", AVERAGE(Instances!D171:Instances!D171),"median", MEDIAN(Instances!D171:Instances!D171),"min", MIN(Instances!D171:Instances!D171),"max", MAX(Instances!D171:Instances!D171),"diff", MAX(Instances!D171:Instances!D171)-MIN(Instances!D171:Instances!D171))</f>
        <v>0</v>
      </c>
      <c r="E171" s="1" cm="1">
        <f t="array" ref="E171">_xlfn.SWITCH($A$2,"average", AVERAGE(Instances!E171:Instances!E171),"median", MEDIAN(Instances!E171:Instances!E171),"min", MIN(Instances!E171:Instances!E171),"max", MAX(Instances!E171:Instances!E171),"diff", MAX(Instances!E171:Instances!E171)-MIN(Instances!E171:Instances!E171))</f>
        <v>0</v>
      </c>
      <c r="F171" s="1" cm="1">
        <f t="array" ref="F171">_xlfn.SWITCH($A$2,"average", AVERAGE(Instances!F171:Instances!F171),"median", MEDIAN(Instances!F171:Instances!F171),"min", MIN(Instances!F171:Instances!F171),"max", MAX(Instances!F171:Instances!F171),"diff", MAX(Instances!F171:Instances!F171)-MIN(Instances!F171:Instances!F171))</f>
        <v>0</v>
      </c>
      <c r="G171" s="1" cm="1">
        <f t="array" ref="G171">_xlfn.SWITCH($A$2,"average", AVERAGE(Instances!G171:Instances!G171),"median", MEDIAN(Instances!G171:Instances!G171),"min", MIN(Instances!G171:Instances!G171),"max", MAX(Instances!G171:Instances!G171),"diff", MAX(Instances!G171:Instances!G171)-MIN(Instances!G171:Instances!G171))</f>
        <v>0</v>
      </c>
      <c r="H171" s="1"/>
      <c r="I171" s="1"/>
      <c r="J171" s="1" cm="1">
        <f t="array" ref="J171">_xlfn.SWITCH($A$2,"average", AVERAGE(Instances!J171:Instances!J171),"median", MEDIAN(Instances!J171:Instances!J171),"min", MIN(Instances!J171:Instances!J171),"max", MAX(Instances!J171:Instances!J171),"diff", MAX(Instances!J171:Instances!J171)-MIN(Instances!J171:Instances!J171))</f>
        <v>0</v>
      </c>
      <c r="K171" s="1" cm="1">
        <f t="array" ref="K171">_xlfn.SWITCH($A$2,"average", AVERAGE(Instances!K171:Instances!K171),"median", MEDIAN(Instances!K171:Instances!K171),"min", MIN(Instances!K171:Instances!K171),"max", MAX(Instances!K171:Instances!K171),"diff", MAX(Instances!K171:Instances!K171)-MIN(Instances!K171:Instances!K171))</f>
        <v>0</v>
      </c>
      <c r="L171" s="1" cm="1">
        <f t="array" ref="L171">_xlfn.SWITCH($A$2,"average", AVERAGE(Instances!L171:Instances!L171),"median", MEDIAN(Instances!L171:Instances!L171),"min", MIN(Instances!L171:Instances!L171),"max", MAX(Instances!L171:Instances!L171),"diff", MAX(Instances!L171:Instances!L171)-MIN(Instances!L171:Instances!L171))</f>
        <v>0</v>
      </c>
      <c r="M171" s="1" cm="1">
        <f t="array" ref="M171">_xlfn.SWITCH($A$2,"average", AVERAGE(Instances!M171:Instances!M171),"median", MEDIAN(Instances!M171:Instances!M171),"min", MIN(Instances!M171:Instances!M171),"max", MAX(Instances!M171:Instances!M171),"diff", MAX(Instances!M171:Instances!M171)-MIN(Instances!M171:Instances!M171))</f>
        <v>0</v>
      </c>
      <c r="N171" s="1" cm="1">
        <f t="array" ref="N171">_xlfn.SWITCH($A$2,"average", AVERAGE(Instances!N171:Instances!N171),"median", MEDIAN(Instances!N171:Instances!N171),"min", MIN(Instances!N171:Instances!N171),"max", MAX(Instances!N171:Instances!N171),"diff", MAX(Instances!N171:Instances!N171)-MIN(Instances!N171:Instances!N171))</f>
        <v>0</v>
      </c>
      <c r="O171" s="1" cm="1">
        <f t="array" ref="O171">_xlfn.SWITCH($A$2,"average", AVERAGE(Instances!O171:Instances!O171),"median", MEDIAN(Instances!O171:Instances!O171),"min", MIN(Instances!O171:Instances!O171),"max", MAX(Instances!O171:Instances!O171),"diff", MAX(Instances!O171:Instances!O171)-MIN(Instances!O171:Instances!O171))</f>
        <v>0</v>
      </c>
      <c r="P171" s="1" cm="1">
        <f t="array" ref="P171">_xlfn.SWITCH($A$2,"average", AVERAGE(Instances!P171:Instances!P171),"median", MEDIAN(Instances!P171:Instances!P171),"min", MIN(Instances!P171:Instances!P171),"max", MAX(Instances!P171:Instances!P171),"diff", MAX(Instances!P171:Instances!P171)-MIN(Instances!P171:Instances!P171))</f>
        <v>0</v>
      </c>
      <c r="Q171" s="1" cm="1">
        <f t="array" ref="Q171">_xlfn.SWITCH($A$2,"average", AVERAGE(Instances!Q171:Instances!Q171),"median", MEDIAN(Instances!Q171:Instances!Q171),"min", MIN(Instances!Q171:Instances!Q171),"max", MAX(Instances!Q171:Instances!Q171),"diff", MAX(Instances!Q171:Instances!Q171)-MIN(Instances!Q171:Instances!Q171))</f>
        <v>0</v>
      </c>
      <c r="R171" s="1">
        <f>MIN($B171,$D171,$F171,$H171,$J171,$L171,$N171,$P171)</f>
        <v>0</v>
      </c>
      <c r="S171" s="1">
        <f>MIN($C171,$E171,$G171,$I171,$K171,$M171,$O171,$Q171)</f>
        <v>0</v>
      </c>
      <c r="T171" s="1">
        <f>MEDIAN($B171,$D171,$F171,$H171,$J171,$L171,$N171,$P171)</f>
        <v>0</v>
      </c>
      <c r="U171" s="1">
        <f>MEDIAN($C171,$E171,$G171,$I171,$K171,$M171,$O171,$Q171)</f>
        <v>0</v>
      </c>
      <c r="V171" s="1">
        <f>MAX($B171,$D171,$F171,$H171,$J171,$L171,$N171,$P171)</f>
        <v>0</v>
      </c>
      <c r="W171" s="1">
        <f>MAX($C171,$E171,$G171,$I171,$K171,$M171,$O171,$Q171)</f>
        <v>0</v>
      </c>
    </row>
    <row r="172" spans="1:23">
      <c r="A172" s="1" t="s">
        <v>169</v>
      </c>
      <c r="B172" s="1"/>
      <c r="C172" s="1"/>
      <c r="D172" s="1" cm="1">
        <f t="array" ref="D172">_xlfn.SWITCH($A$2,"average", AVERAGE(Instances!D172:Instances!D172),"median", MEDIAN(Instances!D172:Instances!D172),"min", MIN(Instances!D172:Instances!D172),"max", MAX(Instances!D172:Instances!D172),"diff", MAX(Instances!D172:Instances!D172)-MIN(Instances!D172:Instances!D172))</f>
        <v>0</v>
      </c>
      <c r="E172" s="1" cm="1">
        <f t="array" ref="E172">_xlfn.SWITCH($A$2,"average", AVERAGE(Instances!E172:Instances!E172),"median", MEDIAN(Instances!E172:Instances!E172),"min", MIN(Instances!E172:Instances!E172),"max", MAX(Instances!E172:Instances!E172),"diff", MAX(Instances!E172:Instances!E172)-MIN(Instances!E172:Instances!E172))</f>
        <v>0</v>
      </c>
      <c r="F172" s="1" cm="1">
        <f t="array" ref="F172">_xlfn.SWITCH($A$2,"average", AVERAGE(Instances!F172:Instances!F172),"median", MEDIAN(Instances!F172:Instances!F172),"min", MIN(Instances!F172:Instances!F172),"max", MAX(Instances!F172:Instances!F172),"diff", MAX(Instances!F172:Instances!F172)-MIN(Instances!F172:Instances!F172))</f>
        <v>0</v>
      </c>
      <c r="G172" s="1" cm="1">
        <f t="array" ref="G172">_xlfn.SWITCH($A$2,"average", AVERAGE(Instances!G172:Instances!G172),"median", MEDIAN(Instances!G172:Instances!G172),"min", MIN(Instances!G172:Instances!G172),"max", MAX(Instances!G172:Instances!G172),"diff", MAX(Instances!G172:Instances!G172)-MIN(Instances!G172:Instances!G172))</f>
        <v>0</v>
      </c>
      <c r="H172" s="1"/>
      <c r="I172" s="1"/>
      <c r="J172" s="1" cm="1">
        <f t="array" ref="J172">_xlfn.SWITCH($A$2,"average", AVERAGE(Instances!J172:Instances!J172),"median", MEDIAN(Instances!J172:Instances!J172),"min", MIN(Instances!J172:Instances!J172),"max", MAX(Instances!J172:Instances!J172),"diff", MAX(Instances!J172:Instances!J172)-MIN(Instances!J172:Instances!J172))</f>
        <v>0</v>
      </c>
      <c r="K172" s="1" cm="1">
        <f t="array" ref="K172">_xlfn.SWITCH($A$2,"average", AVERAGE(Instances!K172:Instances!K172),"median", MEDIAN(Instances!K172:Instances!K172),"min", MIN(Instances!K172:Instances!K172),"max", MAX(Instances!K172:Instances!K172),"diff", MAX(Instances!K172:Instances!K172)-MIN(Instances!K172:Instances!K172))</f>
        <v>0</v>
      </c>
      <c r="L172" s="1" cm="1">
        <f t="array" ref="L172">_xlfn.SWITCH($A$2,"average", AVERAGE(Instances!L172:Instances!L172),"median", MEDIAN(Instances!L172:Instances!L172),"min", MIN(Instances!L172:Instances!L172),"max", MAX(Instances!L172:Instances!L172),"diff", MAX(Instances!L172:Instances!L172)-MIN(Instances!L172:Instances!L172))</f>
        <v>0</v>
      </c>
      <c r="M172" s="1" cm="1">
        <f t="array" ref="M172">_xlfn.SWITCH($A$2,"average", AVERAGE(Instances!M172:Instances!M172),"median", MEDIAN(Instances!M172:Instances!M172),"min", MIN(Instances!M172:Instances!M172),"max", MAX(Instances!M172:Instances!M172),"diff", MAX(Instances!M172:Instances!M172)-MIN(Instances!M172:Instances!M172))</f>
        <v>0</v>
      </c>
      <c r="N172" s="1" cm="1">
        <f t="array" ref="N172">_xlfn.SWITCH($A$2,"average", AVERAGE(Instances!N172:Instances!N172),"median", MEDIAN(Instances!N172:Instances!N172),"min", MIN(Instances!N172:Instances!N172),"max", MAX(Instances!N172:Instances!N172),"diff", MAX(Instances!N172:Instances!N172)-MIN(Instances!N172:Instances!N172))</f>
        <v>0</v>
      </c>
      <c r="O172" s="1" cm="1">
        <f t="array" ref="O172">_xlfn.SWITCH($A$2,"average", AVERAGE(Instances!O172:Instances!O172),"median", MEDIAN(Instances!O172:Instances!O172),"min", MIN(Instances!O172:Instances!O172),"max", MAX(Instances!O172:Instances!O172),"diff", MAX(Instances!O172:Instances!O172)-MIN(Instances!O172:Instances!O172))</f>
        <v>0</v>
      </c>
      <c r="P172" s="1" cm="1">
        <f t="array" ref="P172">_xlfn.SWITCH($A$2,"average", AVERAGE(Instances!P172:Instances!P172),"median", MEDIAN(Instances!P172:Instances!P172),"min", MIN(Instances!P172:Instances!P172),"max", MAX(Instances!P172:Instances!P172),"diff", MAX(Instances!P172:Instances!P172)-MIN(Instances!P172:Instances!P172))</f>
        <v>0</v>
      </c>
      <c r="Q172" s="1" cm="1">
        <f t="array" ref="Q172">_xlfn.SWITCH($A$2,"average", AVERAGE(Instances!Q172:Instances!Q172),"median", MEDIAN(Instances!Q172:Instances!Q172),"min", MIN(Instances!Q172:Instances!Q172),"max", MAX(Instances!Q172:Instances!Q172),"diff", MAX(Instances!Q172:Instances!Q172)-MIN(Instances!Q172:Instances!Q172))</f>
        <v>0</v>
      </c>
      <c r="R172" s="1">
        <f>MIN($B172,$D172,$F172,$H172,$J172,$L172,$N172,$P172)</f>
        <v>0</v>
      </c>
      <c r="S172" s="1">
        <f>MIN($C172,$E172,$G172,$I172,$K172,$M172,$O172,$Q172)</f>
        <v>0</v>
      </c>
      <c r="T172" s="1">
        <f>MEDIAN($B172,$D172,$F172,$H172,$J172,$L172,$N172,$P172)</f>
        <v>0</v>
      </c>
      <c r="U172" s="1">
        <f>MEDIAN($C172,$E172,$G172,$I172,$K172,$M172,$O172,$Q172)</f>
        <v>0</v>
      </c>
      <c r="V172" s="1">
        <f>MAX($B172,$D172,$F172,$H172,$J172,$L172,$N172,$P172)</f>
        <v>0</v>
      </c>
      <c r="W172" s="1">
        <f>MAX($C172,$E172,$G172,$I172,$K172,$M172,$O172,$Q172)</f>
        <v>0</v>
      </c>
    </row>
    <row r="173" spans="1:23">
      <c r="A173" s="1" t="s">
        <v>170</v>
      </c>
      <c r="B173" s="1"/>
      <c r="C173" s="1"/>
      <c r="D173" s="1" cm="1">
        <f t="array" ref="D173">_xlfn.SWITCH($A$2,"average", AVERAGE(Instances!D173:Instances!D173),"median", MEDIAN(Instances!D173:Instances!D173),"min", MIN(Instances!D173:Instances!D173),"max", MAX(Instances!D173:Instances!D173),"diff", MAX(Instances!D173:Instances!D173)-MIN(Instances!D173:Instances!D173))</f>
        <v>0</v>
      </c>
      <c r="E173" s="1" cm="1">
        <f t="array" ref="E173">_xlfn.SWITCH($A$2,"average", AVERAGE(Instances!E173:Instances!E173),"median", MEDIAN(Instances!E173:Instances!E173),"min", MIN(Instances!E173:Instances!E173),"max", MAX(Instances!E173:Instances!E173),"diff", MAX(Instances!E173:Instances!E173)-MIN(Instances!E173:Instances!E173))</f>
        <v>0</v>
      </c>
      <c r="F173" s="1" cm="1">
        <f t="array" ref="F173">_xlfn.SWITCH($A$2,"average", AVERAGE(Instances!F173:Instances!F173),"median", MEDIAN(Instances!F173:Instances!F173),"min", MIN(Instances!F173:Instances!F173),"max", MAX(Instances!F173:Instances!F173),"diff", MAX(Instances!F173:Instances!F173)-MIN(Instances!F173:Instances!F173))</f>
        <v>0</v>
      </c>
      <c r="G173" s="1" cm="1">
        <f t="array" ref="G173">_xlfn.SWITCH($A$2,"average", AVERAGE(Instances!G173:Instances!G173),"median", MEDIAN(Instances!G173:Instances!G173),"min", MIN(Instances!G173:Instances!G173),"max", MAX(Instances!G173:Instances!G173),"diff", MAX(Instances!G173:Instances!G173)-MIN(Instances!G173:Instances!G173))</f>
        <v>0</v>
      </c>
      <c r="H173" s="1"/>
      <c r="I173" s="1"/>
      <c r="J173" s="1" cm="1">
        <f t="array" ref="J173">_xlfn.SWITCH($A$2,"average", AVERAGE(Instances!J173:Instances!J173),"median", MEDIAN(Instances!J173:Instances!J173),"min", MIN(Instances!J173:Instances!J173),"max", MAX(Instances!J173:Instances!J173),"diff", MAX(Instances!J173:Instances!J173)-MIN(Instances!J173:Instances!J173))</f>
        <v>0</v>
      </c>
      <c r="K173" s="1" cm="1">
        <f t="array" ref="K173">_xlfn.SWITCH($A$2,"average", AVERAGE(Instances!K173:Instances!K173),"median", MEDIAN(Instances!K173:Instances!K173),"min", MIN(Instances!K173:Instances!K173),"max", MAX(Instances!K173:Instances!K173),"diff", MAX(Instances!K173:Instances!K173)-MIN(Instances!K173:Instances!K173))</f>
        <v>0</v>
      </c>
      <c r="L173" s="1" cm="1">
        <f t="array" ref="L173">_xlfn.SWITCH($A$2,"average", AVERAGE(Instances!L173:Instances!L173),"median", MEDIAN(Instances!L173:Instances!L173),"min", MIN(Instances!L173:Instances!L173),"max", MAX(Instances!L173:Instances!L173),"diff", MAX(Instances!L173:Instances!L173)-MIN(Instances!L173:Instances!L173))</f>
        <v>0</v>
      </c>
      <c r="M173" s="1" cm="1">
        <f t="array" ref="M173">_xlfn.SWITCH($A$2,"average", AVERAGE(Instances!M173:Instances!M173),"median", MEDIAN(Instances!M173:Instances!M173),"min", MIN(Instances!M173:Instances!M173),"max", MAX(Instances!M173:Instances!M173),"diff", MAX(Instances!M173:Instances!M173)-MIN(Instances!M173:Instances!M173))</f>
        <v>0</v>
      </c>
      <c r="N173" s="1" cm="1">
        <f t="array" ref="N173">_xlfn.SWITCH($A$2,"average", AVERAGE(Instances!N173:Instances!N173),"median", MEDIAN(Instances!N173:Instances!N173),"min", MIN(Instances!N173:Instances!N173),"max", MAX(Instances!N173:Instances!N173),"diff", MAX(Instances!N173:Instances!N173)-MIN(Instances!N173:Instances!N173))</f>
        <v>0</v>
      </c>
      <c r="O173" s="1" cm="1">
        <f t="array" ref="O173">_xlfn.SWITCH($A$2,"average", AVERAGE(Instances!O173:Instances!O173),"median", MEDIAN(Instances!O173:Instances!O173),"min", MIN(Instances!O173:Instances!O173),"max", MAX(Instances!O173:Instances!O173),"diff", MAX(Instances!O173:Instances!O173)-MIN(Instances!O173:Instances!O173))</f>
        <v>0</v>
      </c>
      <c r="P173" s="1" cm="1">
        <f t="array" ref="P173">_xlfn.SWITCH($A$2,"average", AVERAGE(Instances!P173:Instances!P173),"median", MEDIAN(Instances!P173:Instances!P173),"min", MIN(Instances!P173:Instances!P173),"max", MAX(Instances!P173:Instances!P173),"diff", MAX(Instances!P173:Instances!P173)-MIN(Instances!P173:Instances!P173))</f>
        <v>0</v>
      </c>
      <c r="Q173" s="1" cm="1">
        <f t="array" ref="Q173">_xlfn.SWITCH($A$2,"average", AVERAGE(Instances!Q173:Instances!Q173),"median", MEDIAN(Instances!Q173:Instances!Q173),"min", MIN(Instances!Q173:Instances!Q173),"max", MAX(Instances!Q173:Instances!Q173),"diff", MAX(Instances!Q173:Instances!Q173)-MIN(Instances!Q173:Instances!Q173))</f>
        <v>0</v>
      </c>
      <c r="R173" s="1">
        <f>MIN($B173,$D173,$F173,$H173,$J173,$L173,$N173,$P173)</f>
        <v>0</v>
      </c>
      <c r="S173" s="1">
        <f>MIN($C173,$E173,$G173,$I173,$K173,$M173,$O173,$Q173)</f>
        <v>0</v>
      </c>
      <c r="T173" s="1">
        <f>MEDIAN($B173,$D173,$F173,$H173,$J173,$L173,$N173,$P173)</f>
        <v>0</v>
      </c>
      <c r="U173" s="1">
        <f>MEDIAN($C173,$E173,$G173,$I173,$K173,$M173,$O173,$Q173)</f>
        <v>0</v>
      </c>
      <c r="V173" s="1">
        <f>MAX($B173,$D173,$F173,$H173,$J173,$L173,$N173,$P173)</f>
        <v>0</v>
      </c>
      <c r="W173" s="1">
        <f>MAX($C173,$E173,$G173,$I173,$K173,$M173,$O173,$Q173)</f>
        <v>0</v>
      </c>
    </row>
    <row r="174" spans="1:23">
      <c r="A174" s="1" t="s">
        <v>171</v>
      </c>
      <c r="B174" s="1"/>
      <c r="C174" s="1"/>
      <c r="D174" s="1" cm="1">
        <f t="array" ref="D174">_xlfn.SWITCH($A$2,"average", AVERAGE(Instances!D174:Instances!D174),"median", MEDIAN(Instances!D174:Instances!D174),"min", MIN(Instances!D174:Instances!D174),"max", MAX(Instances!D174:Instances!D174),"diff", MAX(Instances!D174:Instances!D174)-MIN(Instances!D174:Instances!D174))</f>
        <v>0</v>
      </c>
      <c r="E174" s="1" cm="1">
        <f t="array" ref="E174">_xlfn.SWITCH($A$2,"average", AVERAGE(Instances!E174:Instances!E174),"median", MEDIAN(Instances!E174:Instances!E174),"min", MIN(Instances!E174:Instances!E174),"max", MAX(Instances!E174:Instances!E174),"diff", MAX(Instances!E174:Instances!E174)-MIN(Instances!E174:Instances!E174))</f>
        <v>0</v>
      </c>
      <c r="F174" s="1" cm="1">
        <f t="array" ref="F174">_xlfn.SWITCH($A$2,"average", AVERAGE(Instances!F174:Instances!F174),"median", MEDIAN(Instances!F174:Instances!F174),"min", MIN(Instances!F174:Instances!F174),"max", MAX(Instances!F174:Instances!F174),"diff", MAX(Instances!F174:Instances!F174)-MIN(Instances!F174:Instances!F174))</f>
        <v>0</v>
      </c>
      <c r="G174" s="1" cm="1">
        <f t="array" ref="G174">_xlfn.SWITCH($A$2,"average", AVERAGE(Instances!G174:Instances!G174),"median", MEDIAN(Instances!G174:Instances!G174),"min", MIN(Instances!G174:Instances!G174),"max", MAX(Instances!G174:Instances!G174),"diff", MAX(Instances!G174:Instances!G174)-MIN(Instances!G174:Instances!G174))</f>
        <v>0</v>
      </c>
      <c r="H174" s="1"/>
      <c r="I174" s="1"/>
      <c r="J174" s="1" cm="1">
        <f t="array" ref="J174">_xlfn.SWITCH($A$2,"average", AVERAGE(Instances!J174:Instances!J174),"median", MEDIAN(Instances!J174:Instances!J174),"min", MIN(Instances!J174:Instances!J174),"max", MAX(Instances!J174:Instances!J174),"diff", MAX(Instances!J174:Instances!J174)-MIN(Instances!J174:Instances!J174))</f>
        <v>0</v>
      </c>
      <c r="K174" s="1" cm="1">
        <f t="array" ref="K174">_xlfn.SWITCH($A$2,"average", AVERAGE(Instances!K174:Instances!K174),"median", MEDIAN(Instances!K174:Instances!K174),"min", MIN(Instances!K174:Instances!K174),"max", MAX(Instances!K174:Instances!K174),"diff", MAX(Instances!K174:Instances!K174)-MIN(Instances!K174:Instances!K174))</f>
        <v>0</v>
      </c>
      <c r="L174" s="1" cm="1">
        <f t="array" ref="L174">_xlfn.SWITCH($A$2,"average", AVERAGE(Instances!L174:Instances!L174),"median", MEDIAN(Instances!L174:Instances!L174),"min", MIN(Instances!L174:Instances!L174),"max", MAX(Instances!L174:Instances!L174),"diff", MAX(Instances!L174:Instances!L174)-MIN(Instances!L174:Instances!L174))</f>
        <v>0</v>
      </c>
      <c r="M174" s="1" cm="1">
        <f t="array" ref="M174">_xlfn.SWITCH($A$2,"average", AVERAGE(Instances!M174:Instances!M174),"median", MEDIAN(Instances!M174:Instances!M174),"min", MIN(Instances!M174:Instances!M174),"max", MAX(Instances!M174:Instances!M174),"diff", MAX(Instances!M174:Instances!M174)-MIN(Instances!M174:Instances!M174))</f>
        <v>0</v>
      </c>
      <c r="N174" s="1" cm="1">
        <f t="array" ref="N174">_xlfn.SWITCH($A$2,"average", AVERAGE(Instances!N174:Instances!N174),"median", MEDIAN(Instances!N174:Instances!N174),"min", MIN(Instances!N174:Instances!N174),"max", MAX(Instances!N174:Instances!N174),"diff", MAX(Instances!N174:Instances!N174)-MIN(Instances!N174:Instances!N174))</f>
        <v>0</v>
      </c>
      <c r="O174" s="1" cm="1">
        <f t="array" ref="O174">_xlfn.SWITCH($A$2,"average", AVERAGE(Instances!O174:Instances!O174),"median", MEDIAN(Instances!O174:Instances!O174),"min", MIN(Instances!O174:Instances!O174),"max", MAX(Instances!O174:Instances!O174),"diff", MAX(Instances!O174:Instances!O174)-MIN(Instances!O174:Instances!O174))</f>
        <v>0</v>
      </c>
      <c r="P174" s="1" cm="1">
        <f t="array" ref="P174">_xlfn.SWITCH($A$2,"average", AVERAGE(Instances!P174:Instances!P174),"median", MEDIAN(Instances!P174:Instances!P174),"min", MIN(Instances!P174:Instances!P174),"max", MAX(Instances!P174:Instances!P174),"diff", MAX(Instances!P174:Instances!P174)-MIN(Instances!P174:Instances!P174))</f>
        <v>0</v>
      </c>
      <c r="Q174" s="1" cm="1">
        <f t="array" ref="Q174">_xlfn.SWITCH($A$2,"average", AVERAGE(Instances!Q174:Instances!Q174),"median", MEDIAN(Instances!Q174:Instances!Q174),"min", MIN(Instances!Q174:Instances!Q174),"max", MAX(Instances!Q174:Instances!Q174),"diff", MAX(Instances!Q174:Instances!Q174)-MIN(Instances!Q174:Instances!Q174))</f>
        <v>0</v>
      </c>
      <c r="R174" s="1">
        <f>MIN($B174,$D174,$F174,$H174,$J174,$L174,$N174,$P174)</f>
        <v>0</v>
      </c>
      <c r="S174" s="1">
        <f>MIN($C174,$E174,$G174,$I174,$K174,$M174,$O174,$Q174)</f>
        <v>0</v>
      </c>
      <c r="T174" s="1">
        <f>MEDIAN($B174,$D174,$F174,$H174,$J174,$L174,$N174,$P174)</f>
        <v>0</v>
      </c>
      <c r="U174" s="1">
        <f>MEDIAN($C174,$E174,$G174,$I174,$K174,$M174,$O174,$Q174)</f>
        <v>0</v>
      </c>
      <c r="V174" s="1">
        <f>MAX($B174,$D174,$F174,$H174,$J174,$L174,$N174,$P174)</f>
        <v>0</v>
      </c>
      <c r="W174" s="1">
        <f>MAX($C174,$E174,$G174,$I174,$K174,$M174,$O174,$Q174)</f>
        <v>0</v>
      </c>
    </row>
    <row r="175" spans="1:23">
      <c r="A175" s="1" t="s">
        <v>172</v>
      </c>
      <c r="B175" s="1"/>
      <c r="C175" s="1"/>
      <c r="D175" s="1" cm="1">
        <f t="array" ref="D175">_xlfn.SWITCH($A$2,"average", AVERAGE(Instances!D175:Instances!D175),"median", MEDIAN(Instances!D175:Instances!D175),"min", MIN(Instances!D175:Instances!D175),"max", MAX(Instances!D175:Instances!D175),"diff", MAX(Instances!D175:Instances!D175)-MIN(Instances!D175:Instances!D175))</f>
        <v>0</v>
      </c>
      <c r="E175" s="1" cm="1">
        <f t="array" ref="E175">_xlfn.SWITCH($A$2,"average", AVERAGE(Instances!E175:Instances!E175),"median", MEDIAN(Instances!E175:Instances!E175),"min", MIN(Instances!E175:Instances!E175),"max", MAX(Instances!E175:Instances!E175),"diff", MAX(Instances!E175:Instances!E175)-MIN(Instances!E175:Instances!E175))</f>
        <v>0</v>
      </c>
      <c r="F175" s="1" cm="1">
        <f t="array" ref="F175">_xlfn.SWITCH($A$2,"average", AVERAGE(Instances!F175:Instances!F175),"median", MEDIAN(Instances!F175:Instances!F175),"min", MIN(Instances!F175:Instances!F175),"max", MAX(Instances!F175:Instances!F175),"diff", MAX(Instances!F175:Instances!F175)-MIN(Instances!F175:Instances!F175))</f>
        <v>0</v>
      </c>
      <c r="G175" s="1" cm="1">
        <f t="array" ref="G175">_xlfn.SWITCH($A$2,"average", AVERAGE(Instances!G175:Instances!G175),"median", MEDIAN(Instances!G175:Instances!G175),"min", MIN(Instances!G175:Instances!G175),"max", MAX(Instances!G175:Instances!G175),"diff", MAX(Instances!G175:Instances!G175)-MIN(Instances!G175:Instances!G175))</f>
        <v>0</v>
      </c>
      <c r="H175" s="1"/>
      <c r="I175" s="1"/>
      <c r="J175" s="1" cm="1">
        <f t="array" ref="J175">_xlfn.SWITCH($A$2,"average", AVERAGE(Instances!J175:Instances!J175),"median", MEDIAN(Instances!J175:Instances!J175),"min", MIN(Instances!J175:Instances!J175),"max", MAX(Instances!J175:Instances!J175),"diff", MAX(Instances!J175:Instances!J175)-MIN(Instances!J175:Instances!J175))</f>
        <v>0</v>
      </c>
      <c r="K175" s="1" cm="1">
        <f t="array" ref="K175">_xlfn.SWITCH($A$2,"average", AVERAGE(Instances!K175:Instances!K175),"median", MEDIAN(Instances!K175:Instances!K175),"min", MIN(Instances!K175:Instances!K175),"max", MAX(Instances!K175:Instances!K175),"diff", MAX(Instances!K175:Instances!K175)-MIN(Instances!K175:Instances!K175))</f>
        <v>0</v>
      </c>
      <c r="L175" s="1" cm="1">
        <f t="array" ref="L175">_xlfn.SWITCH($A$2,"average", AVERAGE(Instances!L175:Instances!L175),"median", MEDIAN(Instances!L175:Instances!L175),"min", MIN(Instances!L175:Instances!L175),"max", MAX(Instances!L175:Instances!L175),"diff", MAX(Instances!L175:Instances!L175)-MIN(Instances!L175:Instances!L175))</f>
        <v>0</v>
      </c>
      <c r="M175" s="1" cm="1">
        <f t="array" ref="M175">_xlfn.SWITCH($A$2,"average", AVERAGE(Instances!M175:Instances!M175),"median", MEDIAN(Instances!M175:Instances!M175),"min", MIN(Instances!M175:Instances!M175),"max", MAX(Instances!M175:Instances!M175),"diff", MAX(Instances!M175:Instances!M175)-MIN(Instances!M175:Instances!M175))</f>
        <v>0</v>
      </c>
      <c r="N175" s="1" cm="1">
        <f t="array" ref="N175">_xlfn.SWITCH($A$2,"average", AVERAGE(Instances!N175:Instances!N175),"median", MEDIAN(Instances!N175:Instances!N175),"min", MIN(Instances!N175:Instances!N175),"max", MAX(Instances!N175:Instances!N175),"diff", MAX(Instances!N175:Instances!N175)-MIN(Instances!N175:Instances!N175))</f>
        <v>0</v>
      </c>
      <c r="O175" s="1" cm="1">
        <f t="array" ref="O175">_xlfn.SWITCH($A$2,"average", AVERAGE(Instances!O175:Instances!O175),"median", MEDIAN(Instances!O175:Instances!O175),"min", MIN(Instances!O175:Instances!O175),"max", MAX(Instances!O175:Instances!O175),"diff", MAX(Instances!O175:Instances!O175)-MIN(Instances!O175:Instances!O175))</f>
        <v>0</v>
      </c>
      <c r="P175" s="1" cm="1">
        <f t="array" ref="P175">_xlfn.SWITCH($A$2,"average", AVERAGE(Instances!P175:Instances!P175),"median", MEDIAN(Instances!P175:Instances!P175),"min", MIN(Instances!P175:Instances!P175),"max", MAX(Instances!P175:Instances!P175),"diff", MAX(Instances!P175:Instances!P175)-MIN(Instances!P175:Instances!P175))</f>
        <v>0</v>
      </c>
      <c r="Q175" s="1" cm="1">
        <f t="array" ref="Q175">_xlfn.SWITCH($A$2,"average", AVERAGE(Instances!Q175:Instances!Q175),"median", MEDIAN(Instances!Q175:Instances!Q175),"min", MIN(Instances!Q175:Instances!Q175),"max", MAX(Instances!Q175:Instances!Q175),"diff", MAX(Instances!Q175:Instances!Q175)-MIN(Instances!Q175:Instances!Q175))</f>
        <v>0</v>
      </c>
      <c r="R175" s="1">
        <f>MIN($B175,$D175,$F175,$H175,$J175,$L175,$N175,$P175)</f>
        <v>0</v>
      </c>
      <c r="S175" s="1">
        <f>MIN($C175,$E175,$G175,$I175,$K175,$M175,$O175,$Q175)</f>
        <v>0</v>
      </c>
      <c r="T175" s="1">
        <f>MEDIAN($B175,$D175,$F175,$H175,$J175,$L175,$N175,$P175)</f>
        <v>0</v>
      </c>
      <c r="U175" s="1">
        <f>MEDIAN($C175,$E175,$G175,$I175,$K175,$M175,$O175,$Q175)</f>
        <v>0</v>
      </c>
      <c r="V175" s="1">
        <f>MAX($B175,$D175,$F175,$H175,$J175,$L175,$N175,$P175)</f>
        <v>0</v>
      </c>
      <c r="W175" s="1">
        <f>MAX($C175,$E175,$G175,$I175,$K175,$M175,$O175,$Q175)</f>
        <v>0</v>
      </c>
    </row>
    <row r="176" spans="1:23">
      <c r="A176" s="1" t="s">
        <v>173</v>
      </c>
      <c r="B176" s="1"/>
      <c r="C176" s="1"/>
      <c r="D176" s="1" cm="1">
        <f t="array" ref="D176">_xlfn.SWITCH($A$2,"average", AVERAGE(Instances!D176:Instances!D176),"median", MEDIAN(Instances!D176:Instances!D176),"min", MIN(Instances!D176:Instances!D176),"max", MAX(Instances!D176:Instances!D176),"diff", MAX(Instances!D176:Instances!D176)-MIN(Instances!D176:Instances!D176))</f>
        <v>0</v>
      </c>
      <c r="E176" s="1" cm="1">
        <f t="array" ref="E176">_xlfn.SWITCH($A$2,"average", AVERAGE(Instances!E176:Instances!E176),"median", MEDIAN(Instances!E176:Instances!E176),"min", MIN(Instances!E176:Instances!E176),"max", MAX(Instances!E176:Instances!E176),"diff", MAX(Instances!E176:Instances!E176)-MIN(Instances!E176:Instances!E176))</f>
        <v>0</v>
      </c>
      <c r="F176" s="1" cm="1">
        <f t="array" ref="F176">_xlfn.SWITCH($A$2,"average", AVERAGE(Instances!F176:Instances!F176),"median", MEDIAN(Instances!F176:Instances!F176),"min", MIN(Instances!F176:Instances!F176),"max", MAX(Instances!F176:Instances!F176),"diff", MAX(Instances!F176:Instances!F176)-MIN(Instances!F176:Instances!F176))</f>
        <v>0</v>
      </c>
      <c r="G176" s="1" cm="1">
        <f t="array" ref="G176">_xlfn.SWITCH($A$2,"average", AVERAGE(Instances!G176:Instances!G176),"median", MEDIAN(Instances!G176:Instances!G176),"min", MIN(Instances!G176:Instances!G176),"max", MAX(Instances!G176:Instances!G176),"diff", MAX(Instances!G176:Instances!G176)-MIN(Instances!G176:Instances!G176))</f>
        <v>0</v>
      </c>
      <c r="H176" s="1"/>
      <c r="I176" s="1"/>
      <c r="J176" s="1" cm="1">
        <f t="array" ref="J176">_xlfn.SWITCH($A$2,"average", AVERAGE(Instances!J176:Instances!J176),"median", MEDIAN(Instances!J176:Instances!J176),"min", MIN(Instances!J176:Instances!J176),"max", MAX(Instances!J176:Instances!J176),"diff", MAX(Instances!J176:Instances!J176)-MIN(Instances!J176:Instances!J176))</f>
        <v>0</v>
      </c>
      <c r="K176" s="1" cm="1">
        <f t="array" ref="K176">_xlfn.SWITCH($A$2,"average", AVERAGE(Instances!K176:Instances!K176),"median", MEDIAN(Instances!K176:Instances!K176),"min", MIN(Instances!K176:Instances!K176),"max", MAX(Instances!K176:Instances!K176),"diff", MAX(Instances!K176:Instances!K176)-MIN(Instances!K176:Instances!K176))</f>
        <v>0</v>
      </c>
      <c r="L176" s="1" cm="1">
        <f t="array" ref="L176">_xlfn.SWITCH($A$2,"average", AVERAGE(Instances!L176:Instances!L176),"median", MEDIAN(Instances!L176:Instances!L176),"min", MIN(Instances!L176:Instances!L176),"max", MAX(Instances!L176:Instances!L176),"diff", MAX(Instances!L176:Instances!L176)-MIN(Instances!L176:Instances!L176))</f>
        <v>0</v>
      </c>
      <c r="M176" s="1" cm="1">
        <f t="array" ref="M176">_xlfn.SWITCH($A$2,"average", AVERAGE(Instances!M176:Instances!M176),"median", MEDIAN(Instances!M176:Instances!M176),"min", MIN(Instances!M176:Instances!M176),"max", MAX(Instances!M176:Instances!M176),"diff", MAX(Instances!M176:Instances!M176)-MIN(Instances!M176:Instances!M176))</f>
        <v>0</v>
      </c>
      <c r="N176" s="1" cm="1">
        <f t="array" ref="N176">_xlfn.SWITCH($A$2,"average", AVERAGE(Instances!N176:Instances!N176),"median", MEDIAN(Instances!N176:Instances!N176),"min", MIN(Instances!N176:Instances!N176),"max", MAX(Instances!N176:Instances!N176),"diff", MAX(Instances!N176:Instances!N176)-MIN(Instances!N176:Instances!N176))</f>
        <v>0</v>
      </c>
      <c r="O176" s="1" cm="1">
        <f t="array" ref="O176">_xlfn.SWITCH($A$2,"average", AVERAGE(Instances!O176:Instances!O176),"median", MEDIAN(Instances!O176:Instances!O176),"min", MIN(Instances!O176:Instances!O176),"max", MAX(Instances!O176:Instances!O176),"diff", MAX(Instances!O176:Instances!O176)-MIN(Instances!O176:Instances!O176))</f>
        <v>0</v>
      </c>
      <c r="P176" s="1" cm="1">
        <f t="array" ref="P176">_xlfn.SWITCH($A$2,"average", AVERAGE(Instances!P176:Instances!P176),"median", MEDIAN(Instances!P176:Instances!P176),"min", MIN(Instances!P176:Instances!P176),"max", MAX(Instances!P176:Instances!P176),"diff", MAX(Instances!P176:Instances!P176)-MIN(Instances!P176:Instances!P176))</f>
        <v>0</v>
      </c>
      <c r="Q176" s="1" cm="1">
        <f t="array" ref="Q176">_xlfn.SWITCH($A$2,"average", AVERAGE(Instances!Q176:Instances!Q176),"median", MEDIAN(Instances!Q176:Instances!Q176),"min", MIN(Instances!Q176:Instances!Q176),"max", MAX(Instances!Q176:Instances!Q176),"diff", MAX(Instances!Q176:Instances!Q176)-MIN(Instances!Q176:Instances!Q176))</f>
        <v>0</v>
      </c>
      <c r="R176" s="1">
        <f>MIN($B176,$D176,$F176,$H176,$J176,$L176,$N176,$P176)</f>
        <v>0</v>
      </c>
      <c r="S176" s="1">
        <f>MIN($C176,$E176,$G176,$I176,$K176,$M176,$O176,$Q176)</f>
        <v>0</v>
      </c>
      <c r="T176" s="1">
        <f>MEDIAN($B176,$D176,$F176,$H176,$J176,$L176,$N176,$P176)</f>
        <v>0</v>
      </c>
      <c r="U176" s="1">
        <f>MEDIAN($C176,$E176,$G176,$I176,$K176,$M176,$O176,$Q176)</f>
        <v>0</v>
      </c>
      <c r="V176" s="1">
        <f>MAX($B176,$D176,$F176,$H176,$J176,$L176,$N176,$P176)</f>
        <v>0</v>
      </c>
      <c r="W176" s="1">
        <f>MAX($C176,$E176,$G176,$I176,$K176,$M176,$O176,$Q176)</f>
        <v>0</v>
      </c>
    </row>
    <row r="177" spans="1:23">
      <c r="A177" s="1" t="s">
        <v>174</v>
      </c>
      <c r="B177" s="1"/>
      <c r="C177" s="1"/>
      <c r="D177" s="1" cm="1">
        <f t="array" ref="D177">_xlfn.SWITCH($A$2,"average", AVERAGE(Instances!D177:Instances!D177),"median", MEDIAN(Instances!D177:Instances!D177),"min", MIN(Instances!D177:Instances!D177),"max", MAX(Instances!D177:Instances!D177),"diff", MAX(Instances!D177:Instances!D177)-MIN(Instances!D177:Instances!D177))</f>
        <v>0</v>
      </c>
      <c r="E177" s="1" cm="1">
        <f t="array" ref="E177">_xlfn.SWITCH($A$2,"average", AVERAGE(Instances!E177:Instances!E177),"median", MEDIAN(Instances!E177:Instances!E177),"min", MIN(Instances!E177:Instances!E177),"max", MAX(Instances!E177:Instances!E177),"diff", MAX(Instances!E177:Instances!E177)-MIN(Instances!E177:Instances!E177))</f>
        <v>0</v>
      </c>
      <c r="F177" s="1" cm="1">
        <f t="array" ref="F177">_xlfn.SWITCH($A$2,"average", AVERAGE(Instances!F177:Instances!F177),"median", MEDIAN(Instances!F177:Instances!F177),"min", MIN(Instances!F177:Instances!F177),"max", MAX(Instances!F177:Instances!F177),"diff", MAX(Instances!F177:Instances!F177)-MIN(Instances!F177:Instances!F177))</f>
        <v>0</v>
      </c>
      <c r="G177" s="1" cm="1">
        <f t="array" ref="G177">_xlfn.SWITCH($A$2,"average", AVERAGE(Instances!G177:Instances!G177),"median", MEDIAN(Instances!G177:Instances!G177),"min", MIN(Instances!G177:Instances!G177),"max", MAX(Instances!G177:Instances!G177),"diff", MAX(Instances!G177:Instances!G177)-MIN(Instances!G177:Instances!G177))</f>
        <v>0</v>
      </c>
      <c r="H177" s="1"/>
      <c r="I177" s="1"/>
      <c r="J177" s="1" cm="1">
        <f t="array" ref="J177">_xlfn.SWITCH($A$2,"average", AVERAGE(Instances!J177:Instances!J177),"median", MEDIAN(Instances!J177:Instances!J177),"min", MIN(Instances!J177:Instances!J177),"max", MAX(Instances!J177:Instances!J177),"diff", MAX(Instances!J177:Instances!J177)-MIN(Instances!J177:Instances!J177))</f>
        <v>0</v>
      </c>
      <c r="K177" s="1" cm="1">
        <f t="array" ref="K177">_xlfn.SWITCH($A$2,"average", AVERAGE(Instances!K177:Instances!K177),"median", MEDIAN(Instances!K177:Instances!K177),"min", MIN(Instances!K177:Instances!K177),"max", MAX(Instances!K177:Instances!K177),"diff", MAX(Instances!K177:Instances!K177)-MIN(Instances!K177:Instances!K177))</f>
        <v>0</v>
      </c>
      <c r="L177" s="1" cm="1">
        <f t="array" ref="L177">_xlfn.SWITCH($A$2,"average", AVERAGE(Instances!L177:Instances!L177),"median", MEDIAN(Instances!L177:Instances!L177),"min", MIN(Instances!L177:Instances!L177),"max", MAX(Instances!L177:Instances!L177),"diff", MAX(Instances!L177:Instances!L177)-MIN(Instances!L177:Instances!L177))</f>
        <v>0</v>
      </c>
      <c r="M177" s="1" cm="1">
        <f t="array" ref="M177">_xlfn.SWITCH($A$2,"average", AVERAGE(Instances!M177:Instances!M177),"median", MEDIAN(Instances!M177:Instances!M177),"min", MIN(Instances!M177:Instances!M177),"max", MAX(Instances!M177:Instances!M177),"diff", MAX(Instances!M177:Instances!M177)-MIN(Instances!M177:Instances!M177))</f>
        <v>0</v>
      </c>
      <c r="N177" s="1" cm="1">
        <f t="array" ref="N177">_xlfn.SWITCH($A$2,"average", AVERAGE(Instances!N177:Instances!N177),"median", MEDIAN(Instances!N177:Instances!N177),"min", MIN(Instances!N177:Instances!N177),"max", MAX(Instances!N177:Instances!N177),"diff", MAX(Instances!N177:Instances!N177)-MIN(Instances!N177:Instances!N177))</f>
        <v>0</v>
      </c>
      <c r="O177" s="1" cm="1">
        <f t="array" ref="O177">_xlfn.SWITCH($A$2,"average", AVERAGE(Instances!O177:Instances!O177),"median", MEDIAN(Instances!O177:Instances!O177),"min", MIN(Instances!O177:Instances!O177),"max", MAX(Instances!O177:Instances!O177),"diff", MAX(Instances!O177:Instances!O177)-MIN(Instances!O177:Instances!O177))</f>
        <v>0</v>
      </c>
      <c r="P177" s="1" cm="1">
        <f t="array" ref="P177">_xlfn.SWITCH($A$2,"average", AVERAGE(Instances!P177:Instances!P177),"median", MEDIAN(Instances!P177:Instances!P177),"min", MIN(Instances!P177:Instances!P177),"max", MAX(Instances!P177:Instances!P177),"diff", MAX(Instances!P177:Instances!P177)-MIN(Instances!P177:Instances!P177))</f>
        <v>0</v>
      </c>
      <c r="Q177" s="1" cm="1">
        <f t="array" ref="Q177">_xlfn.SWITCH($A$2,"average", AVERAGE(Instances!Q177:Instances!Q177),"median", MEDIAN(Instances!Q177:Instances!Q177),"min", MIN(Instances!Q177:Instances!Q177),"max", MAX(Instances!Q177:Instances!Q177),"diff", MAX(Instances!Q177:Instances!Q177)-MIN(Instances!Q177:Instances!Q177))</f>
        <v>0</v>
      </c>
      <c r="R177" s="1">
        <f>MIN($B177,$D177,$F177,$H177,$J177,$L177,$N177,$P177)</f>
        <v>0</v>
      </c>
      <c r="S177" s="1">
        <f>MIN($C177,$E177,$G177,$I177,$K177,$M177,$O177,$Q177)</f>
        <v>0</v>
      </c>
      <c r="T177" s="1">
        <f>MEDIAN($B177,$D177,$F177,$H177,$J177,$L177,$N177,$P177)</f>
        <v>0</v>
      </c>
      <c r="U177" s="1">
        <f>MEDIAN($C177,$E177,$G177,$I177,$K177,$M177,$O177,$Q177)</f>
        <v>0</v>
      </c>
      <c r="V177" s="1">
        <f>MAX($B177,$D177,$F177,$H177,$J177,$L177,$N177,$P177)</f>
        <v>0</v>
      </c>
      <c r="W177" s="1">
        <f>MAX($C177,$E177,$G177,$I177,$K177,$M177,$O177,$Q177)</f>
        <v>0</v>
      </c>
    </row>
    <row r="178" spans="1:23">
      <c r="A178" s="1" t="s">
        <v>175</v>
      </c>
      <c r="B178" s="1"/>
      <c r="C178" s="1"/>
      <c r="D178" s="1" cm="1">
        <f t="array" ref="D178">_xlfn.SWITCH($A$2,"average", AVERAGE(Instances!D178:Instances!D178),"median", MEDIAN(Instances!D178:Instances!D178),"min", MIN(Instances!D178:Instances!D178),"max", MAX(Instances!D178:Instances!D178),"diff", MAX(Instances!D178:Instances!D178)-MIN(Instances!D178:Instances!D178))</f>
        <v>0</v>
      </c>
      <c r="E178" s="1" cm="1">
        <f t="array" ref="E178">_xlfn.SWITCH($A$2,"average", AVERAGE(Instances!E178:Instances!E178),"median", MEDIAN(Instances!E178:Instances!E178),"min", MIN(Instances!E178:Instances!E178),"max", MAX(Instances!E178:Instances!E178),"diff", MAX(Instances!E178:Instances!E178)-MIN(Instances!E178:Instances!E178))</f>
        <v>0</v>
      </c>
      <c r="F178" s="1" cm="1">
        <f t="array" ref="F178">_xlfn.SWITCH($A$2,"average", AVERAGE(Instances!F178:Instances!F178),"median", MEDIAN(Instances!F178:Instances!F178),"min", MIN(Instances!F178:Instances!F178),"max", MAX(Instances!F178:Instances!F178),"diff", MAX(Instances!F178:Instances!F178)-MIN(Instances!F178:Instances!F178))</f>
        <v>0</v>
      </c>
      <c r="G178" s="1" cm="1">
        <f t="array" ref="G178">_xlfn.SWITCH($A$2,"average", AVERAGE(Instances!G178:Instances!G178),"median", MEDIAN(Instances!G178:Instances!G178),"min", MIN(Instances!G178:Instances!G178),"max", MAX(Instances!G178:Instances!G178),"diff", MAX(Instances!G178:Instances!G178)-MIN(Instances!G178:Instances!G178))</f>
        <v>0</v>
      </c>
      <c r="H178" s="1"/>
      <c r="I178" s="1"/>
      <c r="J178" s="1" cm="1">
        <f t="array" ref="J178">_xlfn.SWITCH($A$2,"average", AVERAGE(Instances!J178:Instances!J178),"median", MEDIAN(Instances!J178:Instances!J178),"min", MIN(Instances!J178:Instances!J178),"max", MAX(Instances!J178:Instances!J178),"diff", MAX(Instances!J178:Instances!J178)-MIN(Instances!J178:Instances!J178))</f>
        <v>0</v>
      </c>
      <c r="K178" s="1" cm="1">
        <f t="array" ref="K178">_xlfn.SWITCH($A$2,"average", AVERAGE(Instances!K178:Instances!K178),"median", MEDIAN(Instances!K178:Instances!K178),"min", MIN(Instances!K178:Instances!K178),"max", MAX(Instances!K178:Instances!K178),"diff", MAX(Instances!K178:Instances!K178)-MIN(Instances!K178:Instances!K178))</f>
        <v>0</v>
      </c>
      <c r="L178" s="1" cm="1">
        <f t="array" ref="L178">_xlfn.SWITCH($A$2,"average", AVERAGE(Instances!L178:Instances!L178),"median", MEDIAN(Instances!L178:Instances!L178),"min", MIN(Instances!L178:Instances!L178),"max", MAX(Instances!L178:Instances!L178),"diff", MAX(Instances!L178:Instances!L178)-MIN(Instances!L178:Instances!L178))</f>
        <v>0</v>
      </c>
      <c r="M178" s="1" cm="1">
        <f t="array" ref="M178">_xlfn.SWITCH($A$2,"average", AVERAGE(Instances!M178:Instances!M178),"median", MEDIAN(Instances!M178:Instances!M178),"min", MIN(Instances!M178:Instances!M178),"max", MAX(Instances!M178:Instances!M178),"diff", MAX(Instances!M178:Instances!M178)-MIN(Instances!M178:Instances!M178))</f>
        <v>0</v>
      </c>
      <c r="N178" s="1" cm="1">
        <f t="array" ref="N178">_xlfn.SWITCH($A$2,"average", AVERAGE(Instances!N178:Instances!N178),"median", MEDIAN(Instances!N178:Instances!N178),"min", MIN(Instances!N178:Instances!N178),"max", MAX(Instances!N178:Instances!N178),"diff", MAX(Instances!N178:Instances!N178)-MIN(Instances!N178:Instances!N178))</f>
        <v>0</v>
      </c>
      <c r="O178" s="1" cm="1">
        <f t="array" ref="O178">_xlfn.SWITCH($A$2,"average", AVERAGE(Instances!O178:Instances!O178),"median", MEDIAN(Instances!O178:Instances!O178),"min", MIN(Instances!O178:Instances!O178),"max", MAX(Instances!O178:Instances!O178),"diff", MAX(Instances!O178:Instances!O178)-MIN(Instances!O178:Instances!O178))</f>
        <v>0</v>
      </c>
      <c r="P178" s="1" cm="1">
        <f t="array" ref="P178">_xlfn.SWITCH($A$2,"average", AVERAGE(Instances!P178:Instances!P178),"median", MEDIAN(Instances!P178:Instances!P178),"min", MIN(Instances!P178:Instances!P178),"max", MAX(Instances!P178:Instances!P178),"diff", MAX(Instances!P178:Instances!P178)-MIN(Instances!P178:Instances!P178))</f>
        <v>0</v>
      </c>
      <c r="Q178" s="1" cm="1">
        <f t="array" ref="Q178">_xlfn.SWITCH($A$2,"average", AVERAGE(Instances!Q178:Instances!Q178),"median", MEDIAN(Instances!Q178:Instances!Q178),"min", MIN(Instances!Q178:Instances!Q178),"max", MAX(Instances!Q178:Instances!Q178),"diff", MAX(Instances!Q178:Instances!Q178)-MIN(Instances!Q178:Instances!Q178))</f>
        <v>0</v>
      </c>
      <c r="R178" s="1">
        <f>MIN($B178,$D178,$F178,$H178,$J178,$L178,$N178,$P178)</f>
        <v>0</v>
      </c>
      <c r="S178" s="1">
        <f>MIN($C178,$E178,$G178,$I178,$K178,$M178,$O178,$Q178)</f>
        <v>0</v>
      </c>
      <c r="T178" s="1">
        <f>MEDIAN($B178,$D178,$F178,$H178,$J178,$L178,$N178,$P178)</f>
        <v>0</v>
      </c>
      <c r="U178" s="1">
        <f>MEDIAN($C178,$E178,$G178,$I178,$K178,$M178,$O178,$Q178)</f>
        <v>0</v>
      </c>
      <c r="V178" s="1">
        <f>MAX($B178,$D178,$F178,$H178,$J178,$L178,$N178,$P178)</f>
        <v>0</v>
      </c>
      <c r="W178" s="1">
        <f>MAX($C178,$E178,$G178,$I178,$K178,$M178,$O178,$Q178)</f>
        <v>0</v>
      </c>
    </row>
    <row r="179" spans="1:23">
      <c r="A179" s="1" t="s">
        <v>176</v>
      </c>
      <c r="B179" s="1"/>
      <c r="C179" s="1"/>
      <c r="D179" s="1" cm="1">
        <f t="array" ref="D179">_xlfn.SWITCH($A$2,"average", AVERAGE(Instances!D179:Instances!D179),"median", MEDIAN(Instances!D179:Instances!D179),"min", MIN(Instances!D179:Instances!D179),"max", MAX(Instances!D179:Instances!D179),"diff", MAX(Instances!D179:Instances!D179)-MIN(Instances!D179:Instances!D179))</f>
        <v>0</v>
      </c>
      <c r="E179" s="1" cm="1">
        <f t="array" ref="E179">_xlfn.SWITCH($A$2,"average", AVERAGE(Instances!E179:Instances!E179),"median", MEDIAN(Instances!E179:Instances!E179),"min", MIN(Instances!E179:Instances!E179),"max", MAX(Instances!E179:Instances!E179),"diff", MAX(Instances!E179:Instances!E179)-MIN(Instances!E179:Instances!E179))</f>
        <v>0</v>
      </c>
      <c r="F179" s="1" cm="1">
        <f t="array" ref="F179">_xlfn.SWITCH($A$2,"average", AVERAGE(Instances!F179:Instances!F179),"median", MEDIAN(Instances!F179:Instances!F179),"min", MIN(Instances!F179:Instances!F179),"max", MAX(Instances!F179:Instances!F179),"diff", MAX(Instances!F179:Instances!F179)-MIN(Instances!F179:Instances!F179))</f>
        <v>0</v>
      </c>
      <c r="G179" s="1" cm="1">
        <f t="array" ref="G179">_xlfn.SWITCH($A$2,"average", AVERAGE(Instances!G179:Instances!G179),"median", MEDIAN(Instances!G179:Instances!G179),"min", MIN(Instances!G179:Instances!G179),"max", MAX(Instances!G179:Instances!G179),"diff", MAX(Instances!G179:Instances!G179)-MIN(Instances!G179:Instances!G179))</f>
        <v>0</v>
      </c>
      <c r="H179" s="1"/>
      <c r="I179" s="1"/>
      <c r="J179" s="1" cm="1">
        <f t="array" ref="J179">_xlfn.SWITCH($A$2,"average", AVERAGE(Instances!J179:Instances!J179),"median", MEDIAN(Instances!J179:Instances!J179),"min", MIN(Instances!J179:Instances!J179),"max", MAX(Instances!J179:Instances!J179),"diff", MAX(Instances!J179:Instances!J179)-MIN(Instances!J179:Instances!J179))</f>
        <v>0</v>
      </c>
      <c r="K179" s="1" cm="1">
        <f t="array" ref="K179">_xlfn.SWITCH($A$2,"average", AVERAGE(Instances!K179:Instances!K179),"median", MEDIAN(Instances!K179:Instances!K179),"min", MIN(Instances!K179:Instances!K179),"max", MAX(Instances!K179:Instances!K179),"diff", MAX(Instances!K179:Instances!K179)-MIN(Instances!K179:Instances!K179))</f>
        <v>0</v>
      </c>
      <c r="L179" s="1" cm="1">
        <f t="array" ref="L179">_xlfn.SWITCH($A$2,"average", AVERAGE(Instances!L179:Instances!L179),"median", MEDIAN(Instances!L179:Instances!L179),"min", MIN(Instances!L179:Instances!L179),"max", MAX(Instances!L179:Instances!L179),"diff", MAX(Instances!L179:Instances!L179)-MIN(Instances!L179:Instances!L179))</f>
        <v>0</v>
      </c>
      <c r="M179" s="1" cm="1">
        <f t="array" ref="M179">_xlfn.SWITCH($A$2,"average", AVERAGE(Instances!M179:Instances!M179),"median", MEDIAN(Instances!M179:Instances!M179),"min", MIN(Instances!M179:Instances!M179),"max", MAX(Instances!M179:Instances!M179),"diff", MAX(Instances!M179:Instances!M179)-MIN(Instances!M179:Instances!M179))</f>
        <v>0</v>
      </c>
      <c r="N179" s="1" cm="1">
        <f t="array" ref="N179">_xlfn.SWITCH($A$2,"average", AVERAGE(Instances!N179:Instances!N179),"median", MEDIAN(Instances!N179:Instances!N179),"min", MIN(Instances!N179:Instances!N179),"max", MAX(Instances!N179:Instances!N179),"diff", MAX(Instances!N179:Instances!N179)-MIN(Instances!N179:Instances!N179))</f>
        <v>0</v>
      </c>
      <c r="O179" s="1" cm="1">
        <f t="array" ref="O179">_xlfn.SWITCH($A$2,"average", AVERAGE(Instances!O179:Instances!O179),"median", MEDIAN(Instances!O179:Instances!O179),"min", MIN(Instances!O179:Instances!O179),"max", MAX(Instances!O179:Instances!O179),"diff", MAX(Instances!O179:Instances!O179)-MIN(Instances!O179:Instances!O179))</f>
        <v>0</v>
      </c>
      <c r="P179" s="1" cm="1">
        <f t="array" ref="P179">_xlfn.SWITCH($A$2,"average", AVERAGE(Instances!P179:Instances!P179),"median", MEDIAN(Instances!P179:Instances!P179),"min", MIN(Instances!P179:Instances!P179),"max", MAX(Instances!P179:Instances!P179),"diff", MAX(Instances!P179:Instances!P179)-MIN(Instances!P179:Instances!P179))</f>
        <v>0</v>
      </c>
      <c r="Q179" s="1" cm="1">
        <f t="array" ref="Q179">_xlfn.SWITCH($A$2,"average", AVERAGE(Instances!Q179:Instances!Q179),"median", MEDIAN(Instances!Q179:Instances!Q179),"min", MIN(Instances!Q179:Instances!Q179),"max", MAX(Instances!Q179:Instances!Q179),"diff", MAX(Instances!Q179:Instances!Q179)-MIN(Instances!Q179:Instances!Q179))</f>
        <v>0</v>
      </c>
      <c r="R179" s="1">
        <f>MIN($B179,$D179,$F179,$H179,$J179,$L179,$N179,$P179)</f>
        <v>0</v>
      </c>
      <c r="S179" s="1">
        <f>MIN($C179,$E179,$G179,$I179,$K179,$M179,$O179,$Q179)</f>
        <v>0</v>
      </c>
      <c r="T179" s="1">
        <f>MEDIAN($B179,$D179,$F179,$H179,$J179,$L179,$N179,$P179)</f>
        <v>0</v>
      </c>
      <c r="U179" s="1">
        <f>MEDIAN($C179,$E179,$G179,$I179,$K179,$M179,$O179,$Q179)</f>
        <v>0</v>
      </c>
      <c r="V179" s="1">
        <f>MAX($B179,$D179,$F179,$H179,$J179,$L179,$N179,$P179)</f>
        <v>0</v>
      </c>
      <c r="W179" s="1">
        <f>MAX($C179,$E179,$G179,$I179,$K179,$M179,$O179,$Q179)</f>
        <v>0</v>
      </c>
    </row>
    <row r="180" spans="1:23">
      <c r="A180" s="1" t="s">
        <v>177</v>
      </c>
      <c r="B180" s="1"/>
      <c r="C180" s="1"/>
      <c r="D180" s="1" cm="1">
        <f t="array" ref="D180">_xlfn.SWITCH($A$2,"average", AVERAGE(Instances!D180:Instances!D180),"median", MEDIAN(Instances!D180:Instances!D180),"min", MIN(Instances!D180:Instances!D180),"max", MAX(Instances!D180:Instances!D180),"diff", MAX(Instances!D180:Instances!D180)-MIN(Instances!D180:Instances!D180))</f>
        <v>0</v>
      </c>
      <c r="E180" s="1" cm="1">
        <f t="array" ref="E180">_xlfn.SWITCH($A$2,"average", AVERAGE(Instances!E180:Instances!E180),"median", MEDIAN(Instances!E180:Instances!E180),"min", MIN(Instances!E180:Instances!E180),"max", MAX(Instances!E180:Instances!E180),"diff", MAX(Instances!E180:Instances!E180)-MIN(Instances!E180:Instances!E180))</f>
        <v>0</v>
      </c>
      <c r="F180" s="1" cm="1">
        <f t="array" ref="F180">_xlfn.SWITCH($A$2,"average", AVERAGE(Instances!F180:Instances!F180),"median", MEDIAN(Instances!F180:Instances!F180),"min", MIN(Instances!F180:Instances!F180),"max", MAX(Instances!F180:Instances!F180),"diff", MAX(Instances!F180:Instances!F180)-MIN(Instances!F180:Instances!F180))</f>
        <v>0</v>
      </c>
      <c r="G180" s="1" cm="1">
        <f t="array" ref="G180">_xlfn.SWITCH($A$2,"average", AVERAGE(Instances!G180:Instances!G180),"median", MEDIAN(Instances!G180:Instances!G180),"min", MIN(Instances!G180:Instances!G180),"max", MAX(Instances!G180:Instances!G180),"diff", MAX(Instances!G180:Instances!G180)-MIN(Instances!G180:Instances!G180))</f>
        <v>0</v>
      </c>
      <c r="H180" s="1"/>
      <c r="I180" s="1"/>
      <c r="J180" s="1" cm="1">
        <f t="array" ref="J180">_xlfn.SWITCH($A$2,"average", AVERAGE(Instances!J180:Instances!J180),"median", MEDIAN(Instances!J180:Instances!J180),"min", MIN(Instances!J180:Instances!J180),"max", MAX(Instances!J180:Instances!J180),"diff", MAX(Instances!J180:Instances!J180)-MIN(Instances!J180:Instances!J180))</f>
        <v>0</v>
      </c>
      <c r="K180" s="1" cm="1">
        <f t="array" ref="K180">_xlfn.SWITCH($A$2,"average", AVERAGE(Instances!K180:Instances!K180),"median", MEDIAN(Instances!K180:Instances!K180),"min", MIN(Instances!K180:Instances!K180),"max", MAX(Instances!K180:Instances!K180),"diff", MAX(Instances!K180:Instances!K180)-MIN(Instances!K180:Instances!K180))</f>
        <v>0</v>
      </c>
      <c r="L180" s="1" cm="1">
        <f t="array" ref="L180">_xlfn.SWITCH($A$2,"average", AVERAGE(Instances!L180:Instances!L180),"median", MEDIAN(Instances!L180:Instances!L180),"min", MIN(Instances!L180:Instances!L180),"max", MAX(Instances!L180:Instances!L180),"diff", MAX(Instances!L180:Instances!L180)-MIN(Instances!L180:Instances!L180))</f>
        <v>0</v>
      </c>
      <c r="M180" s="1" cm="1">
        <f t="array" ref="M180">_xlfn.SWITCH($A$2,"average", AVERAGE(Instances!M180:Instances!M180),"median", MEDIAN(Instances!M180:Instances!M180),"min", MIN(Instances!M180:Instances!M180),"max", MAX(Instances!M180:Instances!M180),"diff", MAX(Instances!M180:Instances!M180)-MIN(Instances!M180:Instances!M180))</f>
        <v>0</v>
      </c>
      <c r="N180" s="1" cm="1">
        <f t="array" ref="N180">_xlfn.SWITCH($A$2,"average", AVERAGE(Instances!N180:Instances!N180),"median", MEDIAN(Instances!N180:Instances!N180),"min", MIN(Instances!N180:Instances!N180),"max", MAX(Instances!N180:Instances!N180),"diff", MAX(Instances!N180:Instances!N180)-MIN(Instances!N180:Instances!N180))</f>
        <v>0</v>
      </c>
      <c r="O180" s="1" cm="1">
        <f t="array" ref="O180">_xlfn.SWITCH($A$2,"average", AVERAGE(Instances!O180:Instances!O180),"median", MEDIAN(Instances!O180:Instances!O180),"min", MIN(Instances!O180:Instances!O180),"max", MAX(Instances!O180:Instances!O180),"diff", MAX(Instances!O180:Instances!O180)-MIN(Instances!O180:Instances!O180))</f>
        <v>0</v>
      </c>
      <c r="P180" s="1" cm="1">
        <f t="array" ref="P180">_xlfn.SWITCH($A$2,"average", AVERAGE(Instances!P180:Instances!P180),"median", MEDIAN(Instances!P180:Instances!P180),"min", MIN(Instances!P180:Instances!P180),"max", MAX(Instances!P180:Instances!P180),"diff", MAX(Instances!P180:Instances!P180)-MIN(Instances!P180:Instances!P180))</f>
        <v>0</v>
      </c>
      <c r="Q180" s="1" cm="1">
        <f t="array" ref="Q180">_xlfn.SWITCH($A$2,"average", AVERAGE(Instances!Q180:Instances!Q180),"median", MEDIAN(Instances!Q180:Instances!Q180),"min", MIN(Instances!Q180:Instances!Q180),"max", MAX(Instances!Q180:Instances!Q180),"diff", MAX(Instances!Q180:Instances!Q180)-MIN(Instances!Q180:Instances!Q180))</f>
        <v>0</v>
      </c>
      <c r="R180" s="1">
        <f>MIN($B180,$D180,$F180,$H180,$J180,$L180,$N180,$P180)</f>
        <v>0</v>
      </c>
      <c r="S180" s="1">
        <f>MIN($C180,$E180,$G180,$I180,$K180,$M180,$O180,$Q180)</f>
        <v>0</v>
      </c>
      <c r="T180" s="1">
        <f>MEDIAN($B180,$D180,$F180,$H180,$J180,$L180,$N180,$P180)</f>
        <v>0</v>
      </c>
      <c r="U180" s="1">
        <f>MEDIAN($C180,$E180,$G180,$I180,$K180,$M180,$O180,$Q180)</f>
        <v>0</v>
      </c>
      <c r="V180" s="1">
        <f>MAX($B180,$D180,$F180,$H180,$J180,$L180,$N180,$P180)</f>
        <v>0</v>
      </c>
      <c r="W180" s="1">
        <f>MAX($C180,$E180,$G180,$I180,$K180,$M180,$O180,$Q180)</f>
        <v>0</v>
      </c>
    </row>
    <row r="181" spans="1:23">
      <c r="A181" s="1" t="s">
        <v>178</v>
      </c>
      <c r="B181" s="1"/>
      <c r="C181" s="1"/>
      <c r="D181" s="1" cm="1">
        <f t="array" ref="D181">_xlfn.SWITCH($A$2,"average", AVERAGE(Instances!D181:Instances!D181),"median", MEDIAN(Instances!D181:Instances!D181),"min", MIN(Instances!D181:Instances!D181),"max", MAX(Instances!D181:Instances!D181),"diff", MAX(Instances!D181:Instances!D181)-MIN(Instances!D181:Instances!D181))</f>
        <v>0</v>
      </c>
      <c r="E181" s="1" cm="1">
        <f t="array" ref="E181">_xlfn.SWITCH($A$2,"average", AVERAGE(Instances!E181:Instances!E181),"median", MEDIAN(Instances!E181:Instances!E181),"min", MIN(Instances!E181:Instances!E181),"max", MAX(Instances!E181:Instances!E181),"diff", MAX(Instances!E181:Instances!E181)-MIN(Instances!E181:Instances!E181))</f>
        <v>0</v>
      </c>
      <c r="F181" s="1" cm="1">
        <f t="array" ref="F181">_xlfn.SWITCH($A$2,"average", AVERAGE(Instances!F181:Instances!F181),"median", MEDIAN(Instances!F181:Instances!F181),"min", MIN(Instances!F181:Instances!F181),"max", MAX(Instances!F181:Instances!F181),"diff", MAX(Instances!F181:Instances!F181)-MIN(Instances!F181:Instances!F181))</f>
        <v>0</v>
      </c>
      <c r="G181" s="1" cm="1">
        <f t="array" ref="G181">_xlfn.SWITCH($A$2,"average", AVERAGE(Instances!G181:Instances!G181),"median", MEDIAN(Instances!G181:Instances!G181),"min", MIN(Instances!G181:Instances!G181),"max", MAX(Instances!G181:Instances!G181),"diff", MAX(Instances!G181:Instances!G181)-MIN(Instances!G181:Instances!G181))</f>
        <v>0</v>
      </c>
      <c r="H181" s="1"/>
      <c r="I181" s="1"/>
      <c r="J181" s="1" cm="1">
        <f t="array" ref="J181">_xlfn.SWITCH($A$2,"average", AVERAGE(Instances!J181:Instances!J181),"median", MEDIAN(Instances!J181:Instances!J181),"min", MIN(Instances!J181:Instances!J181),"max", MAX(Instances!J181:Instances!J181),"diff", MAX(Instances!J181:Instances!J181)-MIN(Instances!J181:Instances!J181))</f>
        <v>0</v>
      </c>
      <c r="K181" s="1" cm="1">
        <f t="array" ref="K181">_xlfn.SWITCH($A$2,"average", AVERAGE(Instances!K181:Instances!K181),"median", MEDIAN(Instances!K181:Instances!K181),"min", MIN(Instances!K181:Instances!K181),"max", MAX(Instances!K181:Instances!K181),"diff", MAX(Instances!K181:Instances!K181)-MIN(Instances!K181:Instances!K181))</f>
        <v>0</v>
      </c>
      <c r="L181" s="1" cm="1">
        <f t="array" ref="L181">_xlfn.SWITCH($A$2,"average", AVERAGE(Instances!L181:Instances!L181),"median", MEDIAN(Instances!L181:Instances!L181),"min", MIN(Instances!L181:Instances!L181),"max", MAX(Instances!L181:Instances!L181),"diff", MAX(Instances!L181:Instances!L181)-MIN(Instances!L181:Instances!L181))</f>
        <v>0</v>
      </c>
      <c r="M181" s="1" cm="1">
        <f t="array" ref="M181">_xlfn.SWITCH($A$2,"average", AVERAGE(Instances!M181:Instances!M181),"median", MEDIAN(Instances!M181:Instances!M181),"min", MIN(Instances!M181:Instances!M181),"max", MAX(Instances!M181:Instances!M181),"diff", MAX(Instances!M181:Instances!M181)-MIN(Instances!M181:Instances!M181))</f>
        <v>0</v>
      </c>
      <c r="N181" s="1" cm="1">
        <f t="array" ref="N181">_xlfn.SWITCH($A$2,"average", AVERAGE(Instances!N181:Instances!N181),"median", MEDIAN(Instances!N181:Instances!N181),"min", MIN(Instances!N181:Instances!N181),"max", MAX(Instances!N181:Instances!N181),"diff", MAX(Instances!N181:Instances!N181)-MIN(Instances!N181:Instances!N181))</f>
        <v>0</v>
      </c>
      <c r="O181" s="1" cm="1">
        <f t="array" ref="O181">_xlfn.SWITCH($A$2,"average", AVERAGE(Instances!O181:Instances!O181),"median", MEDIAN(Instances!O181:Instances!O181),"min", MIN(Instances!O181:Instances!O181),"max", MAX(Instances!O181:Instances!O181),"diff", MAX(Instances!O181:Instances!O181)-MIN(Instances!O181:Instances!O181))</f>
        <v>0</v>
      </c>
      <c r="P181" s="1" cm="1">
        <f t="array" ref="P181">_xlfn.SWITCH($A$2,"average", AVERAGE(Instances!P181:Instances!P181),"median", MEDIAN(Instances!P181:Instances!P181),"min", MIN(Instances!P181:Instances!P181),"max", MAX(Instances!P181:Instances!P181),"diff", MAX(Instances!P181:Instances!P181)-MIN(Instances!P181:Instances!P181))</f>
        <v>0</v>
      </c>
      <c r="Q181" s="1" cm="1">
        <f t="array" ref="Q181">_xlfn.SWITCH($A$2,"average", AVERAGE(Instances!Q181:Instances!Q181),"median", MEDIAN(Instances!Q181:Instances!Q181),"min", MIN(Instances!Q181:Instances!Q181),"max", MAX(Instances!Q181:Instances!Q181),"diff", MAX(Instances!Q181:Instances!Q181)-MIN(Instances!Q181:Instances!Q181))</f>
        <v>0</v>
      </c>
      <c r="R181" s="1">
        <f>MIN($B181,$D181,$F181,$H181,$J181,$L181,$N181,$P181)</f>
        <v>0</v>
      </c>
      <c r="S181" s="1">
        <f>MIN($C181,$E181,$G181,$I181,$K181,$M181,$O181,$Q181)</f>
        <v>0</v>
      </c>
      <c r="T181" s="1">
        <f>MEDIAN($B181,$D181,$F181,$H181,$J181,$L181,$N181,$P181)</f>
        <v>0</v>
      </c>
      <c r="U181" s="1">
        <f>MEDIAN($C181,$E181,$G181,$I181,$K181,$M181,$O181,$Q181)</f>
        <v>0</v>
      </c>
      <c r="V181" s="1">
        <f>MAX($B181,$D181,$F181,$H181,$J181,$L181,$N181,$P181)</f>
        <v>0</v>
      </c>
      <c r="W181" s="1">
        <f>MAX($C181,$E181,$G181,$I181,$K181,$M181,$O181,$Q181)</f>
        <v>0</v>
      </c>
    </row>
    <row r="182" spans="1:23">
      <c r="A182" s="1" t="s">
        <v>179</v>
      </c>
      <c r="B182" s="1"/>
      <c r="C182" s="1"/>
      <c r="D182" s="1" cm="1">
        <f t="array" ref="D182">_xlfn.SWITCH($A$2,"average", AVERAGE(Instances!D182:Instances!D182),"median", MEDIAN(Instances!D182:Instances!D182),"min", MIN(Instances!D182:Instances!D182),"max", MAX(Instances!D182:Instances!D182),"diff", MAX(Instances!D182:Instances!D182)-MIN(Instances!D182:Instances!D182))</f>
        <v>0</v>
      </c>
      <c r="E182" s="1" cm="1">
        <f t="array" ref="E182">_xlfn.SWITCH($A$2,"average", AVERAGE(Instances!E182:Instances!E182),"median", MEDIAN(Instances!E182:Instances!E182),"min", MIN(Instances!E182:Instances!E182),"max", MAX(Instances!E182:Instances!E182),"diff", MAX(Instances!E182:Instances!E182)-MIN(Instances!E182:Instances!E182))</f>
        <v>0</v>
      </c>
      <c r="F182" s="1" cm="1">
        <f t="array" ref="F182">_xlfn.SWITCH($A$2,"average", AVERAGE(Instances!F182:Instances!F182),"median", MEDIAN(Instances!F182:Instances!F182),"min", MIN(Instances!F182:Instances!F182),"max", MAX(Instances!F182:Instances!F182),"diff", MAX(Instances!F182:Instances!F182)-MIN(Instances!F182:Instances!F182))</f>
        <v>0</v>
      </c>
      <c r="G182" s="1" cm="1">
        <f t="array" ref="G182">_xlfn.SWITCH($A$2,"average", AVERAGE(Instances!G182:Instances!G182),"median", MEDIAN(Instances!G182:Instances!G182),"min", MIN(Instances!G182:Instances!G182),"max", MAX(Instances!G182:Instances!G182),"diff", MAX(Instances!G182:Instances!G182)-MIN(Instances!G182:Instances!G182))</f>
        <v>0</v>
      </c>
      <c r="H182" s="1"/>
      <c r="I182" s="1"/>
      <c r="J182" s="1" cm="1">
        <f t="array" ref="J182">_xlfn.SWITCH($A$2,"average", AVERAGE(Instances!J182:Instances!J182),"median", MEDIAN(Instances!J182:Instances!J182),"min", MIN(Instances!J182:Instances!J182),"max", MAX(Instances!J182:Instances!J182),"diff", MAX(Instances!J182:Instances!J182)-MIN(Instances!J182:Instances!J182))</f>
        <v>0</v>
      </c>
      <c r="K182" s="1" cm="1">
        <f t="array" ref="K182">_xlfn.SWITCH($A$2,"average", AVERAGE(Instances!K182:Instances!K182),"median", MEDIAN(Instances!K182:Instances!K182),"min", MIN(Instances!K182:Instances!K182),"max", MAX(Instances!K182:Instances!K182),"diff", MAX(Instances!K182:Instances!K182)-MIN(Instances!K182:Instances!K182))</f>
        <v>0</v>
      </c>
      <c r="L182" s="1" cm="1">
        <f t="array" ref="L182">_xlfn.SWITCH($A$2,"average", AVERAGE(Instances!L182:Instances!L182),"median", MEDIAN(Instances!L182:Instances!L182),"min", MIN(Instances!L182:Instances!L182),"max", MAX(Instances!L182:Instances!L182),"diff", MAX(Instances!L182:Instances!L182)-MIN(Instances!L182:Instances!L182))</f>
        <v>0</v>
      </c>
      <c r="M182" s="1" cm="1">
        <f t="array" ref="M182">_xlfn.SWITCH($A$2,"average", AVERAGE(Instances!M182:Instances!M182),"median", MEDIAN(Instances!M182:Instances!M182),"min", MIN(Instances!M182:Instances!M182),"max", MAX(Instances!M182:Instances!M182),"diff", MAX(Instances!M182:Instances!M182)-MIN(Instances!M182:Instances!M182))</f>
        <v>0</v>
      </c>
      <c r="N182" s="1" cm="1">
        <f t="array" ref="N182">_xlfn.SWITCH($A$2,"average", AVERAGE(Instances!N182:Instances!N182),"median", MEDIAN(Instances!N182:Instances!N182),"min", MIN(Instances!N182:Instances!N182),"max", MAX(Instances!N182:Instances!N182),"diff", MAX(Instances!N182:Instances!N182)-MIN(Instances!N182:Instances!N182))</f>
        <v>0</v>
      </c>
      <c r="O182" s="1" cm="1">
        <f t="array" ref="O182">_xlfn.SWITCH($A$2,"average", AVERAGE(Instances!O182:Instances!O182),"median", MEDIAN(Instances!O182:Instances!O182),"min", MIN(Instances!O182:Instances!O182),"max", MAX(Instances!O182:Instances!O182),"diff", MAX(Instances!O182:Instances!O182)-MIN(Instances!O182:Instances!O182))</f>
        <v>0</v>
      </c>
      <c r="P182" s="1" cm="1">
        <f t="array" ref="P182">_xlfn.SWITCH($A$2,"average", AVERAGE(Instances!P182:Instances!P182),"median", MEDIAN(Instances!P182:Instances!P182),"min", MIN(Instances!P182:Instances!P182),"max", MAX(Instances!P182:Instances!P182),"diff", MAX(Instances!P182:Instances!P182)-MIN(Instances!P182:Instances!P182))</f>
        <v>0</v>
      </c>
      <c r="Q182" s="1" cm="1">
        <f t="array" ref="Q182">_xlfn.SWITCH($A$2,"average", AVERAGE(Instances!Q182:Instances!Q182),"median", MEDIAN(Instances!Q182:Instances!Q182),"min", MIN(Instances!Q182:Instances!Q182),"max", MAX(Instances!Q182:Instances!Q182),"diff", MAX(Instances!Q182:Instances!Q182)-MIN(Instances!Q182:Instances!Q182))</f>
        <v>0</v>
      </c>
      <c r="R182" s="1">
        <f>MIN($B182,$D182,$F182,$H182,$J182,$L182,$N182,$P182)</f>
        <v>0</v>
      </c>
      <c r="S182" s="1">
        <f>MIN($C182,$E182,$G182,$I182,$K182,$M182,$O182,$Q182)</f>
        <v>0</v>
      </c>
      <c r="T182" s="1">
        <f>MEDIAN($B182,$D182,$F182,$H182,$J182,$L182,$N182,$P182)</f>
        <v>0</v>
      </c>
      <c r="U182" s="1">
        <f>MEDIAN($C182,$E182,$G182,$I182,$K182,$M182,$O182,$Q182)</f>
        <v>0</v>
      </c>
      <c r="V182" s="1">
        <f>MAX($B182,$D182,$F182,$H182,$J182,$L182,$N182,$P182)</f>
        <v>0</v>
      </c>
      <c r="W182" s="1">
        <f>MAX($C182,$E182,$G182,$I182,$K182,$M182,$O182,$Q182)</f>
        <v>0</v>
      </c>
    </row>
    <row r="183" spans="1:23">
      <c r="A183" s="1" t="s">
        <v>180</v>
      </c>
      <c r="B183" s="1"/>
      <c r="C183" s="1"/>
      <c r="D183" s="1" cm="1">
        <f t="array" ref="D183">_xlfn.SWITCH($A$2,"average", AVERAGE(Instances!D183:Instances!D183),"median", MEDIAN(Instances!D183:Instances!D183),"min", MIN(Instances!D183:Instances!D183),"max", MAX(Instances!D183:Instances!D183),"diff", MAX(Instances!D183:Instances!D183)-MIN(Instances!D183:Instances!D183))</f>
        <v>0</v>
      </c>
      <c r="E183" s="1" cm="1">
        <f t="array" ref="E183">_xlfn.SWITCH($A$2,"average", AVERAGE(Instances!E183:Instances!E183),"median", MEDIAN(Instances!E183:Instances!E183),"min", MIN(Instances!E183:Instances!E183),"max", MAX(Instances!E183:Instances!E183),"diff", MAX(Instances!E183:Instances!E183)-MIN(Instances!E183:Instances!E183))</f>
        <v>0</v>
      </c>
      <c r="F183" s="1" cm="1">
        <f t="array" ref="F183">_xlfn.SWITCH($A$2,"average", AVERAGE(Instances!F183:Instances!F183),"median", MEDIAN(Instances!F183:Instances!F183),"min", MIN(Instances!F183:Instances!F183),"max", MAX(Instances!F183:Instances!F183),"diff", MAX(Instances!F183:Instances!F183)-MIN(Instances!F183:Instances!F183))</f>
        <v>0</v>
      </c>
      <c r="G183" s="1" cm="1">
        <f t="array" ref="G183">_xlfn.SWITCH($A$2,"average", AVERAGE(Instances!G183:Instances!G183),"median", MEDIAN(Instances!G183:Instances!G183),"min", MIN(Instances!G183:Instances!G183),"max", MAX(Instances!G183:Instances!G183),"diff", MAX(Instances!G183:Instances!G183)-MIN(Instances!G183:Instances!G183))</f>
        <v>0</v>
      </c>
      <c r="H183" s="1"/>
      <c r="I183" s="1"/>
      <c r="J183" s="1" cm="1">
        <f t="array" ref="J183">_xlfn.SWITCH($A$2,"average", AVERAGE(Instances!J183:Instances!J183),"median", MEDIAN(Instances!J183:Instances!J183),"min", MIN(Instances!J183:Instances!J183),"max", MAX(Instances!J183:Instances!J183),"diff", MAX(Instances!J183:Instances!J183)-MIN(Instances!J183:Instances!J183))</f>
        <v>0</v>
      </c>
      <c r="K183" s="1" cm="1">
        <f t="array" ref="K183">_xlfn.SWITCH($A$2,"average", AVERAGE(Instances!K183:Instances!K183),"median", MEDIAN(Instances!K183:Instances!K183),"min", MIN(Instances!K183:Instances!K183),"max", MAX(Instances!K183:Instances!K183),"diff", MAX(Instances!K183:Instances!K183)-MIN(Instances!K183:Instances!K183))</f>
        <v>0</v>
      </c>
      <c r="L183" s="1" cm="1">
        <f t="array" ref="L183">_xlfn.SWITCH($A$2,"average", AVERAGE(Instances!L183:Instances!L183),"median", MEDIAN(Instances!L183:Instances!L183),"min", MIN(Instances!L183:Instances!L183),"max", MAX(Instances!L183:Instances!L183),"diff", MAX(Instances!L183:Instances!L183)-MIN(Instances!L183:Instances!L183))</f>
        <v>0</v>
      </c>
      <c r="M183" s="1" cm="1">
        <f t="array" ref="M183">_xlfn.SWITCH($A$2,"average", AVERAGE(Instances!M183:Instances!M183),"median", MEDIAN(Instances!M183:Instances!M183),"min", MIN(Instances!M183:Instances!M183),"max", MAX(Instances!M183:Instances!M183),"diff", MAX(Instances!M183:Instances!M183)-MIN(Instances!M183:Instances!M183))</f>
        <v>0</v>
      </c>
      <c r="N183" s="1" cm="1">
        <f t="array" ref="N183">_xlfn.SWITCH($A$2,"average", AVERAGE(Instances!N183:Instances!N183),"median", MEDIAN(Instances!N183:Instances!N183),"min", MIN(Instances!N183:Instances!N183),"max", MAX(Instances!N183:Instances!N183),"diff", MAX(Instances!N183:Instances!N183)-MIN(Instances!N183:Instances!N183))</f>
        <v>0</v>
      </c>
      <c r="O183" s="1" cm="1">
        <f t="array" ref="O183">_xlfn.SWITCH($A$2,"average", AVERAGE(Instances!O183:Instances!O183),"median", MEDIAN(Instances!O183:Instances!O183),"min", MIN(Instances!O183:Instances!O183),"max", MAX(Instances!O183:Instances!O183),"diff", MAX(Instances!O183:Instances!O183)-MIN(Instances!O183:Instances!O183))</f>
        <v>0</v>
      </c>
      <c r="P183" s="1" cm="1">
        <f t="array" ref="P183">_xlfn.SWITCH($A$2,"average", AVERAGE(Instances!P183:Instances!P183),"median", MEDIAN(Instances!P183:Instances!P183),"min", MIN(Instances!P183:Instances!P183),"max", MAX(Instances!P183:Instances!P183),"diff", MAX(Instances!P183:Instances!P183)-MIN(Instances!P183:Instances!P183))</f>
        <v>0</v>
      </c>
      <c r="Q183" s="1" cm="1">
        <f t="array" ref="Q183">_xlfn.SWITCH($A$2,"average", AVERAGE(Instances!Q183:Instances!Q183),"median", MEDIAN(Instances!Q183:Instances!Q183),"min", MIN(Instances!Q183:Instances!Q183),"max", MAX(Instances!Q183:Instances!Q183),"diff", MAX(Instances!Q183:Instances!Q183)-MIN(Instances!Q183:Instances!Q183))</f>
        <v>0</v>
      </c>
      <c r="R183" s="1">
        <f>MIN($B183,$D183,$F183,$H183,$J183,$L183,$N183,$P183)</f>
        <v>0</v>
      </c>
      <c r="S183" s="1">
        <f>MIN($C183,$E183,$G183,$I183,$K183,$M183,$O183,$Q183)</f>
        <v>0</v>
      </c>
      <c r="T183" s="1">
        <f>MEDIAN($B183,$D183,$F183,$H183,$J183,$L183,$N183,$P183)</f>
        <v>0</v>
      </c>
      <c r="U183" s="1">
        <f>MEDIAN($C183,$E183,$G183,$I183,$K183,$M183,$O183,$Q183)</f>
        <v>0</v>
      </c>
      <c r="V183" s="1">
        <f>MAX($B183,$D183,$F183,$H183,$J183,$L183,$N183,$P183)</f>
        <v>0</v>
      </c>
      <c r="W183" s="1">
        <f>MAX($C183,$E183,$G183,$I183,$K183,$M183,$O183,$Q183)</f>
        <v>0</v>
      </c>
    </row>
    <row r="184" spans="1:23">
      <c r="A184" s="1" t="s">
        <v>181</v>
      </c>
      <c r="B184" s="1"/>
      <c r="C184" s="1"/>
      <c r="D184" s="1" cm="1">
        <f t="array" ref="D184">_xlfn.SWITCH($A$2,"average", AVERAGE(Instances!D184:Instances!D184),"median", MEDIAN(Instances!D184:Instances!D184),"min", MIN(Instances!D184:Instances!D184),"max", MAX(Instances!D184:Instances!D184),"diff", MAX(Instances!D184:Instances!D184)-MIN(Instances!D184:Instances!D184))</f>
        <v>0</v>
      </c>
      <c r="E184" s="1" cm="1">
        <f t="array" ref="E184">_xlfn.SWITCH($A$2,"average", AVERAGE(Instances!E184:Instances!E184),"median", MEDIAN(Instances!E184:Instances!E184),"min", MIN(Instances!E184:Instances!E184),"max", MAX(Instances!E184:Instances!E184),"diff", MAX(Instances!E184:Instances!E184)-MIN(Instances!E184:Instances!E184))</f>
        <v>0</v>
      </c>
      <c r="F184" s="1" cm="1">
        <f t="array" ref="F184">_xlfn.SWITCH($A$2,"average", AVERAGE(Instances!F184:Instances!F184),"median", MEDIAN(Instances!F184:Instances!F184),"min", MIN(Instances!F184:Instances!F184),"max", MAX(Instances!F184:Instances!F184),"diff", MAX(Instances!F184:Instances!F184)-MIN(Instances!F184:Instances!F184))</f>
        <v>0</v>
      </c>
      <c r="G184" s="1" cm="1">
        <f t="array" ref="G184">_xlfn.SWITCH($A$2,"average", AVERAGE(Instances!G184:Instances!G184),"median", MEDIAN(Instances!G184:Instances!G184),"min", MIN(Instances!G184:Instances!G184),"max", MAX(Instances!G184:Instances!G184),"diff", MAX(Instances!G184:Instances!G184)-MIN(Instances!G184:Instances!G184))</f>
        <v>0</v>
      </c>
      <c r="H184" s="1"/>
      <c r="I184" s="1"/>
      <c r="J184" s="1" cm="1">
        <f t="array" ref="J184">_xlfn.SWITCH($A$2,"average", AVERAGE(Instances!J184:Instances!J184),"median", MEDIAN(Instances!J184:Instances!J184),"min", MIN(Instances!J184:Instances!J184),"max", MAX(Instances!J184:Instances!J184),"diff", MAX(Instances!J184:Instances!J184)-MIN(Instances!J184:Instances!J184))</f>
        <v>0</v>
      </c>
      <c r="K184" s="1" cm="1">
        <f t="array" ref="K184">_xlfn.SWITCH($A$2,"average", AVERAGE(Instances!K184:Instances!K184),"median", MEDIAN(Instances!K184:Instances!K184),"min", MIN(Instances!K184:Instances!K184),"max", MAX(Instances!K184:Instances!K184),"diff", MAX(Instances!K184:Instances!K184)-MIN(Instances!K184:Instances!K184))</f>
        <v>0</v>
      </c>
      <c r="L184" s="1" cm="1">
        <f t="array" ref="L184">_xlfn.SWITCH($A$2,"average", AVERAGE(Instances!L184:Instances!L184),"median", MEDIAN(Instances!L184:Instances!L184),"min", MIN(Instances!L184:Instances!L184),"max", MAX(Instances!L184:Instances!L184),"diff", MAX(Instances!L184:Instances!L184)-MIN(Instances!L184:Instances!L184))</f>
        <v>0</v>
      </c>
      <c r="M184" s="1" cm="1">
        <f t="array" ref="M184">_xlfn.SWITCH($A$2,"average", AVERAGE(Instances!M184:Instances!M184),"median", MEDIAN(Instances!M184:Instances!M184),"min", MIN(Instances!M184:Instances!M184),"max", MAX(Instances!M184:Instances!M184),"diff", MAX(Instances!M184:Instances!M184)-MIN(Instances!M184:Instances!M184))</f>
        <v>0</v>
      </c>
      <c r="N184" s="1" cm="1">
        <f t="array" ref="N184">_xlfn.SWITCH($A$2,"average", AVERAGE(Instances!N184:Instances!N184),"median", MEDIAN(Instances!N184:Instances!N184),"min", MIN(Instances!N184:Instances!N184),"max", MAX(Instances!N184:Instances!N184),"diff", MAX(Instances!N184:Instances!N184)-MIN(Instances!N184:Instances!N184))</f>
        <v>0</v>
      </c>
      <c r="O184" s="1" cm="1">
        <f t="array" ref="O184">_xlfn.SWITCH($A$2,"average", AVERAGE(Instances!O184:Instances!O184),"median", MEDIAN(Instances!O184:Instances!O184),"min", MIN(Instances!O184:Instances!O184),"max", MAX(Instances!O184:Instances!O184),"diff", MAX(Instances!O184:Instances!O184)-MIN(Instances!O184:Instances!O184))</f>
        <v>0</v>
      </c>
      <c r="P184" s="1" cm="1">
        <f t="array" ref="P184">_xlfn.SWITCH($A$2,"average", AVERAGE(Instances!P184:Instances!P184),"median", MEDIAN(Instances!P184:Instances!P184),"min", MIN(Instances!P184:Instances!P184),"max", MAX(Instances!P184:Instances!P184),"diff", MAX(Instances!P184:Instances!P184)-MIN(Instances!P184:Instances!P184))</f>
        <v>0</v>
      </c>
      <c r="Q184" s="1" cm="1">
        <f t="array" ref="Q184">_xlfn.SWITCH($A$2,"average", AVERAGE(Instances!Q184:Instances!Q184),"median", MEDIAN(Instances!Q184:Instances!Q184),"min", MIN(Instances!Q184:Instances!Q184),"max", MAX(Instances!Q184:Instances!Q184),"diff", MAX(Instances!Q184:Instances!Q184)-MIN(Instances!Q184:Instances!Q184))</f>
        <v>0</v>
      </c>
      <c r="R184" s="1">
        <f>MIN($B184,$D184,$F184,$H184,$J184,$L184,$N184,$P184)</f>
        <v>0</v>
      </c>
      <c r="S184" s="1">
        <f>MIN($C184,$E184,$G184,$I184,$K184,$M184,$O184,$Q184)</f>
        <v>0</v>
      </c>
      <c r="T184" s="1">
        <f>MEDIAN($B184,$D184,$F184,$H184,$J184,$L184,$N184,$P184)</f>
        <v>0</v>
      </c>
      <c r="U184" s="1">
        <f>MEDIAN($C184,$E184,$G184,$I184,$K184,$M184,$O184,$Q184)</f>
        <v>0</v>
      </c>
      <c r="V184" s="1">
        <f>MAX($B184,$D184,$F184,$H184,$J184,$L184,$N184,$P184)</f>
        <v>0</v>
      </c>
      <c r="W184" s="1">
        <f>MAX($C184,$E184,$G184,$I184,$K184,$M184,$O184,$Q184)</f>
        <v>0</v>
      </c>
    </row>
    <row r="185" spans="1:23">
      <c r="A185" s="1" t="s">
        <v>182</v>
      </c>
      <c r="B185" s="1"/>
      <c r="C185" s="1"/>
      <c r="D185" s="1" cm="1">
        <f t="array" ref="D185">_xlfn.SWITCH($A$2,"average", AVERAGE(Instances!D185:Instances!D185),"median", MEDIAN(Instances!D185:Instances!D185),"min", MIN(Instances!D185:Instances!D185),"max", MAX(Instances!D185:Instances!D185),"diff", MAX(Instances!D185:Instances!D185)-MIN(Instances!D185:Instances!D185))</f>
        <v>0</v>
      </c>
      <c r="E185" s="1" cm="1">
        <f t="array" ref="E185">_xlfn.SWITCH($A$2,"average", AVERAGE(Instances!E185:Instances!E185),"median", MEDIAN(Instances!E185:Instances!E185),"min", MIN(Instances!E185:Instances!E185),"max", MAX(Instances!E185:Instances!E185),"diff", MAX(Instances!E185:Instances!E185)-MIN(Instances!E185:Instances!E185))</f>
        <v>0</v>
      </c>
      <c r="F185" s="1" cm="1">
        <f t="array" ref="F185">_xlfn.SWITCH($A$2,"average", AVERAGE(Instances!F185:Instances!F185),"median", MEDIAN(Instances!F185:Instances!F185),"min", MIN(Instances!F185:Instances!F185),"max", MAX(Instances!F185:Instances!F185),"diff", MAX(Instances!F185:Instances!F185)-MIN(Instances!F185:Instances!F185))</f>
        <v>0</v>
      </c>
      <c r="G185" s="1" cm="1">
        <f t="array" ref="G185">_xlfn.SWITCH($A$2,"average", AVERAGE(Instances!G185:Instances!G185),"median", MEDIAN(Instances!G185:Instances!G185),"min", MIN(Instances!G185:Instances!G185),"max", MAX(Instances!G185:Instances!G185),"diff", MAX(Instances!G185:Instances!G185)-MIN(Instances!G185:Instances!G185))</f>
        <v>0</v>
      </c>
      <c r="H185" s="1"/>
      <c r="I185" s="1"/>
      <c r="J185" s="1" cm="1">
        <f t="array" ref="J185">_xlfn.SWITCH($A$2,"average", AVERAGE(Instances!J185:Instances!J185),"median", MEDIAN(Instances!J185:Instances!J185),"min", MIN(Instances!J185:Instances!J185),"max", MAX(Instances!J185:Instances!J185),"diff", MAX(Instances!J185:Instances!J185)-MIN(Instances!J185:Instances!J185))</f>
        <v>0</v>
      </c>
      <c r="K185" s="1" cm="1">
        <f t="array" ref="K185">_xlfn.SWITCH($A$2,"average", AVERAGE(Instances!K185:Instances!K185),"median", MEDIAN(Instances!K185:Instances!K185),"min", MIN(Instances!K185:Instances!K185),"max", MAX(Instances!K185:Instances!K185),"diff", MAX(Instances!K185:Instances!K185)-MIN(Instances!K185:Instances!K185))</f>
        <v>0</v>
      </c>
      <c r="L185" s="1" cm="1">
        <f t="array" ref="L185">_xlfn.SWITCH($A$2,"average", AVERAGE(Instances!L185:Instances!L185),"median", MEDIAN(Instances!L185:Instances!L185),"min", MIN(Instances!L185:Instances!L185),"max", MAX(Instances!L185:Instances!L185),"diff", MAX(Instances!L185:Instances!L185)-MIN(Instances!L185:Instances!L185))</f>
        <v>0</v>
      </c>
      <c r="M185" s="1" cm="1">
        <f t="array" ref="M185">_xlfn.SWITCH($A$2,"average", AVERAGE(Instances!M185:Instances!M185),"median", MEDIAN(Instances!M185:Instances!M185),"min", MIN(Instances!M185:Instances!M185),"max", MAX(Instances!M185:Instances!M185),"diff", MAX(Instances!M185:Instances!M185)-MIN(Instances!M185:Instances!M185))</f>
        <v>0</v>
      </c>
      <c r="N185" s="1" cm="1">
        <f t="array" ref="N185">_xlfn.SWITCH($A$2,"average", AVERAGE(Instances!N185:Instances!N185),"median", MEDIAN(Instances!N185:Instances!N185),"min", MIN(Instances!N185:Instances!N185),"max", MAX(Instances!N185:Instances!N185),"diff", MAX(Instances!N185:Instances!N185)-MIN(Instances!N185:Instances!N185))</f>
        <v>0</v>
      </c>
      <c r="O185" s="1" cm="1">
        <f t="array" ref="O185">_xlfn.SWITCH($A$2,"average", AVERAGE(Instances!O185:Instances!O185),"median", MEDIAN(Instances!O185:Instances!O185),"min", MIN(Instances!O185:Instances!O185),"max", MAX(Instances!O185:Instances!O185),"diff", MAX(Instances!O185:Instances!O185)-MIN(Instances!O185:Instances!O185))</f>
        <v>0</v>
      </c>
      <c r="P185" s="1" cm="1">
        <f t="array" ref="P185">_xlfn.SWITCH($A$2,"average", AVERAGE(Instances!P185:Instances!P185),"median", MEDIAN(Instances!P185:Instances!P185),"min", MIN(Instances!P185:Instances!P185),"max", MAX(Instances!P185:Instances!P185),"diff", MAX(Instances!P185:Instances!P185)-MIN(Instances!P185:Instances!P185))</f>
        <v>0</v>
      </c>
      <c r="Q185" s="1" cm="1">
        <f t="array" ref="Q185">_xlfn.SWITCH($A$2,"average", AVERAGE(Instances!Q185:Instances!Q185),"median", MEDIAN(Instances!Q185:Instances!Q185),"min", MIN(Instances!Q185:Instances!Q185),"max", MAX(Instances!Q185:Instances!Q185),"diff", MAX(Instances!Q185:Instances!Q185)-MIN(Instances!Q185:Instances!Q185))</f>
        <v>0</v>
      </c>
      <c r="R185" s="1">
        <f>MIN($B185,$D185,$F185,$H185,$J185,$L185,$N185,$P185)</f>
        <v>0</v>
      </c>
      <c r="S185" s="1">
        <f>MIN($C185,$E185,$G185,$I185,$K185,$M185,$O185,$Q185)</f>
        <v>0</v>
      </c>
      <c r="T185" s="1">
        <f>MEDIAN($B185,$D185,$F185,$H185,$J185,$L185,$N185,$P185)</f>
        <v>0</v>
      </c>
      <c r="U185" s="1">
        <f>MEDIAN($C185,$E185,$G185,$I185,$K185,$M185,$O185,$Q185)</f>
        <v>0</v>
      </c>
      <c r="V185" s="1">
        <f>MAX($B185,$D185,$F185,$H185,$J185,$L185,$N185,$P185)</f>
        <v>0</v>
      </c>
      <c r="W185" s="1">
        <f>MAX($C185,$E185,$G185,$I185,$K185,$M185,$O185,$Q185)</f>
        <v>0</v>
      </c>
    </row>
    <row r="186" spans="1:23">
      <c r="A186" s="1" t="s">
        <v>183</v>
      </c>
      <c r="B186" s="1"/>
      <c r="C186" s="1"/>
      <c r="D186" s="1" cm="1">
        <f t="array" ref="D186">_xlfn.SWITCH($A$2,"average", AVERAGE(Instances!D186:Instances!D186),"median", MEDIAN(Instances!D186:Instances!D186),"min", MIN(Instances!D186:Instances!D186),"max", MAX(Instances!D186:Instances!D186),"diff", MAX(Instances!D186:Instances!D186)-MIN(Instances!D186:Instances!D186))</f>
        <v>0</v>
      </c>
      <c r="E186" s="1" cm="1">
        <f t="array" ref="E186">_xlfn.SWITCH($A$2,"average", AVERAGE(Instances!E186:Instances!E186),"median", MEDIAN(Instances!E186:Instances!E186),"min", MIN(Instances!E186:Instances!E186),"max", MAX(Instances!E186:Instances!E186),"diff", MAX(Instances!E186:Instances!E186)-MIN(Instances!E186:Instances!E186))</f>
        <v>0</v>
      </c>
      <c r="F186" s="1" cm="1">
        <f t="array" ref="F186">_xlfn.SWITCH($A$2,"average", AVERAGE(Instances!F186:Instances!F186),"median", MEDIAN(Instances!F186:Instances!F186),"min", MIN(Instances!F186:Instances!F186),"max", MAX(Instances!F186:Instances!F186),"diff", MAX(Instances!F186:Instances!F186)-MIN(Instances!F186:Instances!F186))</f>
        <v>0</v>
      </c>
      <c r="G186" s="1" cm="1">
        <f t="array" ref="G186">_xlfn.SWITCH($A$2,"average", AVERAGE(Instances!G186:Instances!G186),"median", MEDIAN(Instances!G186:Instances!G186),"min", MIN(Instances!G186:Instances!G186),"max", MAX(Instances!G186:Instances!G186),"diff", MAX(Instances!G186:Instances!G186)-MIN(Instances!G186:Instances!G186))</f>
        <v>0</v>
      </c>
      <c r="H186" s="1"/>
      <c r="I186" s="1"/>
      <c r="J186" s="1" cm="1">
        <f t="array" ref="J186">_xlfn.SWITCH($A$2,"average", AVERAGE(Instances!J186:Instances!J186),"median", MEDIAN(Instances!J186:Instances!J186),"min", MIN(Instances!J186:Instances!J186),"max", MAX(Instances!J186:Instances!J186),"diff", MAX(Instances!J186:Instances!J186)-MIN(Instances!J186:Instances!J186))</f>
        <v>0</v>
      </c>
      <c r="K186" s="1" cm="1">
        <f t="array" ref="K186">_xlfn.SWITCH($A$2,"average", AVERAGE(Instances!K186:Instances!K186),"median", MEDIAN(Instances!K186:Instances!K186),"min", MIN(Instances!K186:Instances!K186),"max", MAX(Instances!K186:Instances!K186),"diff", MAX(Instances!K186:Instances!K186)-MIN(Instances!K186:Instances!K186))</f>
        <v>0</v>
      </c>
      <c r="L186" s="1" cm="1">
        <f t="array" ref="L186">_xlfn.SWITCH($A$2,"average", AVERAGE(Instances!L186:Instances!L186),"median", MEDIAN(Instances!L186:Instances!L186),"min", MIN(Instances!L186:Instances!L186),"max", MAX(Instances!L186:Instances!L186),"diff", MAX(Instances!L186:Instances!L186)-MIN(Instances!L186:Instances!L186))</f>
        <v>0</v>
      </c>
      <c r="M186" s="1" cm="1">
        <f t="array" ref="M186">_xlfn.SWITCH($A$2,"average", AVERAGE(Instances!M186:Instances!M186),"median", MEDIAN(Instances!M186:Instances!M186),"min", MIN(Instances!M186:Instances!M186),"max", MAX(Instances!M186:Instances!M186),"diff", MAX(Instances!M186:Instances!M186)-MIN(Instances!M186:Instances!M186))</f>
        <v>0</v>
      </c>
      <c r="N186" s="1" cm="1">
        <f t="array" ref="N186">_xlfn.SWITCH($A$2,"average", AVERAGE(Instances!N186:Instances!N186),"median", MEDIAN(Instances!N186:Instances!N186),"min", MIN(Instances!N186:Instances!N186),"max", MAX(Instances!N186:Instances!N186),"diff", MAX(Instances!N186:Instances!N186)-MIN(Instances!N186:Instances!N186))</f>
        <v>0</v>
      </c>
      <c r="O186" s="1" cm="1">
        <f t="array" ref="O186">_xlfn.SWITCH($A$2,"average", AVERAGE(Instances!O186:Instances!O186),"median", MEDIAN(Instances!O186:Instances!O186),"min", MIN(Instances!O186:Instances!O186),"max", MAX(Instances!O186:Instances!O186),"diff", MAX(Instances!O186:Instances!O186)-MIN(Instances!O186:Instances!O186))</f>
        <v>0</v>
      </c>
      <c r="P186" s="1" cm="1">
        <f t="array" ref="P186">_xlfn.SWITCH($A$2,"average", AVERAGE(Instances!P186:Instances!P186),"median", MEDIAN(Instances!P186:Instances!P186),"min", MIN(Instances!P186:Instances!P186),"max", MAX(Instances!P186:Instances!P186),"diff", MAX(Instances!P186:Instances!P186)-MIN(Instances!P186:Instances!P186))</f>
        <v>0</v>
      </c>
      <c r="Q186" s="1" cm="1">
        <f t="array" ref="Q186">_xlfn.SWITCH($A$2,"average", AVERAGE(Instances!Q186:Instances!Q186),"median", MEDIAN(Instances!Q186:Instances!Q186),"min", MIN(Instances!Q186:Instances!Q186),"max", MAX(Instances!Q186:Instances!Q186),"diff", MAX(Instances!Q186:Instances!Q186)-MIN(Instances!Q186:Instances!Q186))</f>
        <v>0</v>
      </c>
      <c r="R186" s="1">
        <f>MIN($B186,$D186,$F186,$H186,$J186,$L186,$N186,$P186)</f>
        <v>0</v>
      </c>
      <c r="S186" s="1">
        <f>MIN($C186,$E186,$G186,$I186,$K186,$M186,$O186,$Q186)</f>
        <v>0</v>
      </c>
      <c r="T186" s="1">
        <f>MEDIAN($B186,$D186,$F186,$H186,$J186,$L186,$N186,$P186)</f>
        <v>0</v>
      </c>
      <c r="U186" s="1">
        <f>MEDIAN($C186,$E186,$G186,$I186,$K186,$M186,$O186,$Q186)</f>
        <v>0</v>
      </c>
      <c r="V186" s="1">
        <f>MAX($B186,$D186,$F186,$H186,$J186,$L186,$N186,$P186)</f>
        <v>0</v>
      </c>
      <c r="W186" s="1">
        <f>MAX($C186,$E186,$G186,$I186,$K186,$M186,$O186,$Q186)</f>
        <v>0</v>
      </c>
    </row>
    <row r="187" spans="1:23">
      <c r="A187" s="1" t="s">
        <v>184</v>
      </c>
      <c r="B187" s="1"/>
      <c r="C187" s="1"/>
      <c r="D187" s="1" cm="1">
        <f t="array" ref="D187">_xlfn.SWITCH($A$2,"average", AVERAGE(Instances!D187:Instances!D187),"median", MEDIAN(Instances!D187:Instances!D187),"min", MIN(Instances!D187:Instances!D187),"max", MAX(Instances!D187:Instances!D187),"diff", MAX(Instances!D187:Instances!D187)-MIN(Instances!D187:Instances!D187))</f>
        <v>0</v>
      </c>
      <c r="E187" s="1" cm="1">
        <f t="array" ref="E187">_xlfn.SWITCH($A$2,"average", AVERAGE(Instances!E187:Instances!E187),"median", MEDIAN(Instances!E187:Instances!E187),"min", MIN(Instances!E187:Instances!E187),"max", MAX(Instances!E187:Instances!E187),"diff", MAX(Instances!E187:Instances!E187)-MIN(Instances!E187:Instances!E187))</f>
        <v>0</v>
      </c>
      <c r="F187" s="1" cm="1">
        <f t="array" ref="F187">_xlfn.SWITCH($A$2,"average", AVERAGE(Instances!F187:Instances!F187),"median", MEDIAN(Instances!F187:Instances!F187),"min", MIN(Instances!F187:Instances!F187),"max", MAX(Instances!F187:Instances!F187),"diff", MAX(Instances!F187:Instances!F187)-MIN(Instances!F187:Instances!F187))</f>
        <v>0</v>
      </c>
      <c r="G187" s="1" cm="1">
        <f t="array" ref="G187">_xlfn.SWITCH($A$2,"average", AVERAGE(Instances!G187:Instances!G187),"median", MEDIAN(Instances!G187:Instances!G187),"min", MIN(Instances!G187:Instances!G187),"max", MAX(Instances!G187:Instances!G187),"diff", MAX(Instances!G187:Instances!G187)-MIN(Instances!G187:Instances!G187))</f>
        <v>0</v>
      </c>
      <c r="H187" s="1"/>
      <c r="I187" s="1"/>
      <c r="J187" s="1" cm="1">
        <f t="array" ref="J187">_xlfn.SWITCH($A$2,"average", AVERAGE(Instances!J187:Instances!J187),"median", MEDIAN(Instances!J187:Instances!J187),"min", MIN(Instances!J187:Instances!J187),"max", MAX(Instances!J187:Instances!J187),"diff", MAX(Instances!J187:Instances!J187)-MIN(Instances!J187:Instances!J187))</f>
        <v>0</v>
      </c>
      <c r="K187" s="1" cm="1">
        <f t="array" ref="K187">_xlfn.SWITCH($A$2,"average", AVERAGE(Instances!K187:Instances!K187),"median", MEDIAN(Instances!K187:Instances!K187),"min", MIN(Instances!K187:Instances!K187),"max", MAX(Instances!K187:Instances!K187),"diff", MAX(Instances!K187:Instances!K187)-MIN(Instances!K187:Instances!K187))</f>
        <v>0</v>
      </c>
      <c r="L187" s="1" cm="1">
        <f t="array" ref="L187">_xlfn.SWITCH($A$2,"average", AVERAGE(Instances!L187:Instances!L187),"median", MEDIAN(Instances!L187:Instances!L187),"min", MIN(Instances!L187:Instances!L187),"max", MAX(Instances!L187:Instances!L187),"diff", MAX(Instances!L187:Instances!L187)-MIN(Instances!L187:Instances!L187))</f>
        <v>0</v>
      </c>
      <c r="M187" s="1" cm="1">
        <f t="array" ref="M187">_xlfn.SWITCH($A$2,"average", AVERAGE(Instances!M187:Instances!M187),"median", MEDIAN(Instances!M187:Instances!M187),"min", MIN(Instances!M187:Instances!M187),"max", MAX(Instances!M187:Instances!M187),"diff", MAX(Instances!M187:Instances!M187)-MIN(Instances!M187:Instances!M187))</f>
        <v>0</v>
      </c>
      <c r="N187" s="1" cm="1">
        <f t="array" ref="N187">_xlfn.SWITCH($A$2,"average", AVERAGE(Instances!N187:Instances!N187),"median", MEDIAN(Instances!N187:Instances!N187),"min", MIN(Instances!N187:Instances!N187),"max", MAX(Instances!N187:Instances!N187),"diff", MAX(Instances!N187:Instances!N187)-MIN(Instances!N187:Instances!N187))</f>
        <v>0</v>
      </c>
      <c r="O187" s="1" cm="1">
        <f t="array" ref="O187">_xlfn.SWITCH($A$2,"average", AVERAGE(Instances!O187:Instances!O187),"median", MEDIAN(Instances!O187:Instances!O187),"min", MIN(Instances!O187:Instances!O187),"max", MAX(Instances!O187:Instances!O187),"diff", MAX(Instances!O187:Instances!O187)-MIN(Instances!O187:Instances!O187))</f>
        <v>0</v>
      </c>
      <c r="P187" s="1" cm="1">
        <f t="array" ref="P187">_xlfn.SWITCH($A$2,"average", AVERAGE(Instances!P187:Instances!P187),"median", MEDIAN(Instances!P187:Instances!P187),"min", MIN(Instances!P187:Instances!P187),"max", MAX(Instances!P187:Instances!P187),"diff", MAX(Instances!P187:Instances!P187)-MIN(Instances!P187:Instances!P187))</f>
        <v>0</v>
      </c>
      <c r="Q187" s="1" cm="1">
        <f t="array" ref="Q187">_xlfn.SWITCH($A$2,"average", AVERAGE(Instances!Q187:Instances!Q187),"median", MEDIAN(Instances!Q187:Instances!Q187),"min", MIN(Instances!Q187:Instances!Q187),"max", MAX(Instances!Q187:Instances!Q187),"diff", MAX(Instances!Q187:Instances!Q187)-MIN(Instances!Q187:Instances!Q187))</f>
        <v>0</v>
      </c>
      <c r="R187" s="1">
        <f>MIN($B187,$D187,$F187,$H187,$J187,$L187,$N187,$P187)</f>
        <v>0</v>
      </c>
      <c r="S187" s="1">
        <f>MIN($C187,$E187,$G187,$I187,$K187,$M187,$O187,$Q187)</f>
        <v>0</v>
      </c>
      <c r="T187" s="1">
        <f>MEDIAN($B187,$D187,$F187,$H187,$J187,$L187,$N187,$P187)</f>
        <v>0</v>
      </c>
      <c r="U187" s="1">
        <f>MEDIAN($C187,$E187,$G187,$I187,$K187,$M187,$O187,$Q187)</f>
        <v>0</v>
      </c>
      <c r="V187" s="1">
        <f>MAX($B187,$D187,$F187,$H187,$J187,$L187,$N187,$P187)</f>
        <v>0</v>
      </c>
      <c r="W187" s="1">
        <f>MAX($C187,$E187,$G187,$I187,$K187,$M187,$O187,$Q187)</f>
        <v>0</v>
      </c>
    </row>
    <row r="188" spans="1:23">
      <c r="A188" s="1" t="s">
        <v>185</v>
      </c>
      <c r="B188" s="1"/>
      <c r="C188" s="1"/>
      <c r="D188" s="1" cm="1">
        <f t="array" ref="D188">_xlfn.SWITCH($A$2,"average", AVERAGE(Instances!D188:Instances!D188),"median", MEDIAN(Instances!D188:Instances!D188),"min", MIN(Instances!D188:Instances!D188),"max", MAX(Instances!D188:Instances!D188),"diff", MAX(Instances!D188:Instances!D188)-MIN(Instances!D188:Instances!D188))</f>
        <v>0</v>
      </c>
      <c r="E188" s="1" cm="1">
        <f t="array" ref="E188">_xlfn.SWITCH($A$2,"average", AVERAGE(Instances!E188:Instances!E188),"median", MEDIAN(Instances!E188:Instances!E188),"min", MIN(Instances!E188:Instances!E188),"max", MAX(Instances!E188:Instances!E188),"diff", MAX(Instances!E188:Instances!E188)-MIN(Instances!E188:Instances!E188))</f>
        <v>0</v>
      </c>
      <c r="F188" s="1" cm="1">
        <f t="array" ref="F188">_xlfn.SWITCH($A$2,"average", AVERAGE(Instances!F188:Instances!F188),"median", MEDIAN(Instances!F188:Instances!F188),"min", MIN(Instances!F188:Instances!F188),"max", MAX(Instances!F188:Instances!F188),"diff", MAX(Instances!F188:Instances!F188)-MIN(Instances!F188:Instances!F188))</f>
        <v>0</v>
      </c>
      <c r="G188" s="1" cm="1">
        <f t="array" ref="G188">_xlfn.SWITCH($A$2,"average", AVERAGE(Instances!G188:Instances!G188),"median", MEDIAN(Instances!G188:Instances!G188),"min", MIN(Instances!G188:Instances!G188),"max", MAX(Instances!G188:Instances!G188),"diff", MAX(Instances!G188:Instances!G188)-MIN(Instances!G188:Instances!G188))</f>
        <v>0</v>
      </c>
      <c r="H188" s="1"/>
      <c r="I188" s="1"/>
      <c r="J188" s="1" cm="1">
        <f t="array" ref="J188">_xlfn.SWITCH($A$2,"average", AVERAGE(Instances!J188:Instances!J188),"median", MEDIAN(Instances!J188:Instances!J188),"min", MIN(Instances!J188:Instances!J188),"max", MAX(Instances!J188:Instances!J188),"diff", MAX(Instances!J188:Instances!J188)-MIN(Instances!J188:Instances!J188))</f>
        <v>0</v>
      </c>
      <c r="K188" s="1" cm="1">
        <f t="array" ref="K188">_xlfn.SWITCH($A$2,"average", AVERAGE(Instances!K188:Instances!K188),"median", MEDIAN(Instances!K188:Instances!K188),"min", MIN(Instances!K188:Instances!K188),"max", MAX(Instances!K188:Instances!K188),"diff", MAX(Instances!K188:Instances!K188)-MIN(Instances!K188:Instances!K188))</f>
        <v>0</v>
      </c>
      <c r="L188" s="1" cm="1">
        <f t="array" ref="L188">_xlfn.SWITCH($A$2,"average", AVERAGE(Instances!L188:Instances!L188),"median", MEDIAN(Instances!L188:Instances!L188),"min", MIN(Instances!L188:Instances!L188),"max", MAX(Instances!L188:Instances!L188),"diff", MAX(Instances!L188:Instances!L188)-MIN(Instances!L188:Instances!L188))</f>
        <v>0</v>
      </c>
      <c r="M188" s="1" cm="1">
        <f t="array" ref="M188">_xlfn.SWITCH($A$2,"average", AVERAGE(Instances!M188:Instances!M188),"median", MEDIAN(Instances!M188:Instances!M188),"min", MIN(Instances!M188:Instances!M188),"max", MAX(Instances!M188:Instances!M188),"diff", MAX(Instances!M188:Instances!M188)-MIN(Instances!M188:Instances!M188))</f>
        <v>0</v>
      </c>
      <c r="N188" s="1" cm="1">
        <f t="array" ref="N188">_xlfn.SWITCH($A$2,"average", AVERAGE(Instances!N188:Instances!N188),"median", MEDIAN(Instances!N188:Instances!N188),"min", MIN(Instances!N188:Instances!N188),"max", MAX(Instances!N188:Instances!N188),"diff", MAX(Instances!N188:Instances!N188)-MIN(Instances!N188:Instances!N188))</f>
        <v>0</v>
      </c>
      <c r="O188" s="1" cm="1">
        <f t="array" ref="O188">_xlfn.SWITCH($A$2,"average", AVERAGE(Instances!O188:Instances!O188),"median", MEDIAN(Instances!O188:Instances!O188),"min", MIN(Instances!O188:Instances!O188),"max", MAX(Instances!O188:Instances!O188),"diff", MAX(Instances!O188:Instances!O188)-MIN(Instances!O188:Instances!O188))</f>
        <v>0</v>
      </c>
      <c r="P188" s="1" cm="1">
        <f t="array" ref="P188">_xlfn.SWITCH($A$2,"average", AVERAGE(Instances!P188:Instances!P188),"median", MEDIAN(Instances!P188:Instances!P188),"min", MIN(Instances!P188:Instances!P188),"max", MAX(Instances!P188:Instances!P188),"diff", MAX(Instances!P188:Instances!P188)-MIN(Instances!P188:Instances!P188))</f>
        <v>0</v>
      </c>
      <c r="Q188" s="1" cm="1">
        <f t="array" ref="Q188">_xlfn.SWITCH($A$2,"average", AVERAGE(Instances!Q188:Instances!Q188),"median", MEDIAN(Instances!Q188:Instances!Q188),"min", MIN(Instances!Q188:Instances!Q188),"max", MAX(Instances!Q188:Instances!Q188),"diff", MAX(Instances!Q188:Instances!Q188)-MIN(Instances!Q188:Instances!Q188))</f>
        <v>0</v>
      </c>
      <c r="R188" s="1">
        <f>MIN($B188,$D188,$F188,$H188,$J188,$L188,$N188,$P188)</f>
        <v>0</v>
      </c>
      <c r="S188" s="1">
        <f>MIN($C188,$E188,$G188,$I188,$K188,$M188,$O188,$Q188)</f>
        <v>0</v>
      </c>
      <c r="T188" s="1">
        <f>MEDIAN($B188,$D188,$F188,$H188,$J188,$L188,$N188,$P188)</f>
        <v>0</v>
      </c>
      <c r="U188" s="1">
        <f>MEDIAN($C188,$E188,$G188,$I188,$K188,$M188,$O188,$Q188)</f>
        <v>0</v>
      </c>
      <c r="V188" s="1">
        <f>MAX($B188,$D188,$F188,$H188,$J188,$L188,$N188,$P188)</f>
        <v>0</v>
      </c>
      <c r="W188" s="1">
        <f>MAX($C188,$E188,$G188,$I188,$K188,$M188,$O188,$Q188)</f>
        <v>0</v>
      </c>
    </row>
    <row r="189" spans="1:23">
      <c r="A189" s="1" t="s">
        <v>186</v>
      </c>
      <c r="B189" s="1"/>
      <c r="C189" s="1"/>
      <c r="D189" s="1" cm="1">
        <f t="array" ref="D189">_xlfn.SWITCH($A$2,"average", AVERAGE(Instances!D189:Instances!D189),"median", MEDIAN(Instances!D189:Instances!D189),"min", MIN(Instances!D189:Instances!D189),"max", MAX(Instances!D189:Instances!D189),"diff", MAX(Instances!D189:Instances!D189)-MIN(Instances!D189:Instances!D189))</f>
        <v>0</v>
      </c>
      <c r="E189" s="1" cm="1">
        <f t="array" ref="E189">_xlfn.SWITCH($A$2,"average", AVERAGE(Instances!E189:Instances!E189),"median", MEDIAN(Instances!E189:Instances!E189),"min", MIN(Instances!E189:Instances!E189),"max", MAX(Instances!E189:Instances!E189),"diff", MAX(Instances!E189:Instances!E189)-MIN(Instances!E189:Instances!E189))</f>
        <v>0</v>
      </c>
      <c r="F189" s="1" cm="1">
        <f t="array" ref="F189">_xlfn.SWITCH($A$2,"average", AVERAGE(Instances!F189:Instances!F189),"median", MEDIAN(Instances!F189:Instances!F189),"min", MIN(Instances!F189:Instances!F189),"max", MAX(Instances!F189:Instances!F189),"diff", MAX(Instances!F189:Instances!F189)-MIN(Instances!F189:Instances!F189))</f>
        <v>0</v>
      </c>
      <c r="G189" s="1" cm="1">
        <f t="array" ref="G189">_xlfn.SWITCH($A$2,"average", AVERAGE(Instances!G189:Instances!G189),"median", MEDIAN(Instances!G189:Instances!G189),"min", MIN(Instances!G189:Instances!G189),"max", MAX(Instances!G189:Instances!G189),"diff", MAX(Instances!G189:Instances!G189)-MIN(Instances!G189:Instances!G189))</f>
        <v>0</v>
      </c>
      <c r="H189" s="1"/>
      <c r="I189" s="1"/>
      <c r="J189" s="1" cm="1">
        <f t="array" ref="J189">_xlfn.SWITCH($A$2,"average", AVERAGE(Instances!J189:Instances!J189),"median", MEDIAN(Instances!J189:Instances!J189),"min", MIN(Instances!J189:Instances!J189),"max", MAX(Instances!J189:Instances!J189),"diff", MAX(Instances!J189:Instances!J189)-MIN(Instances!J189:Instances!J189))</f>
        <v>0</v>
      </c>
      <c r="K189" s="1" cm="1">
        <f t="array" ref="K189">_xlfn.SWITCH($A$2,"average", AVERAGE(Instances!K189:Instances!K189),"median", MEDIAN(Instances!K189:Instances!K189),"min", MIN(Instances!K189:Instances!K189),"max", MAX(Instances!K189:Instances!K189),"diff", MAX(Instances!K189:Instances!K189)-MIN(Instances!K189:Instances!K189))</f>
        <v>0</v>
      </c>
      <c r="L189" s="1" cm="1">
        <f t="array" ref="L189">_xlfn.SWITCH($A$2,"average", AVERAGE(Instances!L189:Instances!L189),"median", MEDIAN(Instances!L189:Instances!L189),"min", MIN(Instances!L189:Instances!L189),"max", MAX(Instances!L189:Instances!L189),"diff", MAX(Instances!L189:Instances!L189)-MIN(Instances!L189:Instances!L189))</f>
        <v>0</v>
      </c>
      <c r="M189" s="1" cm="1">
        <f t="array" ref="M189">_xlfn.SWITCH($A$2,"average", AVERAGE(Instances!M189:Instances!M189),"median", MEDIAN(Instances!M189:Instances!M189),"min", MIN(Instances!M189:Instances!M189),"max", MAX(Instances!M189:Instances!M189),"diff", MAX(Instances!M189:Instances!M189)-MIN(Instances!M189:Instances!M189))</f>
        <v>0</v>
      </c>
      <c r="N189" s="1" cm="1">
        <f t="array" ref="N189">_xlfn.SWITCH($A$2,"average", AVERAGE(Instances!N189:Instances!N189),"median", MEDIAN(Instances!N189:Instances!N189),"min", MIN(Instances!N189:Instances!N189),"max", MAX(Instances!N189:Instances!N189),"diff", MAX(Instances!N189:Instances!N189)-MIN(Instances!N189:Instances!N189))</f>
        <v>0</v>
      </c>
      <c r="O189" s="1" cm="1">
        <f t="array" ref="O189">_xlfn.SWITCH($A$2,"average", AVERAGE(Instances!O189:Instances!O189),"median", MEDIAN(Instances!O189:Instances!O189),"min", MIN(Instances!O189:Instances!O189),"max", MAX(Instances!O189:Instances!O189),"diff", MAX(Instances!O189:Instances!O189)-MIN(Instances!O189:Instances!O189))</f>
        <v>0</v>
      </c>
      <c r="P189" s="1" cm="1">
        <f t="array" ref="P189">_xlfn.SWITCH($A$2,"average", AVERAGE(Instances!P189:Instances!P189),"median", MEDIAN(Instances!P189:Instances!P189),"min", MIN(Instances!P189:Instances!P189),"max", MAX(Instances!P189:Instances!P189),"diff", MAX(Instances!P189:Instances!P189)-MIN(Instances!P189:Instances!P189))</f>
        <v>0</v>
      </c>
      <c r="Q189" s="1" cm="1">
        <f t="array" ref="Q189">_xlfn.SWITCH($A$2,"average", AVERAGE(Instances!Q189:Instances!Q189),"median", MEDIAN(Instances!Q189:Instances!Q189),"min", MIN(Instances!Q189:Instances!Q189),"max", MAX(Instances!Q189:Instances!Q189),"diff", MAX(Instances!Q189:Instances!Q189)-MIN(Instances!Q189:Instances!Q189))</f>
        <v>0</v>
      </c>
      <c r="R189" s="1">
        <f>MIN($B189,$D189,$F189,$H189,$J189,$L189,$N189,$P189)</f>
        <v>0</v>
      </c>
      <c r="S189" s="1">
        <f>MIN($C189,$E189,$G189,$I189,$K189,$M189,$O189,$Q189)</f>
        <v>0</v>
      </c>
      <c r="T189" s="1">
        <f>MEDIAN($B189,$D189,$F189,$H189,$J189,$L189,$N189,$P189)</f>
        <v>0</v>
      </c>
      <c r="U189" s="1">
        <f>MEDIAN($C189,$E189,$G189,$I189,$K189,$M189,$O189,$Q189)</f>
        <v>0</v>
      </c>
      <c r="V189" s="1">
        <f>MAX($B189,$D189,$F189,$H189,$J189,$L189,$N189,$P189)</f>
        <v>0</v>
      </c>
      <c r="W189" s="1">
        <f>MAX($C189,$E189,$G189,$I189,$K189,$M189,$O189,$Q189)</f>
        <v>0</v>
      </c>
    </row>
    <row r="190" spans="1:23">
      <c r="A190" s="1" t="s">
        <v>187</v>
      </c>
      <c r="B190" s="1"/>
      <c r="C190" s="1"/>
      <c r="D190" s="1" cm="1">
        <f t="array" ref="D190">_xlfn.SWITCH($A$2,"average", AVERAGE(Instances!D190:Instances!D190),"median", MEDIAN(Instances!D190:Instances!D190),"min", MIN(Instances!D190:Instances!D190),"max", MAX(Instances!D190:Instances!D190),"diff", MAX(Instances!D190:Instances!D190)-MIN(Instances!D190:Instances!D190))</f>
        <v>0</v>
      </c>
      <c r="E190" s="1" cm="1">
        <f t="array" ref="E190">_xlfn.SWITCH($A$2,"average", AVERAGE(Instances!E190:Instances!E190),"median", MEDIAN(Instances!E190:Instances!E190),"min", MIN(Instances!E190:Instances!E190),"max", MAX(Instances!E190:Instances!E190),"diff", MAX(Instances!E190:Instances!E190)-MIN(Instances!E190:Instances!E190))</f>
        <v>0</v>
      </c>
      <c r="F190" s="1" cm="1">
        <f t="array" ref="F190">_xlfn.SWITCH($A$2,"average", AVERAGE(Instances!F190:Instances!F190),"median", MEDIAN(Instances!F190:Instances!F190),"min", MIN(Instances!F190:Instances!F190),"max", MAX(Instances!F190:Instances!F190),"diff", MAX(Instances!F190:Instances!F190)-MIN(Instances!F190:Instances!F190))</f>
        <v>0</v>
      </c>
      <c r="G190" s="1" cm="1">
        <f t="array" ref="G190">_xlfn.SWITCH($A$2,"average", AVERAGE(Instances!G190:Instances!G190),"median", MEDIAN(Instances!G190:Instances!G190),"min", MIN(Instances!G190:Instances!G190),"max", MAX(Instances!G190:Instances!G190),"diff", MAX(Instances!G190:Instances!G190)-MIN(Instances!G190:Instances!G190))</f>
        <v>0</v>
      </c>
      <c r="H190" s="1"/>
      <c r="I190" s="1"/>
      <c r="J190" s="1" cm="1">
        <f t="array" ref="J190">_xlfn.SWITCH($A$2,"average", AVERAGE(Instances!J190:Instances!J190),"median", MEDIAN(Instances!J190:Instances!J190),"min", MIN(Instances!J190:Instances!J190),"max", MAX(Instances!J190:Instances!J190),"diff", MAX(Instances!J190:Instances!J190)-MIN(Instances!J190:Instances!J190))</f>
        <v>0</v>
      </c>
      <c r="K190" s="1" cm="1">
        <f t="array" ref="K190">_xlfn.SWITCH($A$2,"average", AVERAGE(Instances!K190:Instances!K190),"median", MEDIAN(Instances!K190:Instances!K190),"min", MIN(Instances!K190:Instances!K190),"max", MAX(Instances!K190:Instances!K190),"diff", MAX(Instances!K190:Instances!K190)-MIN(Instances!K190:Instances!K190))</f>
        <v>0</v>
      </c>
      <c r="L190" s="1" cm="1">
        <f t="array" ref="L190">_xlfn.SWITCH($A$2,"average", AVERAGE(Instances!L190:Instances!L190),"median", MEDIAN(Instances!L190:Instances!L190),"min", MIN(Instances!L190:Instances!L190),"max", MAX(Instances!L190:Instances!L190),"diff", MAX(Instances!L190:Instances!L190)-MIN(Instances!L190:Instances!L190))</f>
        <v>0</v>
      </c>
      <c r="M190" s="1" cm="1">
        <f t="array" ref="M190">_xlfn.SWITCH($A$2,"average", AVERAGE(Instances!M190:Instances!M190),"median", MEDIAN(Instances!M190:Instances!M190),"min", MIN(Instances!M190:Instances!M190),"max", MAX(Instances!M190:Instances!M190),"diff", MAX(Instances!M190:Instances!M190)-MIN(Instances!M190:Instances!M190))</f>
        <v>0</v>
      </c>
      <c r="N190" s="1" cm="1">
        <f t="array" ref="N190">_xlfn.SWITCH($A$2,"average", AVERAGE(Instances!N190:Instances!N190),"median", MEDIAN(Instances!N190:Instances!N190),"min", MIN(Instances!N190:Instances!N190),"max", MAX(Instances!N190:Instances!N190),"diff", MAX(Instances!N190:Instances!N190)-MIN(Instances!N190:Instances!N190))</f>
        <v>0</v>
      </c>
      <c r="O190" s="1" cm="1">
        <f t="array" ref="O190">_xlfn.SWITCH($A$2,"average", AVERAGE(Instances!O190:Instances!O190),"median", MEDIAN(Instances!O190:Instances!O190),"min", MIN(Instances!O190:Instances!O190),"max", MAX(Instances!O190:Instances!O190),"diff", MAX(Instances!O190:Instances!O190)-MIN(Instances!O190:Instances!O190))</f>
        <v>0</v>
      </c>
      <c r="P190" s="1" cm="1">
        <f t="array" ref="P190">_xlfn.SWITCH($A$2,"average", AVERAGE(Instances!P190:Instances!P190),"median", MEDIAN(Instances!P190:Instances!P190),"min", MIN(Instances!P190:Instances!P190),"max", MAX(Instances!P190:Instances!P190),"diff", MAX(Instances!P190:Instances!P190)-MIN(Instances!P190:Instances!P190))</f>
        <v>0</v>
      </c>
      <c r="Q190" s="1" cm="1">
        <f t="array" ref="Q190">_xlfn.SWITCH($A$2,"average", AVERAGE(Instances!Q190:Instances!Q190),"median", MEDIAN(Instances!Q190:Instances!Q190),"min", MIN(Instances!Q190:Instances!Q190),"max", MAX(Instances!Q190:Instances!Q190),"diff", MAX(Instances!Q190:Instances!Q190)-MIN(Instances!Q190:Instances!Q190))</f>
        <v>0</v>
      </c>
      <c r="R190" s="1">
        <f>MIN($B190,$D190,$F190,$H190,$J190,$L190,$N190,$P190)</f>
        <v>0</v>
      </c>
      <c r="S190" s="1">
        <f>MIN($C190,$E190,$G190,$I190,$K190,$M190,$O190,$Q190)</f>
        <v>0</v>
      </c>
      <c r="T190" s="1">
        <f>MEDIAN($B190,$D190,$F190,$H190,$J190,$L190,$N190,$P190)</f>
        <v>0</v>
      </c>
      <c r="U190" s="1">
        <f>MEDIAN($C190,$E190,$G190,$I190,$K190,$M190,$O190,$Q190)</f>
        <v>0</v>
      </c>
      <c r="V190" s="1">
        <f>MAX($B190,$D190,$F190,$H190,$J190,$L190,$N190,$P190)</f>
        <v>0</v>
      </c>
      <c r="W190" s="1">
        <f>MAX($C190,$E190,$G190,$I190,$K190,$M190,$O190,$Q190)</f>
        <v>0</v>
      </c>
    </row>
    <row r="191" spans="1:23">
      <c r="A191" s="1" t="s">
        <v>188</v>
      </c>
      <c r="B191" s="1"/>
      <c r="C191" s="1"/>
      <c r="D191" s="1" cm="1">
        <f t="array" ref="D191">_xlfn.SWITCH($A$2,"average", AVERAGE(Instances!D191:Instances!D191),"median", MEDIAN(Instances!D191:Instances!D191),"min", MIN(Instances!D191:Instances!D191),"max", MAX(Instances!D191:Instances!D191),"diff", MAX(Instances!D191:Instances!D191)-MIN(Instances!D191:Instances!D191))</f>
        <v>0</v>
      </c>
      <c r="E191" s="1" cm="1">
        <f t="array" ref="E191">_xlfn.SWITCH($A$2,"average", AVERAGE(Instances!E191:Instances!E191),"median", MEDIAN(Instances!E191:Instances!E191),"min", MIN(Instances!E191:Instances!E191),"max", MAX(Instances!E191:Instances!E191),"diff", MAX(Instances!E191:Instances!E191)-MIN(Instances!E191:Instances!E191))</f>
        <v>0</v>
      </c>
      <c r="F191" s="1" cm="1">
        <f t="array" ref="F191">_xlfn.SWITCH($A$2,"average", AVERAGE(Instances!F191:Instances!F191),"median", MEDIAN(Instances!F191:Instances!F191),"min", MIN(Instances!F191:Instances!F191),"max", MAX(Instances!F191:Instances!F191),"diff", MAX(Instances!F191:Instances!F191)-MIN(Instances!F191:Instances!F191))</f>
        <v>0</v>
      </c>
      <c r="G191" s="1" cm="1">
        <f t="array" ref="G191">_xlfn.SWITCH($A$2,"average", AVERAGE(Instances!G191:Instances!G191),"median", MEDIAN(Instances!G191:Instances!G191),"min", MIN(Instances!G191:Instances!G191),"max", MAX(Instances!G191:Instances!G191),"diff", MAX(Instances!G191:Instances!G191)-MIN(Instances!G191:Instances!G191))</f>
        <v>0</v>
      </c>
      <c r="H191" s="1"/>
      <c r="I191" s="1"/>
      <c r="J191" s="1" cm="1">
        <f t="array" ref="J191">_xlfn.SWITCH($A$2,"average", AVERAGE(Instances!J191:Instances!J191),"median", MEDIAN(Instances!J191:Instances!J191),"min", MIN(Instances!J191:Instances!J191),"max", MAX(Instances!J191:Instances!J191),"diff", MAX(Instances!J191:Instances!J191)-MIN(Instances!J191:Instances!J191))</f>
        <v>0</v>
      </c>
      <c r="K191" s="1" cm="1">
        <f t="array" ref="K191">_xlfn.SWITCH($A$2,"average", AVERAGE(Instances!K191:Instances!K191),"median", MEDIAN(Instances!K191:Instances!K191),"min", MIN(Instances!K191:Instances!K191),"max", MAX(Instances!K191:Instances!K191),"diff", MAX(Instances!K191:Instances!K191)-MIN(Instances!K191:Instances!K191))</f>
        <v>0</v>
      </c>
      <c r="L191" s="1" cm="1">
        <f t="array" ref="L191">_xlfn.SWITCH($A$2,"average", AVERAGE(Instances!L191:Instances!L191),"median", MEDIAN(Instances!L191:Instances!L191),"min", MIN(Instances!L191:Instances!L191),"max", MAX(Instances!L191:Instances!L191),"diff", MAX(Instances!L191:Instances!L191)-MIN(Instances!L191:Instances!L191))</f>
        <v>0</v>
      </c>
      <c r="M191" s="1" cm="1">
        <f t="array" ref="M191">_xlfn.SWITCH($A$2,"average", AVERAGE(Instances!M191:Instances!M191),"median", MEDIAN(Instances!M191:Instances!M191),"min", MIN(Instances!M191:Instances!M191),"max", MAX(Instances!M191:Instances!M191),"diff", MAX(Instances!M191:Instances!M191)-MIN(Instances!M191:Instances!M191))</f>
        <v>0</v>
      </c>
      <c r="N191" s="1" cm="1">
        <f t="array" ref="N191">_xlfn.SWITCH($A$2,"average", AVERAGE(Instances!N191:Instances!N191),"median", MEDIAN(Instances!N191:Instances!N191),"min", MIN(Instances!N191:Instances!N191),"max", MAX(Instances!N191:Instances!N191),"diff", MAX(Instances!N191:Instances!N191)-MIN(Instances!N191:Instances!N191))</f>
        <v>0</v>
      </c>
      <c r="O191" s="1" cm="1">
        <f t="array" ref="O191">_xlfn.SWITCH($A$2,"average", AVERAGE(Instances!O191:Instances!O191),"median", MEDIAN(Instances!O191:Instances!O191),"min", MIN(Instances!O191:Instances!O191),"max", MAX(Instances!O191:Instances!O191),"diff", MAX(Instances!O191:Instances!O191)-MIN(Instances!O191:Instances!O191))</f>
        <v>0</v>
      </c>
      <c r="P191" s="1" cm="1">
        <f t="array" ref="P191">_xlfn.SWITCH($A$2,"average", AVERAGE(Instances!P191:Instances!P191),"median", MEDIAN(Instances!P191:Instances!P191),"min", MIN(Instances!P191:Instances!P191),"max", MAX(Instances!P191:Instances!P191),"diff", MAX(Instances!P191:Instances!P191)-MIN(Instances!P191:Instances!P191))</f>
        <v>0</v>
      </c>
      <c r="Q191" s="1" cm="1">
        <f t="array" ref="Q191">_xlfn.SWITCH($A$2,"average", AVERAGE(Instances!Q191:Instances!Q191),"median", MEDIAN(Instances!Q191:Instances!Q191),"min", MIN(Instances!Q191:Instances!Q191),"max", MAX(Instances!Q191:Instances!Q191),"diff", MAX(Instances!Q191:Instances!Q191)-MIN(Instances!Q191:Instances!Q191))</f>
        <v>0</v>
      </c>
      <c r="R191" s="1">
        <f>MIN($B191,$D191,$F191,$H191,$J191,$L191,$N191,$P191)</f>
        <v>0</v>
      </c>
      <c r="S191" s="1">
        <f>MIN($C191,$E191,$G191,$I191,$K191,$M191,$O191,$Q191)</f>
        <v>0</v>
      </c>
      <c r="T191" s="1">
        <f>MEDIAN($B191,$D191,$F191,$H191,$J191,$L191,$N191,$P191)</f>
        <v>0</v>
      </c>
      <c r="U191" s="1">
        <f>MEDIAN($C191,$E191,$G191,$I191,$K191,$M191,$O191,$Q191)</f>
        <v>0</v>
      </c>
      <c r="V191" s="1">
        <f>MAX($B191,$D191,$F191,$H191,$J191,$L191,$N191,$P191)</f>
        <v>0</v>
      </c>
      <c r="W191" s="1">
        <f>MAX($C191,$E191,$G191,$I191,$K191,$M191,$O191,$Q191)</f>
        <v>0</v>
      </c>
    </row>
    <row r="192" spans="1:23">
      <c r="A192" s="1" t="s">
        <v>189</v>
      </c>
      <c r="B192" s="1"/>
      <c r="C192" s="1"/>
      <c r="D192" s="1" cm="1">
        <f t="array" ref="D192">_xlfn.SWITCH($A$2,"average", AVERAGE(Instances!D192:Instances!D192),"median", MEDIAN(Instances!D192:Instances!D192),"min", MIN(Instances!D192:Instances!D192),"max", MAX(Instances!D192:Instances!D192),"diff", MAX(Instances!D192:Instances!D192)-MIN(Instances!D192:Instances!D192))</f>
        <v>0</v>
      </c>
      <c r="E192" s="1" cm="1">
        <f t="array" ref="E192">_xlfn.SWITCH($A$2,"average", AVERAGE(Instances!E192:Instances!E192),"median", MEDIAN(Instances!E192:Instances!E192),"min", MIN(Instances!E192:Instances!E192),"max", MAX(Instances!E192:Instances!E192),"diff", MAX(Instances!E192:Instances!E192)-MIN(Instances!E192:Instances!E192))</f>
        <v>0</v>
      </c>
      <c r="F192" s="1" cm="1">
        <f t="array" ref="F192">_xlfn.SWITCH($A$2,"average", AVERAGE(Instances!F192:Instances!F192),"median", MEDIAN(Instances!F192:Instances!F192),"min", MIN(Instances!F192:Instances!F192),"max", MAX(Instances!F192:Instances!F192),"diff", MAX(Instances!F192:Instances!F192)-MIN(Instances!F192:Instances!F192))</f>
        <v>0</v>
      </c>
      <c r="G192" s="1" cm="1">
        <f t="array" ref="G192">_xlfn.SWITCH($A$2,"average", AVERAGE(Instances!G192:Instances!G192),"median", MEDIAN(Instances!G192:Instances!G192),"min", MIN(Instances!G192:Instances!G192),"max", MAX(Instances!G192:Instances!G192),"diff", MAX(Instances!G192:Instances!G192)-MIN(Instances!G192:Instances!G192))</f>
        <v>0</v>
      </c>
      <c r="H192" s="1"/>
      <c r="I192" s="1"/>
      <c r="J192" s="1" cm="1">
        <f t="array" ref="J192">_xlfn.SWITCH($A$2,"average", AVERAGE(Instances!J192:Instances!J192),"median", MEDIAN(Instances!J192:Instances!J192),"min", MIN(Instances!J192:Instances!J192),"max", MAX(Instances!J192:Instances!J192),"diff", MAX(Instances!J192:Instances!J192)-MIN(Instances!J192:Instances!J192))</f>
        <v>0</v>
      </c>
      <c r="K192" s="1" cm="1">
        <f t="array" ref="K192">_xlfn.SWITCH($A$2,"average", AVERAGE(Instances!K192:Instances!K192),"median", MEDIAN(Instances!K192:Instances!K192),"min", MIN(Instances!K192:Instances!K192),"max", MAX(Instances!K192:Instances!K192),"diff", MAX(Instances!K192:Instances!K192)-MIN(Instances!K192:Instances!K192))</f>
        <v>0</v>
      </c>
      <c r="L192" s="1" cm="1">
        <f t="array" ref="L192">_xlfn.SWITCH($A$2,"average", AVERAGE(Instances!L192:Instances!L192),"median", MEDIAN(Instances!L192:Instances!L192),"min", MIN(Instances!L192:Instances!L192),"max", MAX(Instances!L192:Instances!L192),"diff", MAX(Instances!L192:Instances!L192)-MIN(Instances!L192:Instances!L192))</f>
        <v>0</v>
      </c>
      <c r="M192" s="1" cm="1">
        <f t="array" ref="M192">_xlfn.SWITCH($A$2,"average", AVERAGE(Instances!M192:Instances!M192),"median", MEDIAN(Instances!M192:Instances!M192),"min", MIN(Instances!M192:Instances!M192),"max", MAX(Instances!M192:Instances!M192),"diff", MAX(Instances!M192:Instances!M192)-MIN(Instances!M192:Instances!M192))</f>
        <v>0</v>
      </c>
      <c r="N192" s="1" cm="1">
        <f t="array" ref="N192">_xlfn.SWITCH($A$2,"average", AVERAGE(Instances!N192:Instances!N192),"median", MEDIAN(Instances!N192:Instances!N192),"min", MIN(Instances!N192:Instances!N192),"max", MAX(Instances!N192:Instances!N192),"diff", MAX(Instances!N192:Instances!N192)-MIN(Instances!N192:Instances!N192))</f>
        <v>0</v>
      </c>
      <c r="O192" s="1" cm="1">
        <f t="array" ref="O192">_xlfn.SWITCH($A$2,"average", AVERAGE(Instances!O192:Instances!O192),"median", MEDIAN(Instances!O192:Instances!O192),"min", MIN(Instances!O192:Instances!O192),"max", MAX(Instances!O192:Instances!O192),"diff", MAX(Instances!O192:Instances!O192)-MIN(Instances!O192:Instances!O192))</f>
        <v>0</v>
      </c>
      <c r="P192" s="1" cm="1">
        <f t="array" ref="P192">_xlfn.SWITCH($A$2,"average", AVERAGE(Instances!P192:Instances!P192),"median", MEDIAN(Instances!P192:Instances!P192),"min", MIN(Instances!P192:Instances!P192),"max", MAX(Instances!P192:Instances!P192),"diff", MAX(Instances!P192:Instances!P192)-MIN(Instances!P192:Instances!P192))</f>
        <v>0</v>
      </c>
      <c r="Q192" s="1" cm="1">
        <f t="array" ref="Q192">_xlfn.SWITCH($A$2,"average", AVERAGE(Instances!Q192:Instances!Q192),"median", MEDIAN(Instances!Q192:Instances!Q192),"min", MIN(Instances!Q192:Instances!Q192),"max", MAX(Instances!Q192:Instances!Q192),"diff", MAX(Instances!Q192:Instances!Q192)-MIN(Instances!Q192:Instances!Q192))</f>
        <v>0</v>
      </c>
      <c r="R192" s="1">
        <f>MIN($B192,$D192,$F192,$H192,$J192,$L192,$N192,$P192)</f>
        <v>0</v>
      </c>
      <c r="S192" s="1">
        <f>MIN($C192,$E192,$G192,$I192,$K192,$M192,$O192,$Q192)</f>
        <v>0</v>
      </c>
      <c r="T192" s="1">
        <f>MEDIAN($B192,$D192,$F192,$H192,$J192,$L192,$N192,$P192)</f>
        <v>0</v>
      </c>
      <c r="U192" s="1">
        <f>MEDIAN($C192,$E192,$G192,$I192,$K192,$M192,$O192,$Q192)</f>
        <v>0</v>
      </c>
      <c r="V192" s="1">
        <f>MAX($B192,$D192,$F192,$H192,$J192,$L192,$N192,$P192)</f>
        <v>0</v>
      </c>
      <c r="W192" s="1">
        <f>MAX($C192,$E192,$G192,$I192,$K192,$M192,$O192,$Q192)</f>
        <v>0</v>
      </c>
    </row>
    <row r="193" spans="1:23">
      <c r="A193" s="1" t="s">
        <v>190</v>
      </c>
      <c r="B193" s="1"/>
      <c r="C193" s="1"/>
      <c r="D193" s="1" cm="1">
        <f t="array" ref="D193">_xlfn.SWITCH($A$2,"average", AVERAGE(Instances!D193:Instances!D193),"median", MEDIAN(Instances!D193:Instances!D193),"min", MIN(Instances!D193:Instances!D193),"max", MAX(Instances!D193:Instances!D193),"diff", MAX(Instances!D193:Instances!D193)-MIN(Instances!D193:Instances!D193))</f>
        <v>0</v>
      </c>
      <c r="E193" s="1" cm="1">
        <f t="array" ref="E193">_xlfn.SWITCH($A$2,"average", AVERAGE(Instances!E193:Instances!E193),"median", MEDIAN(Instances!E193:Instances!E193),"min", MIN(Instances!E193:Instances!E193),"max", MAX(Instances!E193:Instances!E193),"diff", MAX(Instances!E193:Instances!E193)-MIN(Instances!E193:Instances!E193))</f>
        <v>0</v>
      </c>
      <c r="F193" s="1" cm="1">
        <f t="array" ref="F193">_xlfn.SWITCH($A$2,"average", AVERAGE(Instances!F193:Instances!F193),"median", MEDIAN(Instances!F193:Instances!F193),"min", MIN(Instances!F193:Instances!F193),"max", MAX(Instances!F193:Instances!F193),"diff", MAX(Instances!F193:Instances!F193)-MIN(Instances!F193:Instances!F193))</f>
        <v>0</v>
      </c>
      <c r="G193" s="1" cm="1">
        <f t="array" ref="G193">_xlfn.SWITCH($A$2,"average", AVERAGE(Instances!G193:Instances!G193),"median", MEDIAN(Instances!G193:Instances!G193),"min", MIN(Instances!G193:Instances!G193),"max", MAX(Instances!G193:Instances!G193),"diff", MAX(Instances!G193:Instances!G193)-MIN(Instances!G193:Instances!G193))</f>
        <v>0</v>
      </c>
      <c r="H193" s="1"/>
      <c r="I193" s="1"/>
      <c r="J193" s="1" cm="1">
        <f t="array" ref="J193">_xlfn.SWITCH($A$2,"average", AVERAGE(Instances!J193:Instances!J193),"median", MEDIAN(Instances!J193:Instances!J193),"min", MIN(Instances!J193:Instances!J193),"max", MAX(Instances!J193:Instances!J193),"diff", MAX(Instances!J193:Instances!J193)-MIN(Instances!J193:Instances!J193))</f>
        <v>0</v>
      </c>
      <c r="K193" s="1" cm="1">
        <f t="array" ref="K193">_xlfn.SWITCH($A$2,"average", AVERAGE(Instances!K193:Instances!K193),"median", MEDIAN(Instances!K193:Instances!K193),"min", MIN(Instances!K193:Instances!K193),"max", MAX(Instances!K193:Instances!K193),"diff", MAX(Instances!K193:Instances!K193)-MIN(Instances!K193:Instances!K193))</f>
        <v>0</v>
      </c>
      <c r="L193" s="1" cm="1">
        <f t="array" ref="L193">_xlfn.SWITCH($A$2,"average", AVERAGE(Instances!L193:Instances!L193),"median", MEDIAN(Instances!L193:Instances!L193),"min", MIN(Instances!L193:Instances!L193),"max", MAX(Instances!L193:Instances!L193),"diff", MAX(Instances!L193:Instances!L193)-MIN(Instances!L193:Instances!L193))</f>
        <v>0</v>
      </c>
      <c r="M193" s="1" cm="1">
        <f t="array" ref="M193">_xlfn.SWITCH($A$2,"average", AVERAGE(Instances!M193:Instances!M193),"median", MEDIAN(Instances!M193:Instances!M193),"min", MIN(Instances!M193:Instances!M193),"max", MAX(Instances!M193:Instances!M193),"diff", MAX(Instances!M193:Instances!M193)-MIN(Instances!M193:Instances!M193))</f>
        <v>0</v>
      </c>
      <c r="N193" s="1" cm="1">
        <f t="array" ref="N193">_xlfn.SWITCH($A$2,"average", AVERAGE(Instances!N193:Instances!N193),"median", MEDIAN(Instances!N193:Instances!N193),"min", MIN(Instances!N193:Instances!N193),"max", MAX(Instances!N193:Instances!N193),"diff", MAX(Instances!N193:Instances!N193)-MIN(Instances!N193:Instances!N193))</f>
        <v>0</v>
      </c>
      <c r="O193" s="1" cm="1">
        <f t="array" ref="O193">_xlfn.SWITCH($A$2,"average", AVERAGE(Instances!O193:Instances!O193),"median", MEDIAN(Instances!O193:Instances!O193),"min", MIN(Instances!O193:Instances!O193),"max", MAX(Instances!O193:Instances!O193),"diff", MAX(Instances!O193:Instances!O193)-MIN(Instances!O193:Instances!O193))</f>
        <v>0</v>
      </c>
      <c r="P193" s="1" cm="1">
        <f t="array" ref="P193">_xlfn.SWITCH($A$2,"average", AVERAGE(Instances!P193:Instances!P193),"median", MEDIAN(Instances!P193:Instances!P193),"min", MIN(Instances!P193:Instances!P193),"max", MAX(Instances!P193:Instances!P193),"diff", MAX(Instances!P193:Instances!P193)-MIN(Instances!P193:Instances!P193))</f>
        <v>0</v>
      </c>
      <c r="Q193" s="1" cm="1">
        <f t="array" ref="Q193">_xlfn.SWITCH($A$2,"average", AVERAGE(Instances!Q193:Instances!Q193),"median", MEDIAN(Instances!Q193:Instances!Q193),"min", MIN(Instances!Q193:Instances!Q193),"max", MAX(Instances!Q193:Instances!Q193),"diff", MAX(Instances!Q193:Instances!Q193)-MIN(Instances!Q193:Instances!Q193))</f>
        <v>0</v>
      </c>
      <c r="R193" s="1">
        <f>MIN($B193,$D193,$F193,$H193,$J193,$L193,$N193,$P193)</f>
        <v>0</v>
      </c>
      <c r="S193" s="1">
        <f>MIN($C193,$E193,$G193,$I193,$K193,$M193,$O193,$Q193)</f>
        <v>0</v>
      </c>
      <c r="T193" s="1">
        <f>MEDIAN($B193,$D193,$F193,$H193,$J193,$L193,$N193,$P193)</f>
        <v>0</v>
      </c>
      <c r="U193" s="1">
        <f>MEDIAN($C193,$E193,$G193,$I193,$K193,$M193,$O193,$Q193)</f>
        <v>0</v>
      </c>
      <c r="V193" s="1">
        <f>MAX($B193,$D193,$F193,$H193,$J193,$L193,$N193,$P193)</f>
        <v>0</v>
      </c>
      <c r="W193" s="1">
        <f>MAX($C193,$E193,$G193,$I193,$K193,$M193,$O193,$Q193)</f>
        <v>0</v>
      </c>
    </row>
    <row r="194" spans="1:23">
      <c r="A194" s="1" t="s">
        <v>191</v>
      </c>
      <c r="B194" s="1"/>
      <c r="C194" s="1"/>
      <c r="D194" s="1" cm="1">
        <f t="array" ref="D194">_xlfn.SWITCH($A$2,"average", AVERAGE(Instances!D194:Instances!D194),"median", MEDIAN(Instances!D194:Instances!D194),"min", MIN(Instances!D194:Instances!D194),"max", MAX(Instances!D194:Instances!D194),"diff", MAX(Instances!D194:Instances!D194)-MIN(Instances!D194:Instances!D194))</f>
        <v>0</v>
      </c>
      <c r="E194" s="1" cm="1">
        <f t="array" ref="E194">_xlfn.SWITCH($A$2,"average", AVERAGE(Instances!E194:Instances!E194),"median", MEDIAN(Instances!E194:Instances!E194),"min", MIN(Instances!E194:Instances!E194),"max", MAX(Instances!E194:Instances!E194),"diff", MAX(Instances!E194:Instances!E194)-MIN(Instances!E194:Instances!E194))</f>
        <v>0</v>
      </c>
      <c r="F194" s="1" cm="1">
        <f t="array" ref="F194">_xlfn.SWITCH($A$2,"average", AVERAGE(Instances!F194:Instances!F194),"median", MEDIAN(Instances!F194:Instances!F194),"min", MIN(Instances!F194:Instances!F194),"max", MAX(Instances!F194:Instances!F194),"diff", MAX(Instances!F194:Instances!F194)-MIN(Instances!F194:Instances!F194))</f>
        <v>0</v>
      </c>
      <c r="G194" s="1" cm="1">
        <f t="array" ref="G194">_xlfn.SWITCH($A$2,"average", AVERAGE(Instances!G194:Instances!G194),"median", MEDIAN(Instances!G194:Instances!G194),"min", MIN(Instances!G194:Instances!G194),"max", MAX(Instances!G194:Instances!G194),"diff", MAX(Instances!G194:Instances!G194)-MIN(Instances!G194:Instances!G194))</f>
        <v>0</v>
      </c>
      <c r="H194" s="1"/>
      <c r="I194" s="1"/>
      <c r="J194" s="1" cm="1">
        <f t="array" ref="J194">_xlfn.SWITCH($A$2,"average", AVERAGE(Instances!J194:Instances!J194),"median", MEDIAN(Instances!J194:Instances!J194),"min", MIN(Instances!J194:Instances!J194),"max", MAX(Instances!J194:Instances!J194),"diff", MAX(Instances!J194:Instances!J194)-MIN(Instances!J194:Instances!J194))</f>
        <v>0</v>
      </c>
      <c r="K194" s="1" cm="1">
        <f t="array" ref="K194">_xlfn.SWITCH($A$2,"average", AVERAGE(Instances!K194:Instances!K194),"median", MEDIAN(Instances!K194:Instances!K194),"min", MIN(Instances!K194:Instances!K194),"max", MAX(Instances!K194:Instances!K194),"diff", MAX(Instances!K194:Instances!K194)-MIN(Instances!K194:Instances!K194))</f>
        <v>0</v>
      </c>
      <c r="L194" s="1" cm="1">
        <f t="array" ref="L194">_xlfn.SWITCH($A$2,"average", AVERAGE(Instances!L194:Instances!L194),"median", MEDIAN(Instances!L194:Instances!L194),"min", MIN(Instances!L194:Instances!L194),"max", MAX(Instances!L194:Instances!L194),"diff", MAX(Instances!L194:Instances!L194)-MIN(Instances!L194:Instances!L194))</f>
        <v>0</v>
      </c>
      <c r="M194" s="1" cm="1">
        <f t="array" ref="M194">_xlfn.SWITCH($A$2,"average", AVERAGE(Instances!M194:Instances!M194),"median", MEDIAN(Instances!M194:Instances!M194),"min", MIN(Instances!M194:Instances!M194),"max", MAX(Instances!M194:Instances!M194),"diff", MAX(Instances!M194:Instances!M194)-MIN(Instances!M194:Instances!M194))</f>
        <v>0</v>
      </c>
      <c r="N194" s="1" cm="1">
        <f t="array" ref="N194">_xlfn.SWITCH($A$2,"average", AVERAGE(Instances!N194:Instances!N194),"median", MEDIAN(Instances!N194:Instances!N194),"min", MIN(Instances!N194:Instances!N194),"max", MAX(Instances!N194:Instances!N194),"diff", MAX(Instances!N194:Instances!N194)-MIN(Instances!N194:Instances!N194))</f>
        <v>0</v>
      </c>
      <c r="O194" s="1" cm="1">
        <f t="array" ref="O194">_xlfn.SWITCH($A$2,"average", AVERAGE(Instances!O194:Instances!O194),"median", MEDIAN(Instances!O194:Instances!O194),"min", MIN(Instances!O194:Instances!O194),"max", MAX(Instances!O194:Instances!O194),"diff", MAX(Instances!O194:Instances!O194)-MIN(Instances!O194:Instances!O194))</f>
        <v>0</v>
      </c>
      <c r="P194" s="1" cm="1">
        <f t="array" ref="P194">_xlfn.SWITCH($A$2,"average", AVERAGE(Instances!P194:Instances!P194),"median", MEDIAN(Instances!P194:Instances!P194),"min", MIN(Instances!P194:Instances!P194),"max", MAX(Instances!P194:Instances!P194),"diff", MAX(Instances!P194:Instances!P194)-MIN(Instances!P194:Instances!P194))</f>
        <v>0</v>
      </c>
      <c r="Q194" s="1" cm="1">
        <f t="array" ref="Q194">_xlfn.SWITCH($A$2,"average", AVERAGE(Instances!Q194:Instances!Q194),"median", MEDIAN(Instances!Q194:Instances!Q194),"min", MIN(Instances!Q194:Instances!Q194),"max", MAX(Instances!Q194:Instances!Q194),"diff", MAX(Instances!Q194:Instances!Q194)-MIN(Instances!Q194:Instances!Q194))</f>
        <v>0</v>
      </c>
      <c r="R194" s="1">
        <f>MIN($B194,$D194,$F194,$H194,$J194,$L194,$N194,$P194)</f>
        <v>0</v>
      </c>
      <c r="S194" s="1">
        <f>MIN($C194,$E194,$G194,$I194,$K194,$M194,$O194,$Q194)</f>
        <v>0</v>
      </c>
      <c r="T194" s="1">
        <f>MEDIAN($B194,$D194,$F194,$H194,$J194,$L194,$N194,$P194)</f>
        <v>0</v>
      </c>
      <c r="U194" s="1">
        <f>MEDIAN($C194,$E194,$G194,$I194,$K194,$M194,$O194,$Q194)</f>
        <v>0</v>
      </c>
      <c r="V194" s="1">
        <f>MAX($B194,$D194,$F194,$H194,$J194,$L194,$N194,$P194)</f>
        <v>0</v>
      </c>
      <c r="W194" s="1">
        <f>MAX($C194,$E194,$G194,$I194,$K194,$M194,$O194,$Q194)</f>
        <v>0</v>
      </c>
    </row>
    <row r="195" spans="1:23">
      <c r="A195" s="1" t="s">
        <v>192</v>
      </c>
      <c r="B195" s="1"/>
      <c r="C195" s="1"/>
      <c r="D195" s="1" cm="1">
        <f t="array" ref="D195">_xlfn.SWITCH($A$2,"average", AVERAGE(Instances!D195:Instances!D195),"median", MEDIAN(Instances!D195:Instances!D195),"min", MIN(Instances!D195:Instances!D195),"max", MAX(Instances!D195:Instances!D195),"diff", MAX(Instances!D195:Instances!D195)-MIN(Instances!D195:Instances!D195))</f>
        <v>0</v>
      </c>
      <c r="E195" s="1" cm="1">
        <f t="array" ref="E195">_xlfn.SWITCH($A$2,"average", AVERAGE(Instances!E195:Instances!E195),"median", MEDIAN(Instances!E195:Instances!E195),"min", MIN(Instances!E195:Instances!E195),"max", MAX(Instances!E195:Instances!E195),"diff", MAX(Instances!E195:Instances!E195)-MIN(Instances!E195:Instances!E195))</f>
        <v>0</v>
      </c>
      <c r="F195" s="1" cm="1">
        <f t="array" ref="F195">_xlfn.SWITCH($A$2,"average", AVERAGE(Instances!F195:Instances!F195),"median", MEDIAN(Instances!F195:Instances!F195),"min", MIN(Instances!F195:Instances!F195),"max", MAX(Instances!F195:Instances!F195),"diff", MAX(Instances!F195:Instances!F195)-MIN(Instances!F195:Instances!F195))</f>
        <v>0</v>
      </c>
      <c r="G195" s="1" cm="1">
        <f t="array" ref="G195">_xlfn.SWITCH($A$2,"average", AVERAGE(Instances!G195:Instances!G195),"median", MEDIAN(Instances!G195:Instances!G195),"min", MIN(Instances!G195:Instances!G195),"max", MAX(Instances!G195:Instances!G195),"diff", MAX(Instances!G195:Instances!G195)-MIN(Instances!G195:Instances!G195))</f>
        <v>0</v>
      </c>
      <c r="H195" s="1"/>
      <c r="I195" s="1"/>
      <c r="J195" s="1" cm="1">
        <f t="array" ref="J195">_xlfn.SWITCH($A$2,"average", AVERAGE(Instances!J195:Instances!J195),"median", MEDIAN(Instances!J195:Instances!J195),"min", MIN(Instances!J195:Instances!J195),"max", MAX(Instances!J195:Instances!J195),"diff", MAX(Instances!J195:Instances!J195)-MIN(Instances!J195:Instances!J195))</f>
        <v>0</v>
      </c>
      <c r="K195" s="1" cm="1">
        <f t="array" ref="K195">_xlfn.SWITCH($A$2,"average", AVERAGE(Instances!K195:Instances!K195),"median", MEDIAN(Instances!K195:Instances!K195),"min", MIN(Instances!K195:Instances!K195),"max", MAX(Instances!K195:Instances!K195),"diff", MAX(Instances!K195:Instances!K195)-MIN(Instances!K195:Instances!K195))</f>
        <v>0</v>
      </c>
      <c r="L195" s="1" cm="1">
        <f t="array" ref="L195">_xlfn.SWITCH($A$2,"average", AVERAGE(Instances!L195:Instances!L195),"median", MEDIAN(Instances!L195:Instances!L195),"min", MIN(Instances!L195:Instances!L195),"max", MAX(Instances!L195:Instances!L195),"diff", MAX(Instances!L195:Instances!L195)-MIN(Instances!L195:Instances!L195))</f>
        <v>0</v>
      </c>
      <c r="M195" s="1" cm="1">
        <f t="array" ref="M195">_xlfn.SWITCH($A$2,"average", AVERAGE(Instances!M195:Instances!M195),"median", MEDIAN(Instances!M195:Instances!M195),"min", MIN(Instances!M195:Instances!M195),"max", MAX(Instances!M195:Instances!M195),"diff", MAX(Instances!M195:Instances!M195)-MIN(Instances!M195:Instances!M195))</f>
        <v>0</v>
      </c>
      <c r="N195" s="1" cm="1">
        <f t="array" ref="N195">_xlfn.SWITCH($A$2,"average", AVERAGE(Instances!N195:Instances!N195),"median", MEDIAN(Instances!N195:Instances!N195),"min", MIN(Instances!N195:Instances!N195),"max", MAX(Instances!N195:Instances!N195),"diff", MAX(Instances!N195:Instances!N195)-MIN(Instances!N195:Instances!N195))</f>
        <v>0</v>
      </c>
      <c r="O195" s="1" cm="1">
        <f t="array" ref="O195">_xlfn.SWITCH($A$2,"average", AVERAGE(Instances!O195:Instances!O195),"median", MEDIAN(Instances!O195:Instances!O195),"min", MIN(Instances!O195:Instances!O195),"max", MAX(Instances!O195:Instances!O195),"diff", MAX(Instances!O195:Instances!O195)-MIN(Instances!O195:Instances!O195))</f>
        <v>0</v>
      </c>
      <c r="P195" s="1" cm="1">
        <f t="array" ref="P195">_xlfn.SWITCH($A$2,"average", AVERAGE(Instances!P195:Instances!P195),"median", MEDIAN(Instances!P195:Instances!P195),"min", MIN(Instances!P195:Instances!P195),"max", MAX(Instances!P195:Instances!P195),"diff", MAX(Instances!P195:Instances!P195)-MIN(Instances!P195:Instances!P195))</f>
        <v>0</v>
      </c>
      <c r="Q195" s="1" cm="1">
        <f t="array" ref="Q195">_xlfn.SWITCH($A$2,"average", AVERAGE(Instances!Q195:Instances!Q195),"median", MEDIAN(Instances!Q195:Instances!Q195),"min", MIN(Instances!Q195:Instances!Q195),"max", MAX(Instances!Q195:Instances!Q195),"diff", MAX(Instances!Q195:Instances!Q195)-MIN(Instances!Q195:Instances!Q195))</f>
        <v>0</v>
      </c>
      <c r="R195" s="1">
        <f>MIN($B195,$D195,$F195,$H195,$J195,$L195,$N195,$P195)</f>
        <v>0</v>
      </c>
      <c r="S195" s="1">
        <f>MIN($C195,$E195,$G195,$I195,$K195,$M195,$O195,$Q195)</f>
        <v>0</v>
      </c>
      <c r="T195" s="1">
        <f>MEDIAN($B195,$D195,$F195,$H195,$J195,$L195,$N195,$P195)</f>
        <v>0</v>
      </c>
      <c r="U195" s="1">
        <f>MEDIAN($C195,$E195,$G195,$I195,$K195,$M195,$O195,$Q195)</f>
        <v>0</v>
      </c>
      <c r="V195" s="1">
        <f>MAX($B195,$D195,$F195,$H195,$J195,$L195,$N195,$P195)</f>
        <v>0</v>
      </c>
      <c r="W195" s="1">
        <f>MAX($C195,$E195,$G195,$I195,$K195,$M195,$O195,$Q195)</f>
        <v>0</v>
      </c>
    </row>
    <row r="196" spans="1:23">
      <c r="A196" s="1" t="s">
        <v>193</v>
      </c>
      <c r="B196" s="1"/>
      <c r="C196" s="1"/>
      <c r="D196" s="1" cm="1">
        <f t="array" ref="D196">_xlfn.SWITCH($A$2,"average", AVERAGE(Instances!D196:Instances!D196),"median", MEDIAN(Instances!D196:Instances!D196),"min", MIN(Instances!D196:Instances!D196),"max", MAX(Instances!D196:Instances!D196),"diff", MAX(Instances!D196:Instances!D196)-MIN(Instances!D196:Instances!D196))</f>
        <v>0</v>
      </c>
      <c r="E196" s="1" cm="1">
        <f t="array" ref="E196">_xlfn.SWITCH($A$2,"average", AVERAGE(Instances!E196:Instances!E196),"median", MEDIAN(Instances!E196:Instances!E196),"min", MIN(Instances!E196:Instances!E196),"max", MAX(Instances!E196:Instances!E196),"diff", MAX(Instances!E196:Instances!E196)-MIN(Instances!E196:Instances!E196))</f>
        <v>0</v>
      </c>
      <c r="F196" s="1" cm="1">
        <f t="array" ref="F196">_xlfn.SWITCH($A$2,"average", AVERAGE(Instances!F196:Instances!F196),"median", MEDIAN(Instances!F196:Instances!F196),"min", MIN(Instances!F196:Instances!F196),"max", MAX(Instances!F196:Instances!F196),"diff", MAX(Instances!F196:Instances!F196)-MIN(Instances!F196:Instances!F196))</f>
        <v>0</v>
      </c>
      <c r="G196" s="1" cm="1">
        <f t="array" ref="G196">_xlfn.SWITCH($A$2,"average", AVERAGE(Instances!G196:Instances!G196),"median", MEDIAN(Instances!G196:Instances!G196),"min", MIN(Instances!G196:Instances!G196),"max", MAX(Instances!G196:Instances!G196),"diff", MAX(Instances!G196:Instances!G196)-MIN(Instances!G196:Instances!G196))</f>
        <v>0</v>
      </c>
      <c r="H196" s="1"/>
      <c r="I196" s="1"/>
      <c r="J196" s="1" cm="1">
        <f t="array" ref="J196">_xlfn.SWITCH($A$2,"average", AVERAGE(Instances!J196:Instances!J196),"median", MEDIAN(Instances!J196:Instances!J196),"min", MIN(Instances!J196:Instances!J196),"max", MAX(Instances!J196:Instances!J196),"diff", MAX(Instances!J196:Instances!J196)-MIN(Instances!J196:Instances!J196))</f>
        <v>0</v>
      </c>
      <c r="K196" s="1" cm="1">
        <f t="array" ref="K196">_xlfn.SWITCH($A$2,"average", AVERAGE(Instances!K196:Instances!K196),"median", MEDIAN(Instances!K196:Instances!K196),"min", MIN(Instances!K196:Instances!K196),"max", MAX(Instances!K196:Instances!K196),"diff", MAX(Instances!K196:Instances!K196)-MIN(Instances!K196:Instances!K196))</f>
        <v>0</v>
      </c>
      <c r="L196" s="1" cm="1">
        <f t="array" ref="L196">_xlfn.SWITCH($A$2,"average", AVERAGE(Instances!L196:Instances!L196),"median", MEDIAN(Instances!L196:Instances!L196),"min", MIN(Instances!L196:Instances!L196),"max", MAX(Instances!L196:Instances!L196),"diff", MAX(Instances!L196:Instances!L196)-MIN(Instances!L196:Instances!L196))</f>
        <v>0</v>
      </c>
      <c r="M196" s="1" cm="1">
        <f t="array" ref="M196">_xlfn.SWITCH($A$2,"average", AVERAGE(Instances!M196:Instances!M196),"median", MEDIAN(Instances!M196:Instances!M196),"min", MIN(Instances!M196:Instances!M196),"max", MAX(Instances!M196:Instances!M196),"diff", MAX(Instances!M196:Instances!M196)-MIN(Instances!M196:Instances!M196))</f>
        <v>0</v>
      </c>
      <c r="N196" s="1" cm="1">
        <f t="array" ref="N196">_xlfn.SWITCH($A$2,"average", AVERAGE(Instances!N196:Instances!N196),"median", MEDIAN(Instances!N196:Instances!N196),"min", MIN(Instances!N196:Instances!N196),"max", MAX(Instances!N196:Instances!N196),"diff", MAX(Instances!N196:Instances!N196)-MIN(Instances!N196:Instances!N196))</f>
        <v>0</v>
      </c>
      <c r="O196" s="1" cm="1">
        <f t="array" ref="O196">_xlfn.SWITCH($A$2,"average", AVERAGE(Instances!O196:Instances!O196),"median", MEDIAN(Instances!O196:Instances!O196),"min", MIN(Instances!O196:Instances!O196),"max", MAX(Instances!O196:Instances!O196),"diff", MAX(Instances!O196:Instances!O196)-MIN(Instances!O196:Instances!O196))</f>
        <v>0</v>
      </c>
      <c r="P196" s="1" cm="1">
        <f t="array" ref="P196">_xlfn.SWITCH($A$2,"average", AVERAGE(Instances!P196:Instances!P196),"median", MEDIAN(Instances!P196:Instances!P196),"min", MIN(Instances!P196:Instances!P196),"max", MAX(Instances!P196:Instances!P196),"diff", MAX(Instances!P196:Instances!P196)-MIN(Instances!P196:Instances!P196))</f>
        <v>0</v>
      </c>
      <c r="Q196" s="1" cm="1">
        <f t="array" ref="Q196">_xlfn.SWITCH($A$2,"average", AVERAGE(Instances!Q196:Instances!Q196),"median", MEDIAN(Instances!Q196:Instances!Q196),"min", MIN(Instances!Q196:Instances!Q196),"max", MAX(Instances!Q196:Instances!Q196),"diff", MAX(Instances!Q196:Instances!Q196)-MIN(Instances!Q196:Instances!Q196))</f>
        <v>0</v>
      </c>
      <c r="R196" s="1">
        <f>MIN($B196,$D196,$F196,$H196,$J196,$L196,$N196,$P196)</f>
        <v>0</v>
      </c>
      <c r="S196" s="1">
        <f>MIN($C196,$E196,$G196,$I196,$K196,$M196,$O196,$Q196)</f>
        <v>0</v>
      </c>
      <c r="T196" s="1">
        <f>MEDIAN($B196,$D196,$F196,$H196,$J196,$L196,$N196,$P196)</f>
        <v>0</v>
      </c>
      <c r="U196" s="1">
        <f>MEDIAN($C196,$E196,$G196,$I196,$K196,$M196,$O196,$Q196)</f>
        <v>0</v>
      </c>
      <c r="V196" s="1">
        <f>MAX($B196,$D196,$F196,$H196,$J196,$L196,$N196,$P196)</f>
        <v>0</v>
      </c>
      <c r="W196" s="1">
        <f>MAX($C196,$E196,$G196,$I196,$K196,$M196,$O196,$Q196)</f>
        <v>0</v>
      </c>
    </row>
    <row r="197" spans="1:23">
      <c r="A197" s="1" t="s">
        <v>194</v>
      </c>
      <c r="B197" s="1"/>
      <c r="C197" s="1"/>
      <c r="D197" s="1" cm="1">
        <f t="array" ref="D197">_xlfn.SWITCH($A$2,"average", AVERAGE(Instances!D197:Instances!D197),"median", MEDIAN(Instances!D197:Instances!D197),"min", MIN(Instances!D197:Instances!D197),"max", MAX(Instances!D197:Instances!D197),"diff", MAX(Instances!D197:Instances!D197)-MIN(Instances!D197:Instances!D197))</f>
        <v>0</v>
      </c>
      <c r="E197" s="1" cm="1">
        <f t="array" ref="E197">_xlfn.SWITCH($A$2,"average", AVERAGE(Instances!E197:Instances!E197),"median", MEDIAN(Instances!E197:Instances!E197),"min", MIN(Instances!E197:Instances!E197),"max", MAX(Instances!E197:Instances!E197),"diff", MAX(Instances!E197:Instances!E197)-MIN(Instances!E197:Instances!E197))</f>
        <v>0</v>
      </c>
      <c r="F197" s="1" cm="1">
        <f t="array" ref="F197">_xlfn.SWITCH($A$2,"average", AVERAGE(Instances!F197:Instances!F197),"median", MEDIAN(Instances!F197:Instances!F197),"min", MIN(Instances!F197:Instances!F197),"max", MAX(Instances!F197:Instances!F197),"diff", MAX(Instances!F197:Instances!F197)-MIN(Instances!F197:Instances!F197))</f>
        <v>0</v>
      </c>
      <c r="G197" s="1" cm="1">
        <f t="array" ref="G197">_xlfn.SWITCH($A$2,"average", AVERAGE(Instances!G197:Instances!G197),"median", MEDIAN(Instances!G197:Instances!G197),"min", MIN(Instances!G197:Instances!G197),"max", MAX(Instances!G197:Instances!G197),"diff", MAX(Instances!G197:Instances!G197)-MIN(Instances!G197:Instances!G197))</f>
        <v>0</v>
      </c>
      <c r="H197" s="1"/>
      <c r="I197" s="1"/>
      <c r="J197" s="1" cm="1">
        <f t="array" ref="J197">_xlfn.SWITCH($A$2,"average", AVERAGE(Instances!J197:Instances!J197),"median", MEDIAN(Instances!J197:Instances!J197),"min", MIN(Instances!J197:Instances!J197),"max", MAX(Instances!J197:Instances!J197),"diff", MAX(Instances!J197:Instances!J197)-MIN(Instances!J197:Instances!J197))</f>
        <v>0</v>
      </c>
      <c r="K197" s="1" cm="1">
        <f t="array" ref="K197">_xlfn.SWITCH($A$2,"average", AVERAGE(Instances!K197:Instances!K197),"median", MEDIAN(Instances!K197:Instances!K197),"min", MIN(Instances!K197:Instances!K197),"max", MAX(Instances!K197:Instances!K197),"diff", MAX(Instances!K197:Instances!K197)-MIN(Instances!K197:Instances!K197))</f>
        <v>0</v>
      </c>
      <c r="L197" s="1" cm="1">
        <f t="array" ref="L197">_xlfn.SWITCH($A$2,"average", AVERAGE(Instances!L197:Instances!L197),"median", MEDIAN(Instances!L197:Instances!L197),"min", MIN(Instances!L197:Instances!L197),"max", MAX(Instances!L197:Instances!L197),"diff", MAX(Instances!L197:Instances!L197)-MIN(Instances!L197:Instances!L197))</f>
        <v>0</v>
      </c>
      <c r="M197" s="1" cm="1">
        <f t="array" ref="M197">_xlfn.SWITCH($A$2,"average", AVERAGE(Instances!M197:Instances!M197),"median", MEDIAN(Instances!M197:Instances!M197),"min", MIN(Instances!M197:Instances!M197),"max", MAX(Instances!M197:Instances!M197),"diff", MAX(Instances!M197:Instances!M197)-MIN(Instances!M197:Instances!M197))</f>
        <v>0</v>
      </c>
      <c r="N197" s="1" cm="1">
        <f t="array" ref="N197">_xlfn.SWITCH($A$2,"average", AVERAGE(Instances!N197:Instances!N197),"median", MEDIAN(Instances!N197:Instances!N197),"min", MIN(Instances!N197:Instances!N197),"max", MAX(Instances!N197:Instances!N197),"diff", MAX(Instances!N197:Instances!N197)-MIN(Instances!N197:Instances!N197))</f>
        <v>0</v>
      </c>
      <c r="O197" s="1" cm="1">
        <f t="array" ref="O197">_xlfn.SWITCH($A$2,"average", AVERAGE(Instances!O197:Instances!O197),"median", MEDIAN(Instances!O197:Instances!O197),"min", MIN(Instances!O197:Instances!O197),"max", MAX(Instances!O197:Instances!O197),"diff", MAX(Instances!O197:Instances!O197)-MIN(Instances!O197:Instances!O197))</f>
        <v>0</v>
      </c>
      <c r="P197" s="1" cm="1">
        <f t="array" ref="P197">_xlfn.SWITCH($A$2,"average", AVERAGE(Instances!P197:Instances!P197),"median", MEDIAN(Instances!P197:Instances!P197),"min", MIN(Instances!P197:Instances!P197),"max", MAX(Instances!P197:Instances!P197),"diff", MAX(Instances!P197:Instances!P197)-MIN(Instances!P197:Instances!P197))</f>
        <v>0</v>
      </c>
      <c r="Q197" s="1" cm="1">
        <f t="array" ref="Q197">_xlfn.SWITCH($A$2,"average", AVERAGE(Instances!Q197:Instances!Q197),"median", MEDIAN(Instances!Q197:Instances!Q197),"min", MIN(Instances!Q197:Instances!Q197),"max", MAX(Instances!Q197:Instances!Q197),"diff", MAX(Instances!Q197:Instances!Q197)-MIN(Instances!Q197:Instances!Q197))</f>
        <v>0</v>
      </c>
      <c r="R197" s="1">
        <f>MIN($B197,$D197,$F197,$H197,$J197,$L197,$N197,$P197)</f>
        <v>0</v>
      </c>
      <c r="S197" s="1">
        <f>MIN($C197,$E197,$G197,$I197,$K197,$M197,$O197,$Q197)</f>
        <v>0</v>
      </c>
      <c r="T197" s="1">
        <f>MEDIAN($B197,$D197,$F197,$H197,$J197,$L197,$N197,$P197)</f>
        <v>0</v>
      </c>
      <c r="U197" s="1">
        <f>MEDIAN($C197,$E197,$G197,$I197,$K197,$M197,$O197,$Q197)</f>
        <v>0</v>
      </c>
      <c r="V197" s="1">
        <f>MAX($B197,$D197,$F197,$H197,$J197,$L197,$N197,$P197)</f>
        <v>0</v>
      </c>
      <c r="W197" s="1">
        <f>MAX($C197,$E197,$G197,$I197,$K197,$M197,$O197,$Q197)</f>
        <v>0</v>
      </c>
    </row>
    <row r="198" spans="1:23">
      <c r="A198" s="1" t="s">
        <v>195</v>
      </c>
      <c r="B198" s="1"/>
      <c r="C198" s="1"/>
      <c r="D198" s="1" cm="1">
        <f t="array" ref="D198">_xlfn.SWITCH($A$2,"average", AVERAGE(Instances!D198:Instances!D198),"median", MEDIAN(Instances!D198:Instances!D198),"min", MIN(Instances!D198:Instances!D198),"max", MAX(Instances!D198:Instances!D198),"diff", MAX(Instances!D198:Instances!D198)-MIN(Instances!D198:Instances!D198))</f>
        <v>0</v>
      </c>
      <c r="E198" s="1" cm="1">
        <f t="array" ref="E198">_xlfn.SWITCH($A$2,"average", AVERAGE(Instances!E198:Instances!E198),"median", MEDIAN(Instances!E198:Instances!E198),"min", MIN(Instances!E198:Instances!E198),"max", MAX(Instances!E198:Instances!E198),"diff", MAX(Instances!E198:Instances!E198)-MIN(Instances!E198:Instances!E198))</f>
        <v>0</v>
      </c>
      <c r="F198" s="1" cm="1">
        <f t="array" ref="F198">_xlfn.SWITCH($A$2,"average", AVERAGE(Instances!F198:Instances!F198),"median", MEDIAN(Instances!F198:Instances!F198),"min", MIN(Instances!F198:Instances!F198),"max", MAX(Instances!F198:Instances!F198),"diff", MAX(Instances!F198:Instances!F198)-MIN(Instances!F198:Instances!F198))</f>
        <v>0</v>
      </c>
      <c r="G198" s="1" cm="1">
        <f t="array" ref="G198">_xlfn.SWITCH($A$2,"average", AVERAGE(Instances!G198:Instances!G198),"median", MEDIAN(Instances!G198:Instances!G198),"min", MIN(Instances!G198:Instances!G198),"max", MAX(Instances!G198:Instances!G198),"diff", MAX(Instances!G198:Instances!G198)-MIN(Instances!G198:Instances!G198))</f>
        <v>0</v>
      </c>
      <c r="H198" s="1"/>
      <c r="I198" s="1"/>
      <c r="J198" s="1" cm="1">
        <f t="array" ref="J198">_xlfn.SWITCH($A$2,"average", AVERAGE(Instances!J198:Instances!J198),"median", MEDIAN(Instances!J198:Instances!J198),"min", MIN(Instances!J198:Instances!J198),"max", MAX(Instances!J198:Instances!J198),"diff", MAX(Instances!J198:Instances!J198)-MIN(Instances!J198:Instances!J198))</f>
        <v>0</v>
      </c>
      <c r="K198" s="1" cm="1">
        <f t="array" ref="K198">_xlfn.SWITCH($A$2,"average", AVERAGE(Instances!K198:Instances!K198),"median", MEDIAN(Instances!K198:Instances!K198),"min", MIN(Instances!K198:Instances!K198),"max", MAX(Instances!K198:Instances!K198),"diff", MAX(Instances!K198:Instances!K198)-MIN(Instances!K198:Instances!K198))</f>
        <v>0</v>
      </c>
      <c r="L198" s="1" cm="1">
        <f t="array" ref="L198">_xlfn.SWITCH($A$2,"average", AVERAGE(Instances!L198:Instances!L198),"median", MEDIAN(Instances!L198:Instances!L198),"min", MIN(Instances!L198:Instances!L198),"max", MAX(Instances!L198:Instances!L198),"diff", MAX(Instances!L198:Instances!L198)-MIN(Instances!L198:Instances!L198))</f>
        <v>0</v>
      </c>
      <c r="M198" s="1" cm="1">
        <f t="array" ref="M198">_xlfn.SWITCH($A$2,"average", AVERAGE(Instances!M198:Instances!M198),"median", MEDIAN(Instances!M198:Instances!M198),"min", MIN(Instances!M198:Instances!M198),"max", MAX(Instances!M198:Instances!M198),"diff", MAX(Instances!M198:Instances!M198)-MIN(Instances!M198:Instances!M198))</f>
        <v>0</v>
      </c>
      <c r="N198" s="1" cm="1">
        <f t="array" ref="N198">_xlfn.SWITCH($A$2,"average", AVERAGE(Instances!N198:Instances!N198),"median", MEDIAN(Instances!N198:Instances!N198),"min", MIN(Instances!N198:Instances!N198),"max", MAX(Instances!N198:Instances!N198),"diff", MAX(Instances!N198:Instances!N198)-MIN(Instances!N198:Instances!N198))</f>
        <v>0</v>
      </c>
      <c r="O198" s="1" cm="1">
        <f t="array" ref="O198">_xlfn.SWITCH($A$2,"average", AVERAGE(Instances!O198:Instances!O198),"median", MEDIAN(Instances!O198:Instances!O198),"min", MIN(Instances!O198:Instances!O198),"max", MAX(Instances!O198:Instances!O198),"diff", MAX(Instances!O198:Instances!O198)-MIN(Instances!O198:Instances!O198))</f>
        <v>0</v>
      </c>
      <c r="P198" s="1" cm="1">
        <f t="array" ref="P198">_xlfn.SWITCH($A$2,"average", AVERAGE(Instances!P198:Instances!P198),"median", MEDIAN(Instances!P198:Instances!P198),"min", MIN(Instances!P198:Instances!P198),"max", MAX(Instances!P198:Instances!P198),"diff", MAX(Instances!P198:Instances!P198)-MIN(Instances!P198:Instances!P198))</f>
        <v>0</v>
      </c>
      <c r="Q198" s="1" cm="1">
        <f t="array" ref="Q198">_xlfn.SWITCH($A$2,"average", AVERAGE(Instances!Q198:Instances!Q198),"median", MEDIAN(Instances!Q198:Instances!Q198),"min", MIN(Instances!Q198:Instances!Q198),"max", MAX(Instances!Q198:Instances!Q198),"diff", MAX(Instances!Q198:Instances!Q198)-MIN(Instances!Q198:Instances!Q198))</f>
        <v>0</v>
      </c>
      <c r="R198" s="1">
        <f>MIN($B198,$D198,$F198,$H198,$J198,$L198,$N198,$P198)</f>
        <v>0</v>
      </c>
      <c r="S198" s="1">
        <f>MIN($C198,$E198,$G198,$I198,$K198,$M198,$O198,$Q198)</f>
        <v>0</v>
      </c>
      <c r="T198" s="1">
        <f>MEDIAN($B198,$D198,$F198,$H198,$J198,$L198,$N198,$P198)</f>
        <v>0</v>
      </c>
      <c r="U198" s="1">
        <f>MEDIAN($C198,$E198,$G198,$I198,$K198,$M198,$O198,$Q198)</f>
        <v>0</v>
      </c>
      <c r="V198" s="1">
        <f>MAX($B198,$D198,$F198,$H198,$J198,$L198,$N198,$P198)</f>
        <v>0</v>
      </c>
      <c r="W198" s="1">
        <f>MAX($C198,$E198,$G198,$I198,$K198,$M198,$O198,$Q198)</f>
        <v>0</v>
      </c>
    </row>
    <row r="199" spans="1:23">
      <c r="A199" s="1" t="s">
        <v>196</v>
      </c>
      <c r="B199" s="1"/>
      <c r="C199" s="1"/>
      <c r="D199" s="1" cm="1">
        <f t="array" ref="D199">_xlfn.SWITCH($A$2,"average", AVERAGE(Instances!D199:Instances!D199),"median", MEDIAN(Instances!D199:Instances!D199),"min", MIN(Instances!D199:Instances!D199),"max", MAX(Instances!D199:Instances!D199),"diff", MAX(Instances!D199:Instances!D199)-MIN(Instances!D199:Instances!D199))</f>
        <v>0</v>
      </c>
      <c r="E199" s="1" cm="1">
        <f t="array" ref="E199">_xlfn.SWITCH($A$2,"average", AVERAGE(Instances!E199:Instances!E199),"median", MEDIAN(Instances!E199:Instances!E199),"min", MIN(Instances!E199:Instances!E199),"max", MAX(Instances!E199:Instances!E199),"diff", MAX(Instances!E199:Instances!E199)-MIN(Instances!E199:Instances!E199))</f>
        <v>0</v>
      </c>
      <c r="F199" s="1" cm="1">
        <f t="array" ref="F199">_xlfn.SWITCH($A$2,"average", AVERAGE(Instances!F199:Instances!F199),"median", MEDIAN(Instances!F199:Instances!F199),"min", MIN(Instances!F199:Instances!F199),"max", MAX(Instances!F199:Instances!F199),"diff", MAX(Instances!F199:Instances!F199)-MIN(Instances!F199:Instances!F199))</f>
        <v>0</v>
      </c>
      <c r="G199" s="1" cm="1">
        <f t="array" ref="G199">_xlfn.SWITCH($A$2,"average", AVERAGE(Instances!G199:Instances!G199),"median", MEDIAN(Instances!G199:Instances!G199),"min", MIN(Instances!G199:Instances!G199),"max", MAX(Instances!G199:Instances!G199),"diff", MAX(Instances!G199:Instances!G199)-MIN(Instances!G199:Instances!G199))</f>
        <v>0</v>
      </c>
      <c r="H199" s="1"/>
      <c r="I199" s="1"/>
      <c r="J199" s="1" cm="1">
        <f t="array" ref="J199">_xlfn.SWITCH($A$2,"average", AVERAGE(Instances!J199:Instances!J199),"median", MEDIAN(Instances!J199:Instances!J199),"min", MIN(Instances!J199:Instances!J199),"max", MAX(Instances!J199:Instances!J199),"diff", MAX(Instances!J199:Instances!J199)-MIN(Instances!J199:Instances!J199))</f>
        <v>0</v>
      </c>
      <c r="K199" s="1" cm="1">
        <f t="array" ref="K199">_xlfn.SWITCH($A$2,"average", AVERAGE(Instances!K199:Instances!K199),"median", MEDIAN(Instances!K199:Instances!K199),"min", MIN(Instances!K199:Instances!K199),"max", MAX(Instances!K199:Instances!K199),"diff", MAX(Instances!K199:Instances!K199)-MIN(Instances!K199:Instances!K199))</f>
        <v>0</v>
      </c>
      <c r="L199" s="1" cm="1">
        <f t="array" ref="L199">_xlfn.SWITCH($A$2,"average", AVERAGE(Instances!L199:Instances!L199),"median", MEDIAN(Instances!L199:Instances!L199),"min", MIN(Instances!L199:Instances!L199),"max", MAX(Instances!L199:Instances!L199),"diff", MAX(Instances!L199:Instances!L199)-MIN(Instances!L199:Instances!L199))</f>
        <v>0</v>
      </c>
      <c r="M199" s="1" cm="1">
        <f t="array" ref="M199">_xlfn.SWITCH($A$2,"average", AVERAGE(Instances!M199:Instances!M199),"median", MEDIAN(Instances!M199:Instances!M199),"min", MIN(Instances!M199:Instances!M199),"max", MAX(Instances!M199:Instances!M199),"diff", MAX(Instances!M199:Instances!M199)-MIN(Instances!M199:Instances!M199))</f>
        <v>0</v>
      </c>
      <c r="N199" s="1" cm="1">
        <f t="array" ref="N199">_xlfn.SWITCH($A$2,"average", AVERAGE(Instances!N199:Instances!N199),"median", MEDIAN(Instances!N199:Instances!N199),"min", MIN(Instances!N199:Instances!N199),"max", MAX(Instances!N199:Instances!N199),"diff", MAX(Instances!N199:Instances!N199)-MIN(Instances!N199:Instances!N199))</f>
        <v>0</v>
      </c>
      <c r="O199" s="1" cm="1">
        <f t="array" ref="O199">_xlfn.SWITCH($A$2,"average", AVERAGE(Instances!O199:Instances!O199),"median", MEDIAN(Instances!O199:Instances!O199),"min", MIN(Instances!O199:Instances!O199),"max", MAX(Instances!O199:Instances!O199),"diff", MAX(Instances!O199:Instances!O199)-MIN(Instances!O199:Instances!O199))</f>
        <v>0</v>
      </c>
      <c r="P199" s="1" cm="1">
        <f t="array" ref="P199">_xlfn.SWITCH($A$2,"average", AVERAGE(Instances!P199:Instances!P199),"median", MEDIAN(Instances!P199:Instances!P199),"min", MIN(Instances!P199:Instances!P199),"max", MAX(Instances!P199:Instances!P199),"diff", MAX(Instances!P199:Instances!P199)-MIN(Instances!P199:Instances!P199))</f>
        <v>0</v>
      </c>
      <c r="Q199" s="1" cm="1">
        <f t="array" ref="Q199">_xlfn.SWITCH($A$2,"average", AVERAGE(Instances!Q199:Instances!Q199),"median", MEDIAN(Instances!Q199:Instances!Q199),"min", MIN(Instances!Q199:Instances!Q199),"max", MAX(Instances!Q199:Instances!Q199),"diff", MAX(Instances!Q199:Instances!Q199)-MIN(Instances!Q199:Instances!Q199))</f>
        <v>0</v>
      </c>
      <c r="R199" s="1">
        <f>MIN($B199,$D199,$F199,$H199,$J199,$L199,$N199,$P199)</f>
        <v>0</v>
      </c>
      <c r="S199" s="1">
        <f>MIN($C199,$E199,$G199,$I199,$K199,$M199,$O199,$Q199)</f>
        <v>0</v>
      </c>
      <c r="T199" s="1">
        <f>MEDIAN($B199,$D199,$F199,$H199,$J199,$L199,$N199,$P199)</f>
        <v>0</v>
      </c>
      <c r="U199" s="1">
        <f>MEDIAN($C199,$E199,$G199,$I199,$K199,$M199,$O199,$Q199)</f>
        <v>0</v>
      </c>
      <c r="V199" s="1">
        <f>MAX($B199,$D199,$F199,$H199,$J199,$L199,$N199,$P199)</f>
        <v>0</v>
      </c>
      <c r="W199" s="1">
        <f>MAX($C199,$E199,$G199,$I199,$K199,$M199,$O199,$Q199)</f>
        <v>0</v>
      </c>
    </row>
    <row r="200" spans="1:23">
      <c r="A200" s="1" t="s">
        <v>197</v>
      </c>
      <c r="B200" s="1"/>
      <c r="C200" s="1"/>
      <c r="D200" s="1" cm="1">
        <f t="array" ref="D200">_xlfn.SWITCH($A$2,"average", AVERAGE(Instances!D200:Instances!D200),"median", MEDIAN(Instances!D200:Instances!D200),"min", MIN(Instances!D200:Instances!D200),"max", MAX(Instances!D200:Instances!D200),"diff", MAX(Instances!D200:Instances!D200)-MIN(Instances!D200:Instances!D200))</f>
        <v>0</v>
      </c>
      <c r="E200" s="1" cm="1">
        <f t="array" ref="E200">_xlfn.SWITCH($A$2,"average", AVERAGE(Instances!E200:Instances!E200),"median", MEDIAN(Instances!E200:Instances!E200),"min", MIN(Instances!E200:Instances!E200),"max", MAX(Instances!E200:Instances!E200),"diff", MAX(Instances!E200:Instances!E200)-MIN(Instances!E200:Instances!E200))</f>
        <v>0</v>
      </c>
      <c r="F200" s="1" cm="1">
        <f t="array" ref="F200">_xlfn.SWITCH($A$2,"average", AVERAGE(Instances!F200:Instances!F200),"median", MEDIAN(Instances!F200:Instances!F200),"min", MIN(Instances!F200:Instances!F200),"max", MAX(Instances!F200:Instances!F200),"diff", MAX(Instances!F200:Instances!F200)-MIN(Instances!F200:Instances!F200))</f>
        <v>0</v>
      </c>
      <c r="G200" s="1" cm="1">
        <f t="array" ref="G200">_xlfn.SWITCH($A$2,"average", AVERAGE(Instances!G200:Instances!G200),"median", MEDIAN(Instances!G200:Instances!G200),"min", MIN(Instances!G200:Instances!G200),"max", MAX(Instances!G200:Instances!G200),"diff", MAX(Instances!G200:Instances!G200)-MIN(Instances!G200:Instances!G200))</f>
        <v>0</v>
      </c>
      <c r="H200" s="1"/>
      <c r="I200" s="1"/>
      <c r="J200" s="1" cm="1">
        <f t="array" ref="J200">_xlfn.SWITCH($A$2,"average", AVERAGE(Instances!J200:Instances!J200),"median", MEDIAN(Instances!J200:Instances!J200),"min", MIN(Instances!J200:Instances!J200),"max", MAX(Instances!J200:Instances!J200),"diff", MAX(Instances!J200:Instances!J200)-MIN(Instances!J200:Instances!J200))</f>
        <v>0</v>
      </c>
      <c r="K200" s="1" cm="1">
        <f t="array" ref="K200">_xlfn.SWITCH($A$2,"average", AVERAGE(Instances!K200:Instances!K200),"median", MEDIAN(Instances!K200:Instances!K200),"min", MIN(Instances!K200:Instances!K200),"max", MAX(Instances!K200:Instances!K200),"diff", MAX(Instances!K200:Instances!K200)-MIN(Instances!K200:Instances!K200))</f>
        <v>0</v>
      </c>
      <c r="L200" s="1" cm="1">
        <f t="array" ref="L200">_xlfn.SWITCH($A$2,"average", AVERAGE(Instances!L200:Instances!L200),"median", MEDIAN(Instances!L200:Instances!L200),"min", MIN(Instances!L200:Instances!L200),"max", MAX(Instances!L200:Instances!L200),"diff", MAX(Instances!L200:Instances!L200)-MIN(Instances!L200:Instances!L200))</f>
        <v>0</v>
      </c>
      <c r="M200" s="1" cm="1">
        <f t="array" ref="M200">_xlfn.SWITCH($A$2,"average", AVERAGE(Instances!M200:Instances!M200),"median", MEDIAN(Instances!M200:Instances!M200),"min", MIN(Instances!M200:Instances!M200),"max", MAX(Instances!M200:Instances!M200),"diff", MAX(Instances!M200:Instances!M200)-MIN(Instances!M200:Instances!M200))</f>
        <v>0</v>
      </c>
      <c r="N200" s="1" cm="1">
        <f t="array" ref="N200">_xlfn.SWITCH($A$2,"average", AVERAGE(Instances!N200:Instances!N200),"median", MEDIAN(Instances!N200:Instances!N200),"min", MIN(Instances!N200:Instances!N200),"max", MAX(Instances!N200:Instances!N200),"diff", MAX(Instances!N200:Instances!N200)-MIN(Instances!N200:Instances!N200))</f>
        <v>0</v>
      </c>
      <c r="O200" s="1" cm="1">
        <f t="array" ref="O200">_xlfn.SWITCH($A$2,"average", AVERAGE(Instances!O200:Instances!O200),"median", MEDIAN(Instances!O200:Instances!O200),"min", MIN(Instances!O200:Instances!O200),"max", MAX(Instances!O200:Instances!O200),"diff", MAX(Instances!O200:Instances!O200)-MIN(Instances!O200:Instances!O200))</f>
        <v>0</v>
      </c>
      <c r="P200" s="1" cm="1">
        <f t="array" ref="P200">_xlfn.SWITCH($A$2,"average", AVERAGE(Instances!P200:Instances!P200),"median", MEDIAN(Instances!P200:Instances!P200),"min", MIN(Instances!P200:Instances!P200),"max", MAX(Instances!P200:Instances!P200),"diff", MAX(Instances!P200:Instances!P200)-MIN(Instances!P200:Instances!P200))</f>
        <v>0</v>
      </c>
      <c r="Q200" s="1" cm="1">
        <f t="array" ref="Q200">_xlfn.SWITCH($A$2,"average", AVERAGE(Instances!Q200:Instances!Q200),"median", MEDIAN(Instances!Q200:Instances!Q200),"min", MIN(Instances!Q200:Instances!Q200),"max", MAX(Instances!Q200:Instances!Q200),"diff", MAX(Instances!Q200:Instances!Q200)-MIN(Instances!Q200:Instances!Q200))</f>
        <v>0</v>
      </c>
      <c r="R200" s="1">
        <f>MIN($B200,$D200,$F200,$H200,$J200,$L200,$N200,$P200)</f>
        <v>0</v>
      </c>
      <c r="S200" s="1">
        <f>MIN($C200,$E200,$G200,$I200,$K200,$M200,$O200,$Q200)</f>
        <v>0</v>
      </c>
      <c r="T200" s="1">
        <f>MEDIAN($B200,$D200,$F200,$H200,$J200,$L200,$N200,$P200)</f>
        <v>0</v>
      </c>
      <c r="U200" s="1">
        <f>MEDIAN($C200,$E200,$G200,$I200,$K200,$M200,$O200,$Q200)</f>
        <v>0</v>
      </c>
      <c r="V200" s="1">
        <f>MAX($B200,$D200,$F200,$H200,$J200,$L200,$N200,$P200)</f>
        <v>0</v>
      </c>
      <c r="W200" s="1">
        <f>MAX($C200,$E200,$G200,$I200,$K200,$M200,$O200,$Q200)</f>
        <v>0</v>
      </c>
    </row>
    <row r="201" spans="1:23">
      <c r="A201" s="1" t="s">
        <v>198</v>
      </c>
      <c r="B201" s="1"/>
      <c r="C201" s="1"/>
      <c r="D201" s="1" cm="1">
        <f t="array" ref="D201">_xlfn.SWITCH($A$2,"average", AVERAGE(Instances!D201:Instances!D201),"median", MEDIAN(Instances!D201:Instances!D201),"min", MIN(Instances!D201:Instances!D201),"max", MAX(Instances!D201:Instances!D201),"diff", MAX(Instances!D201:Instances!D201)-MIN(Instances!D201:Instances!D201))</f>
        <v>0</v>
      </c>
      <c r="E201" s="1" cm="1">
        <f t="array" ref="E201">_xlfn.SWITCH($A$2,"average", AVERAGE(Instances!E201:Instances!E201),"median", MEDIAN(Instances!E201:Instances!E201),"min", MIN(Instances!E201:Instances!E201),"max", MAX(Instances!E201:Instances!E201),"diff", MAX(Instances!E201:Instances!E201)-MIN(Instances!E201:Instances!E201))</f>
        <v>0</v>
      </c>
      <c r="F201" s="1" cm="1">
        <f t="array" ref="F201">_xlfn.SWITCH($A$2,"average", AVERAGE(Instances!F201:Instances!F201),"median", MEDIAN(Instances!F201:Instances!F201),"min", MIN(Instances!F201:Instances!F201),"max", MAX(Instances!F201:Instances!F201),"diff", MAX(Instances!F201:Instances!F201)-MIN(Instances!F201:Instances!F201))</f>
        <v>0</v>
      </c>
      <c r="G201" s="1" cm="1">
        <f t="array" ref="G201">_xlfn.SWITCH($A$2,"average", AVERAGE(Instances!G201:Instances!G201),"median", MEDIAN(Instances!G201:Instances!G201),"min", MIN(Instances!G201:Instances!G201),"max", MAX(Instances!G201:Instances!G201),"diff", MAX(Instances!G201:Instances!G201)-MIN(Instances!G201:Instances!G201))</f>
        <v>0</v>
      </c>
      <c r="H201" s="1"/>
      <c r="I201" s="1"/>
      <c r="J201" s="1" cm="1">
        <f t="array" ref="J201">_xlfn.SWITCH($A$2,"average", AVERAGE(Instances!J201:Instances!J201),"median", MEDIAN(Instances!J201:Instances!J201),"min", MIN(Instances!J201:Instances!J201),"max", MAX(Instances!J201:Instances!J201),"diff", MAX(Instances!J201:Instances!J201)-MIN(Instances!J201:Instances!J201))</f>
        <v>0</v>
      </c>
      <c r="K201" s="1" cm="1">
        <f t="array" ref="K201">_xlfn.SWITCH($A$2,"average", AVERAGE(Instances!K201:Instances!K201),"median", MEDIAN(Instances!K201:Instances!K201),"min", MIN(Instances!K201:Instances!K201),"max", MAX(Instances!K201:Instances!K201),"diff", MAX(Instances!K201:Instances!K201)-MIN(Instances!K201:Instances!K201))</f>
        <v>0</v>
      </c>
      <c r="L201" s="1" cm="1">
        <f t="array" ref="L201">_xlfn.SWITCH($A$2,"average", AVERAGE(Instances!L201:Instances!L201),"median", MEDIAN(Instances!L201:Instances!L201),"min", MIN(Instances!L201:Instances!L201),"max", MAX(Instances!L201:Instances!L201),"diff", MAX(Instances!L201:Instances!L201)-MIN(Instances!L201:Instances!L201))</f>
        <v>0</v>
      </c>
      <c r="M201" s="1" cm="1">
        <f t="array" ref="M201">_xlfn.SWITCH($A$2,"average", AVERAGE(Instances!M201:Instances!M201),"median", MEDIAN(Instances!M201:Instances!M201),"min", MIN(Instances!M201:Instances!M201),"max", MAX(Instances!M201:Instances!M201),"diff", MAX(Instances!M201:Instances!M201)-MIN(Instances!M201:Instances!M201))</f>
        <v>0</v>
      </c>
      <c r="N201" s="1" cm="1">
        <f t="array" ref="N201">_xlfn.SWITCH($A$2,"average", AVERAGE(Instances!N201:Instances!N201),"median", MEDIAN(Instances!N201:Instances!N201),"min", MIN(Instances!N201:Instances!N201),"max", MAX(Instances!N201:Instances!N201),"diff", MAX(Instances!N201:Instances!N201)-MIN(Instances!N201:Instances!N201))</f>
        <v>0</v>
      </c>
      <c r="O201" s="1" cm="1">
        <f t="array" ref="O201">_xlfn.SWITCH($A$2,"average", AVERAGE(Instances!O201:Instances!O201),"median", MEDIAN(Instances!O201:Instances!O201),"min", MIN(Instances!O201:Instances!O201),"max", MAX(Instances!O201:Instances!O201),"diff", MAX(Instances!O201:Instances!O201)-MIN(Instances!O201:Instances!O201))</f>
        <v>0</v>
      </c>
      <c r="P201" s="1" cm="1">
        <f t="array" ref="P201">_xlfn.SWITCH($A$2,"average", AVERAGE(Instances!P201:Instances!P201),"median", MEDIAN(Instances!P201:Instances!P201),"min", MIN(Instances!P201:Instances!P201),"max", MAX(Instances!P201:Instances!P201),"diff", MAX(Instances!P201:Instances!P201)-MIN(Instances!P201:Instances!P201))</f>
        <v>0</v>
      </c>
      <c r="Q201" s="1" cm="1">
        <f t="array" ref="Q201">_xlfn.SWITCH($A$2,"average", AVERAGE(Instances!Q201:Instances!Q201),"median", MEDIAN(Instances!Q201:Instances!Q201),"min", MIN(Instances!Q201:Instances!Q201),"max", MAX(Instances!Q201:Instances!Q201),"diff", MAX(Instances!Q201:Instances!Q201)-MIN(Instances!Q201:Instances!Q201))</f>
        <v>0</v>
      </c>
      <c r="R201" s="1">
        <f>MIN($B201,$D201,$F201,$H201,$J201,$L201,$N201,$P201)</f>
        <v>0</v>
      </c>
      <c r="S201" s="1">
        <f>MIN($C201,$E201,$G201,$I201,$K201,$M201,$O201,$Q201)</f>
        <v>0</v>
      </c>
      <c r="T201" s="1">
        <f>MEDIAN($B201,$D201,$F201,$H201,$J201,$L201,$N201,$P201)</f>
        <v>0</v>
      </c>
      <c r="U201" s="1">
        <f>MEDIAN($C201,$E201,$G201,$I201,$K201,$M201,$O201,$Q201)</f>
        <v>0</v>
      </c>
      <c r="V201" s="1">
        <f>MAX($B201,$D201,$F201,$H201,$J201,$L201,$N201,$P201)</f>
        <v>0</v>
      </c>
      <c r="W201" s="1">
        <f>MAX($C201,$E201,$G201,$I201,$K201,$M201,$O201,$Q201)</f>
        <v>0</v>
      </c>
    </row>
    <row r="202" spans="1:23">
      <c r="A202" s="1" t="s">
        <v>199</v>
      </c>
      <c r="B202" s="1"/>
      <c r="C202" s="1"/>
      <c r="D202" s="1" cm="1">
        <f t="array" ref="D202">_xlfn.SWITCH($A$2,"average", AVERAGE(Instances!D202:Instances!D202),"median", MEDIAN(Instances!D202:Instances!D202),"min", MIN(Instances!D202:Instances!D202),"max", MAX(Instances!D202:Instances!D202),"diff", MAX(Instances!D202:Instances!D202)-MIN(Instances!D202:Instances!D202))</f>
        <v>0</v>
      </c>
      <c r="E202" s="1" cm="1">
        <f t="array" ref="E202">_xlfn.SWITCH($A$2,"average", AVERAGE(Instances!E202:Instances!E202),"median", MEDIAN(Instances!E202:Instances!E202),"min", MIN(Instances!E202:Instances!E202),"max", MAX(Instances!E202:Instances!E202),"diff", MAX(Instances!E202:Instances!E202)-MIN(Instances!E202:Instances!E202))</f>
        <v>0</v>
      </c>
      <c r="F202" s="1" cm="1">
        <f t="array" ref="F202">_xlfn.SWITCH($A$2,"average", AVERAGE(Instances!F202:Instances!F202),"median", MEDIAN(Instances!F202:Instances!F202),"min", MIN(Instances!F202:Instances!F202),"max", MAX(Instances!F202:Instances!F202),"diff", MAX(Instances!F202:Instances!F202)-MIN(Instances!F202:Instances!F202))</f>
        <v>0</v>
      </c>
      <c r="G202" s="1" cm="1">
        <f t="array" ref="G202">_xlfn.SWITCH($A$2,"average", AVERAGE(Instances!G202:Instances!G202),"median", MEDIAN(Instances!G202:Instances!G202),"min", MIN(Instances!G202:Instances!G202),"max", MAX(Instances!G202:Instances!G202),"diff", MAX(Instances!G202:Instances!G202)-MIN(Instances!G202:Instances!G202))</f>
        <v>0</v>
      </c>
      <c r="H202" s="1"/>
      <c r="I202" s="1"/>
      <c r="J202" s="1" cm="1">
        <f t="array" ref="J202">_xlfn.SWITCH($A$2,"average", AVERAGE(Instances!J202:Instances!J202),"median", MEDIAN(Instances!J202:Instances!J202),"min", MIN(Instances!J202:Instances!J202),"max", MAX(Instances!J202:Instances!J202),"diff", MAX(Instances!J202:Instances!J202)-MIN(Instances!J202:Instances!J202))</f>
        <v>0</v>
      </c>
      <c r="K202" s="1" cm="1">
        <f t="array" ref="K202">_xlfn.SWITCH($A$2,"average", AVERAGE(Instances!K202:Instances!K202),"median", MEDIAN(Instances!K202:Instances!K202),"min", MIN(Instances!K202:Instances!K202),"max", MAX(Instances!K202:Instances!K202),"diff", MAX(Instances!K202:Instances!K202)-MIN(Instances!K202:Instances!K202))</f>
        <v>0</v>
      </c>
      <c r="L202" s="1" cm="1">
        <f t="array" ref="L202">_xlfn.SWITCH($A$2,"average", AVERAGE(Instances!L202:Instances!L202),"median", MEDIAN(Instances!L202:Instances!L202),"min", MIN(Instances!L202:Instances!L202),"max", MAX(Instances!L202:Instances!L202),"diff", MAX(Instances!L202:Instances!L202)-MIN(Instances!L202:Instances!L202))</f>
        <v>0</v>
      </c>
      <c r="M202" s="1" cm="1">
        <f t="array" ref="M202">_xlfn.SWITCH($A$2,"average", AVERAGE(Instances!M202:Instances!M202),"median", MEDIAN(Instances!M202:Instances!M202),"min", MIN(Instances!M202:Instances!M202),"max", MAX(Instances!M202:Instances!M202),"diff", MAX(Instances!M202:Instances!M202)-MIN(Instances!M202:Instances!M202))</f>
        <v>0</v>
      </c>
      <c r="N202" s="1" cm="1">
        <f t="array" ref="N202">_xlfn.SWITCH($A$2,"average", AVERAGE(Instances!N202:Instances!N202),"median", MEDIAN(Instances!N202:Instances!N202),"min", MIN(Instances!N202:Instances!N202),"max", MAX(Instances!N202:Instances!N202),"diff", MAX(Instances!N202:Instances!N202)-MIN(Instances!N202:Instances!N202))</f>
        <v>0</v>
      </c>
      <c r="O202" s="1" cm="1">
        <f t="array" ref="O202">_xlfn.SWITCH($A$2,"average", AVERAGE(Instances!O202:Instances!O202),"median", MEDIAN(Instances!O202:Instances!O202),"min", MIN(Instances!O202:Instances!O202),"max", MAX(Instances!O202:Instances!O202),"diff", MAX(Instances!O202:Instances!O202)-MIN(Instances!O202:Instances!O202))</f>
        <v>0</v>
      </c>
      <c r="P202" s="1" cm="1">
        <f t="array" ref="P202">_xlfn.SWITCH($A$2,"average", AVERAGE(Instances!P202:Instances!P202),"median", MEDIAN(Instances!P202:Instances!P202),"min", MIN(Instances!P202:Instances!P202),"max", MAX(Instances!P202:Instances!P202),"diff", MAX(Instances!P202:Instances!P202)-MIN(Instances!P202:Instances!P202))</f>
        <v>0</v>
      </c>
      <c r="Q202" s="1" cm="1">
        <f t="array" ref="Q202">_xlfn.SWITCH($A$2,"average", AVERAGE(Instances!Q202:Instances!Q202),"median", MEDIAN(Instances!Q202:Instances!Q202),"min", MIN(Instances!Q202:Instances!Q202),"max", MAX(Instances!Q202:Instances!Q202),"diff", MAX(Instances!Q202:Instances!Q202)-MIN(Instances!Q202:Instances!Q202))</f>
        <v>0</v>
      </c>
      <c r="R202" s="1">
        <f>MIN($B202,$D202,$F202,$H202,$J202,$L202,$N202,$P202)</f>
        <v>0</v>
      </c>
      <c r="S202" s="1">
        <f>MIN($C202,$E202,$G202,$I202,$K202,$M202,$O202,$Q202)</f>
        <v>0</v>
      </c>
      <c r="T202" s="1">
        <f>MEDIAN($B202,$D202,$F202,$H202,$J202,$L202,$N202,$P202)</f>
        <v>0</v>
      </c>
      <c r="U202" s="1">
        <f>MEDIAN($C202,$E202,$G202,$I202,$K202,$M202,$O202,$Q202)</f>
        <v>0</v>
      </c>
      <c r="V202" s="1">
        <f>MAX($B202,$D202,$F202,$H202,$J202,$L202,$N202,$P202)</f>
        <v>0</v>
      </c>
      <c r="W202" s="1">
        <f>MAX($C202,$E202,$G202,$I202,$K202,$M202,$O202,$Q202)</f>
        <v>0</v>
      </c>
    </row>
    <row r="203" spans="1:23">
      <c r="A203" s="1" t="s">
        <v>200</v>
      </c>
      <c r="B203" s="1"/>
      <c r="C203" s="1"/>
      <c r="D203" s="1" cm="1">
        <f t="array" ref="D203">_xlfn.SWITCH($A$2,"average", AVERAGE(Instances!D203:Instances!D203),"median", MEDIAN(Instances!D203:Instances!D203),"min", MIN(Instances!D203:Instances!D203),"max", MAX(Instances!D203:Instances!D203),"diff", MAX(Instances!D203:Instances!D203)-MIN(Instances!D203:Instances!D203))</f>
        <v>0</v>
      </c>
      <c r="E203" s="1" cm="1">
        <f t="array" ref="E203">_xlfn.SWITCH($A$2,"average", AVERAGE(Instances!E203:Instances!E203),"median", MEDIAN(Instances!E203:Instances!E203),"min", MIN(Instances!E203:Instances!E203),"max", MAX(Instances!E203:Instances!E203),"diff", MAX(Instances!E203:Instances!E203)-MIN(Instances!E203:Instances!E203))</f>
        <v>0</v>
      </c>
      <c r="F203" s="1" cm="1">
        <f t="array" ref="F203">_xlfn.SWITCH($A$2,"average", AVERAGE(Instances!F203:Instances!F203),"median", MEDIAN(Instances!F203:Instances!F203),"min", MIN(Instances!F203:Instances!F203),"max", MAX(Instances!F203:Instances!F203),"diff", MAX(Instances!F203:Instances!F203)-MIN(Instances!F203:Instances!F203))</f>
        <v>0</v>
      </c>
      <c r="G203" s="1" cm="1">
        <f t="array" ref="G203">_xlfn.SWITCH($A$2,"average", AVERAGE(Instances!G203:Instances!G203),"median", MEDIAN(Instances!G203:Instances!G203),"min", MIN(Instances!G203:Instances!G203),"max", MAX(Instances!G203:Instances!G203),"diff", MAX(Instances!G203:Instances!G203)-MIN(Instances!G203:Instances!G203))</f>
        <v>0</v>
      </c>
      <c r="H203" s="1"/>
      <c r="I203" s="1"/>
      <c r="J203" s="1" cm="1">
        <f t="array" ref="J203">_xlfn.SWITCH($A$2,"average", AVERAGE(Instances!J203:Instances!J203),"median", MEDIAN(Instances!J203:Instances!J203),"min", MIN(Instances!J203:Instances!J203),"max", MAX(Instances!J203:Instances!J203),"diff", MAX(Instances!J203:Instances!J203)-MIN(Instances!J203:Instances!J203))</f>
        <v>0</v>
      </c>
      <c r="K203" s="1" cm="1">
        <f t="array" ref="K203">_xlfn.SWITCH($A$2,"average", AVERAGE(Instances!K203:Instances!K203),"median", MEDIAN(Instances!K203:Instances!K203),"min", MIN(Instances!K203:Instances!K203),"max", MAX(Instances!K203:Instances!K203),"diff", MAX(Instances!K203:Instances!K203)-MIN(Instances!K203:Instances!K203))</f>
        <v>0</v>
      </c>
      <c r="L203" s="1" cm="1">
        <f t="array" ref="L203">_xlfn.SWITCH($A$2,"average", AVERAGE(Instances!L203:Instances!L203),"median", MEDIAN(Instances!L203:Instances!L203),"min", MIN(Instances!L203:Instances!L203),"max", MAX(Instances!L203:Instances!L203),"diff", MAX(Instances!L203:Instances!L203)-MIN(Instances!L203:Instances!L203))</f>
        <v>0</v>
      </c>
      <c r="M203" s="1" cm="1">
        <f t="array" ref="M203">_xlfn.SWITCH($A$2,"average", AVERAGE(Instances!M203:Instances!M203),"median", MEDIAN(Instances!M203:Instances!M203),"min", MIN(Instances!M203:Instances!M203),"max", MAX(Instances!M203:Instances!M203),"diff", MAX(Instances!M203:Instances!M203)-MIN(Instances!M203:Instances!M203))</f>
        <v>0</v>
      </c>
      <c r="N203" s="1" cm="1">
        <f t="array" ref="N203">_xlfn.SWITCH($A$2,"average", AVERAGE(Instances!N203:Instances!N203),"median", MEDIAN(Instances!N203:Instances!N203),"min", MIN(Instances!N203:Instances!N203),"max", MAX(Instances!N203:Instances!N203),"diff", MAX(Instances!N203:Instances!N203)-MIN(Instances!N203:Instances!N203))</f>
        <v>0</v>
      </c>
      <c r="O203" s="1" cm="1">
        <f t="array" ref="O203">_xlfn.SWITCH($A$2,"average", AVERAGE(Instances!O203:Instances!O203),"median", MEDIAN(Instances!O203:Instances!O203),"min", MIN(Instances!O203:Instances!O203),"max", MAX(Instances!O203:Instances!O203),"diff", MAX(Instances!O203:Instances!O203)-MIN(Instances!O203:Instances!O203))</f>
        <v>0</v>
      </c>
      <c r="P203" s="1" cm="1">
        <f t="array" ref="P203">_xlfn.SWITCH($A$2,"average", AVERAGE(Instances!P203:Instances!P203),"median", MEDIAN(Instances!P203:Instances!P203),"min", MIN(Instances!P203:Instances!P203),"max", MAX(Instances!P203:Instances!P203),"diff", MAX(Instances!P203:Instances!P203)-MIN(Instances!P203:Instances!P203))</f>
        <v>0</v>
      </c>
      <c r="Q203" s="1" cm="1">
        <f t="array" ref="Q203">_xlfn.SWITCH($A$2,"average", AVERAGE(Instances!Q203:Instances!Q203),"median", MEDIAN(Instances!Q203:Instances!Q203),"min", MIN(Instances!Q203:Instances!Q203),"max", MAX(Instances!Q203:Instances!Q203),"diff", MAX(Instances!Q203:Instances!Q203)-MIN(Instances!Q203:Instances!Q203))</f>
        <v>0</v>
      </c>
      <c r="R203" s="1">
        <f>MIN($B203,$D203,$F203,$H203,$J203,$L203,$N203,$P203)</f>
        <v>0</v>
      </c>
      <c r="S203" s="1">
        <f>MIN($C203,$E203,$G203,$I203,$K203,$M203,$O203,$Q203)</f>
        <v>0</v>
      </c>
      <c r="T203" s="1">
        <f>MEDIAN($B203,$D203,$F203,$H203,$J203,$L203,$N203,$P203)</f>
        <v>0</v>
      </c>
      <c r="U203" s="1">
        <f>MEDIAN($C203,$E203,$G203,$I203,$K203,$M203,$O203,$Q203)</f>
        <v>0</v>
      </c>
      <c r="V203" s="1">
        <f>MAX($B203,$D203,$F203,$H203,$J203,$L203,$N203,$P203)</f>
        <v>0</v>
      </c>
      <c r="W203" s="1">
        <f>MAX($C203,$E203,$G203,$I203,$K203,$M203,$O203,$Q203)</f>
        <v>0</v>
      </c>
    </row>
    <row r="204" spans="1:23">
      <c r="A204" s="1" t="s">
        <v>201</v>
      </c>
      <c r="B204" s="1"/>
      <c r="C204" s="1"/>
      <c r="D204" s="1" cm="1">
        <f t="array" ref="D204">_xlfn.SWITCH($A$2,"average", AVERAGE(Instances!D204:Instances!D204),"median", MEDIAN(Instances!D204:Instances!D204),"min", MIN(Instances!D204:Instances!D204),"max", MAX(Instances!D204:Instances!D204),"diff", MAX(Instances!D204:Instances!D204)-MIN(Instances!D204:Instances!D204))</f>
        <v>0</v>
      </c>
      <c r="E204" s="1" cm="1">
        <f t="array" ref="E204">_xlfn.SWITCH($A$2,"average", AVERAGE(Instances!E204:Instances!E204),"median", MEDIAN(Instances!E204:Instances!E204),"min", MIN(Instances!E204:Instances!E204),"max", MAX(Instances!E204:Instances!E204),"diff", MAX(Instances!E204:Instances!E204)-MIN(Instances!E204:Instances!E204))</f>
        <v>0</v>
      </c>
      <c r="F204" s="1" cm="1">
        <f t="array" ref="F204">_xlfn.SWITCH($A$2,"average", AVERAGE(Instances!F204:Instances!F204),"median", MEDIAN(Instances!F204:Instances!F204),"min", MIN(Instances!F204:Instances!F204),"max", MAX(Instances!F204:Instances!F204),"diff", MAX(Instances!F204:Instances!F204)-MIN(Instances!F204:Instances!F204))</f>
        <v>0</v>
      </c>
      <c r="G204" s="1" cm="1">
        <f t="array" ref="G204">_xlfn.SWITCH($A$2,"average", AVERAGE(Instances!G204:Instances!G204),"median", MEDIAN(Instances!G204:Instances!G204),"min", MIN(Instances!G204:Instances!G204),"max", MAX(Instances!G204:Instances!G204),"diff", MAX(Instances!G204:Instances!G204)-MIN(Instances!G204:Instances!G204))</f>
        <v>0</v>
      </c>
      <c r="H204" s="1"/>
      <c r="I204" s="1"/>
      <c r="J204" s="1" cm="1">
        <f t="array" ref="J204">_xlfn.SWITCH($A$2,"average", AVERAGE(Instances!J204:Instances!J204),"median", MEDIAN(Instances!J204:Instances!J204),"min", MIN(Instances!J204:Instances!J204),"max", MAX(Instances!J204:Instances!J204),"diff", MAX(Instances!J204:Instances!J204)-MIN(Instances!J204:Instances!J204))</f>
        <v>0</v>
      </c>
      <c r="K204" s="1" cm="1">
        <f t="array" ref="K204">_xlfn.SWITCH($A$2,"average", AVERAGE(Instances!K204:Instances!K204),"median", MEDIAN(Instances!K204:Instances!K204),"min", MIN(Instances!K204:Instances!K204),"max", MAX(Instances!K204:Instances!K204),"diff", MAX(Instances!K204:Instances!K204)-MIN(Instances!K204:Instances!K204))</f>
        <v>0</v>
      </c>
      <c r="L204" s="1" cm="1">
        <f t="array" ref="L204">_xlfn.SWITCH($A$2,"average", AVERAGE(Instances!L204:Instances!L204),"median", MEDIAN(Instances!L204:Instances!L204),"min", MIN(Instances!L204:Instances!L204),"max", MAX(Instances!L204:Instances!L204),"diff", MAX(Instances!L204:Instances!L204)-MIN(Instances!L204:Instances!L204))</f>
        <v>0</v>
      </c>
      <c r="M204" s="1" cm="1">
        <f t="array" ref="M204">_xlfn.SWITCH($A$2,"average", AVERAGE(Instances!M204:Instances!M204),"median", MEDIAN(Instances!M204:Instances!M204),"min", MIN(Instances!M204:Instances!M204),"max", MAX(Instances!M204:Instances!M204),"diff", MAX(Instances!M204:Instances!M204)-MIN(Instances!M204:Instances!M204))</f>
        <v>0</v>
      </c>
      <c r="N204" s="1" cm="1">
        <f t="array" ref="N204">_xlfn.SWITCH($A$2,"average", AVERAGE(Instances!N204:Instances!N204),"median", MEDIAN(Instances!N204:Instances!N204),"min", MIN(Instances!N204:Instances!N204),"max", MAX(Instances!N204:Instances!N204),"diff", MAX(Instances!N204:Instances!N204)-MIN(Instances!N204:Instances!N204))</f>
        <v>0</v>
      </c>
      <c r="O204" s="1" cm="1">
        <f t="array" ref="O204">_xlfn.SWITCH($A$2,"average", AVERAGE(Instances!O204:Instances!O204),"median", MEDIAN(Instances!O204:Instances!O204),"min", MIN(Instances!O204:Instances!O204),"max", MAX(Instances!O204:Instances!O204),"diff", MAX(Instances!O204:Instances!O204)-MIN(Instances!O204:Instances!O204))</f>
        <v>0</v>
      </c>
      <c r="P204" s="1" cm="1">
        <f t="array" ref="P204">_xlfn.SWITCH($A$2,"average", AVERAGE(Instances!P204:Instances!P204),"median", MEDIAN(Instances!P204:Instances!P204),"min", MIN(Instances!P204:Instances!P204),"max", MAX(Instances!P204:Instances!P204),"diff", MAX(Instances!P204:Instances!P204)-MIN(Instances!P204:Instances!P204))</f>
        <v>0</v>
      </c>
      <c r="Q204" s="1" cm="1">
        <f t="array" ref="Q204">_xlfn.SWITCH($A$2,"average", AVERAGE(Instances!Q204:Instances!Q204),"median", MEDIAN(Instances!Q204:Instances!Q204),"min", MIN(Instances!Q204:Instances!Q204),"max", MAX(Instances!Q204:Instances!Q204),"diff", MAX(Instances!Q204:Instances!Q204)-MIN(Instances!Q204:Instances!Q204))</f>
        <v>0</v>
      </c>
      <c r="R204" s="1">
        <f>MIN($B204,$D204,$F204,$H204,$J204,$L204,$N204,$P204)</f>
        <v>0</v>
      </c>
      <c r="S204" s="1">
        <f>MIN($C204,$E204,$G204,$I204,$K204,$M204,$O204,$Q204)</f>
        <v>0</v>
      </c>
      <c r="T204" s="1">
        <f>MEDIAN($B204,$D204,$F204,$H204,$J204,$L204,$N204,$P204)</f>
        <v>0</v>
      </c>
      <c r="U204" s="1">
        <f>MEDIAN($C204,$E204,$G204,$I204,$K204,$M204,$O204,$Q204)</f>
        <v>0</v>
      </c>
      <c r="V204" s="1">
        <f>MAX($B204,$D204,$F204,$H204,$J204,$L204,$N204,$P204)</f>
        <v>0</v>
      </c>
      <c r="W204" s="1">
        <f>MAX($C204,$E204,$G204,$I204,$K204,$M204,$O204,$Q204)</f>
        <v>0</v>
      </c>
    </row>
    <row r="205" spans="1:23">
      <c r="A205" s="1" t="s">
        <v>202</v>
      </c>
      <c r="B205" s="1"/>
      <c r="C205" s="1"/>
      <c r="D205" s="1" cm="1">
        <f t="array" ref="D205">_xlfn.SWITCH($A$2,"average", AVERAGE(Instances!D205:Instances!D205),"median", MEDIAN(Instances!D205:Instances!D205),"min", MIN(Instances!D205:Instances!D205),"max", MAX(Instances!D205:Instances!D205),"diff", MAX(Instances!D205:Instances!D205)-MIN(Instances!D205:Instances!D205))</f>
        <v>0</v>
      </c>
      <c r="E205" s="1" cm="1">
        <f t="array" ref="E205">_xlfn.SWITCH($A$2,"average", AVERAGE(Instances!E205:Instances!E205),"median", MEDIAN(Instances!E205:Instances!E205),"min", MIN(Instances!E205:Instances!E205),"max", MAX(Instances!E205:Instances!E205),"diff", MAX(Instances!E205:Instances!E205)-MIN(Instances!E205:Instances!E205))</f>
        <v>0</v>
      </c>
      <c r="F205" s="1" cm="1">
        <f t="array" ref="F205">_xlfn.SWITCH($A$2,"average", AVERAGE(Instances!F205:Instances!F205),"median", MEDIAN(Instances!F205:Instances!F205),"min", MIN(Instances!F205:Instances!F205),"max", MAX(Instances!F205:Instances!F205),"diff", MAX(Instances!F205:Instances!F205)-MIN(Instances!F205:Instances!F205))</f>
        <v>0</v>
      </c>
      <c r="G205" s="1" cm="1">
        <f t="array" ref="G205">_xlfn.SWITCH($A$2,"average", AVERAGE(Instances!G205:Instances!G205),"median", MEDIAN(Instances!G205:Instances!G205),"min", MIN(Instances!G205:Instances!G205),"max", MAX(Instances!G205:Instances!G205),"diff", MAX(Instances!G205:Instances!G205)-MIN(Instances!G205:Instances!G205))</f>
        <v>0</v>
      </c>
      <c r="H205" s="1"/>
      <c r="I205" s="1"/>
      <c r="J205" s="1" cm="1">
        <f t="array" ref="J205">_xlfn.SWITCH($A$2,"average", AVERAGE(Instances!J205:Instances!J205),"median", MEDIAN(Instances!J205:Instances!J205),"min", MIN(Instances!J205:Instances!J205),"max", MAX(Instances!J205:Instances!J205),"diff", MAX(Instances!J205:Instances!J205)-MIN(Instances!J205:Instances!J205))</f>
        <v>0</v>
      </c>
      <c r="K205" s="1" cm="1">
        <f t="array" ref="K205">_xlfn.SWITCH($A$2,"average", AVERAGE(Instances!K205:Instances!K205),"median", MEDIAN(Instances!K205:Instances!K205),"min", MIN(Instances!K205:Instances!K205),"max", MAX(Instances!K205:Instances!K205),"diff", MAX(Instances!K205:Instances!K205)-MIN(Instances!K205:Instances!K205))</f>
        <v>0</v>
      </c>
      <c r="L205" s="1" cm="1">
        <f t="array" ref="L205">_xlfn.SWITCH($A$2,"average", AVERAGE(Instances!L205:Instances!L205),"median", MEDIAN(Instances!L205:Instances!L205),"min", MIN(Instances!L205:Instances!L205),"max", MAX(Instances!L205:Instances!L205),"diff", MAX(Instances!L205:Instances!L205)-MIN(Instances!L205:Instances!L205))</f>
        <v>0</v>
      </c>
      <c r="M205" s="1" cm="1">
        <f t="array" ref="M205">_xlfn.SWITCH($A$2,"average", AVERAGE(Instances!M205:Instances!M205),"median", MEDIAN(Instances!M205:Instances!M205),"min", MIN(Instances!M205:Instances!M205),"max", MAX(Instances!M205:Instances!M205),"diff", MAX(Instances!M205:Instances!M205)-MIN(Instances!M205:Instances!M205))</f>
        <v>0</v>
      </c>
      <c r="N205" s="1" cm="1">
        <f t="array" ref="N205">_xlfn.SWITCH($A$2,"average", AVERAGE(Instances!N205:Instances!N205),"median", MEDIAN(Instances!N205:Instances!N205),"min", MIN(Instances!N205:Instances!N205),"max", MAX(Instances!N205:Instances!N205),"diff", MAX(Instances!N205:Instances!N205)-MIN(Instances!N205:Instances!N205))</f>
        <v>0</v>
      </c>
      <c r="O205" s="1" cm="1">
        <f t="array" ref="O205">_xlfn.SWITCH($A$2,"average", AVERAGE(Instances!O205:Instances!O205),"median", MEDIAN(Instances!O205:Instances!O205),"min", MIN(Instances!O205:Instances!O205),"max", MAX(Instances!O205:Instances!O205),"diff", MAX(Instances!O205:Instances!O205)-MIN(Instances!O205:Instances!O205))</f>
        <v>0</v>
      </c>
      <c r="P205" s="1" cm="1">
        <f t="array" ref="P205">_xlfn.SWITCH($A$2,"average", AVERAGE(Instances!P205:Instances!P205),"median", MEDIAN(Instances!P205:Instances!P205),"min", MIN(Instances!P205:Instances!P205),"max", MAX(Instances!P205:Instances!P205),"diff", MAX(Instances!P205:Instances!P205)-MIN(Instances!P205:Instances!P205))</f>
        <v>0</v>
      </c>
      <c r="Q205" s="1" cm="1">
        <f t="array" ref="Q205">_xlfn.SWITCH($A$2,"average", AVERAGE(Instances!Q205:Instances!Q205),"median", MEDIAN(Instances!Q205:Instances!Q205),"min", MIN(Instances!Q205:Instances!Q205),"max", MAX(Instances!Q205:Instances!Q205),"diff", MAX(Instances!Q205:Instances!Q205)-MIN(Instances!Q205:Instances!Q205))</f>
        <v>0</v>
      </c>
      <c r="R205" s="1">
        <f>MIN($B205,$D205,$F205,$H205,$J205,$L205,$N205,$P205)</f>
        <v>0</v>
      </c>
      <c r="S205" s="1">
        <f>MIN($C205,$E205,$G205,$I205,$K205,$M205,$O205,$Q205)</f>
        <v>0</v>
      </c>
      <c r="T205" s="1">
        <f>MEDIAN($B205,$D205,$F205,$H205,$J205,$L205,$N205,$P205)</f>
        <v>0</v>
      </c>
      <c r="U205" s="1">
        <f>MEDIAN($C205,$E205,$G205,$I205,$K205,$M205,$O205,$Q205)</f>
        <v>0</v>
      </c>
      <c r="V205" s="1">
        <f>MAX($B205,$D205,$F205,$H205,$J205,$L205,$N205,$P205)</f>
        <v>0</v>
      </c>
      <c r="W205" s="1">
        <f>MAX($C205,$E205,$G205,$I205,$K205,$M205,$O205,$Q205)</f>
        <v>0</v>
      </c>
    </row>
    <row r="206" spans="1:23">
      <c r="A206" s="1" t="s">
        <v>203</v>
      </c>
      <c r="B206" s="1"/>
      <c r="C206" s="1"/>
      <c r="D206" s="1" cm="1">
        <f t="array" ref="D206">_xlfn.SWITCH($A$2,"average", AVERAGE(Instances!D206:Instances!D206),"median", MEDIAN(Instances!D206:Instances!D206),"min", MIN(Instances!D206:Instances!D206),"max", MAX(Instances!D206:Instances!D206),"diff", MAX(Instances!D206:Instances!D206)-MIN(Instances!D206:Instances!D206))</f>
        <v>0</v>
      </c>
      <c r="E206" s="1" cm="1">
        <f t="array" ref="E206">_xlfn.SWITCH($A$2,"average", AVERAGE(Instances!E206:Instances!E206),"median", MEDIAN(Instances!E206:Instances!E206),"min", MIN(Instances!E206:Instances!E206),"max", MAX(Instances!E206:Instances!E206),"diff", MAX(Instances!E206:Instances!E206)-MIN(Instances!E206:Instances!E206))</f>
        <v>0</v>
      </c>
      <c r="F206" s="1" cm="1">
        <f t="array" ref="F206">_xlfn.SWITCH($A$2,"average", AVERAGE(Instances!F206:Instances!F206),"median", MEDIAN(Instances!F206:Instances!F206),"min", MIN(Instances!F206:Instances!F206),"max", MAX(Instances!F206:Instances!F206),"diff", MAX(Instances!F206:Instances!F206)-MIN(Instances!F206:Instances!F206))</f>
        <v>0</v>
      </c>
      <c r="G206" s="1" cm="1">
        <f t="array" ref="G206">_xlfn.SWITCH($A$2,"average", AVERAGE(Instances!G206:Instances!G206),"median", MEDIAN(Instances!G206:Instances!G206),"min", MIN(Instances!G206:Instances!G206),"max", MAX(Instances!G206:Instances!G206),"diff", MAX(Instances!G206:Instances!G206)-MIN(Instances!G206:Instances!G206))</f>
        <v>0</v>
      </c>
      <c r="H206" s="1"/>
      <c r="I206" s="1"/>
      <c r="J206" s="1" cm="1">
        <f t="array" ref="J206">_xlfn.SWITCH($A$2,"average", AVERAGE(Instances!J206:Instances!J206),"median", MEDIAN(Instances!J206:Instances!J206),"min", MIN(Instances!J206:Instances!J206),"max", MAX(Instances!J206:Instances!J206),"diff", MAX(Instances!J206:Instances!J206)-MIN(Instances!J206:Instances!J206))</f>
        <v>0</v>
      </c>
      <c r="K206" s="1" cm="1">
        <f t="array" ref="K206">_xlfn.SWITCH($A$2,"average", AVERAGE(Instances!K206:Instances!K206),"median", MEDIAN(Instances!K206:Instances!K206),"min", MIN(Instances!K206:Instances!K206),"max", MAX(Instances!K206:Instances!K206),"diff", MAX(Instances!K206:Instances!K206)-MIN(Instances!K206:Instances!K206))</f>
        <v>0</v>
      </c>
      <c r="L206" s="1" cm="1">
        <f t="array" ref="L206">_xlfn.SWITCH($A$2,"average", AVERAGE(Instances!L206:Instances!L206),"median", MEDIAN(Instances!L206:Instances!L206),"min", MIN(Instances!L206:Instances!L206),"max", MAX(Instances!L206:Instances!L206),"diff", MAX(Instances!L206:Instances!L206)-MIN(Instances!L206:Instances!L206))</f>
        <v>0</v>
      </c>
      <c r="M206" s="1" cm="1">
        <f t="array" ref="M206">_xlfn.SWITCH($A$2,"average", AVERAGE(Instances!M206:Instances!M206),"median", MEDIAN(Instances!M206:Instances!M206),"min", MIN(Instances!M206:Instances!M206),"max", MAX(Instances!M206:Instances!M206),"diff", MAX(Instances!M206:Instances!M206)-MIN(Instances!M206:Instances!M206))</f>
        <v>0</v>
      </c>
      <c r="N206" s="1" cm="1">
        <f t="array" ref="N206">_xlfn.SWITCH($A$2,"average", AVERAGE(Instances!N206:Instances!N206),"median", MEDIAN(Instances!N206:Instances!N206),"min", MIN(Instances!N206:Instances!N206),"max", MAX(Instances!N206:Instances!N206),"diff", MAX(Instances!N206:Instances!N206)-MIN(Instances!N206:Instances!N206))</f>
        <v>0</v>
      </c>
      <c r="O206" s="1" cm="1">
        <f t="array" ref="O206">_xlfn.SWITCH($A$2,"average", AVERAGE(Instances!O206:Instances!O206),"median", MEDIAN(Instances!O206:Instances!O206),"min", MIN(Instances!O206:Instances!O206),"max", MAX(Instances!O206:Instances!O206),"diff", MAX(Instances!O206:Instances!O206)-MIN(Instances!O206:Instances!O206))</f>
        <v>0</v>
      </c>
      <c r="P206" s="1" cm="1">
        <f t="array" ref="P206">_xlfn.SWITCH($A$2,"average", AVERAGE(Instances!P206:Instances!P206),"median", MEDIAN(Instances!P206:Instances!P206),"min", MIN(Instances!P206:Instances!P206),"max", MAX(Instances!P206:Instances!P206),"diff", MAX(Instances!P206:Instances!P206)-MIN(Instances!P206:Instances!P206))</f>
        <v>0</v>
      </c>
      <c r="Q206" s="1" cm="1">
        <f t="array" ref="Q206">_xlfn.SWITCH($A$2,"average", AVERAGE(Instances!Q206:Instances!Q206),"median", MEDIAN(Instances!Q206:Instances!Q206),"min", MIN(Instances!Q206:Instances!Q206),"max", MAX(Instances!Q206:Instances!Q206),"diff", MAX(Instances!Q206:Instances!Q206)-MIN(Instances!Q206:Instances!Q206))</f>
        <v>0</v>
      </c>
      <c r="R206" s="1">
        <f>MIN($B206,$D206,$F206,$H206,$J206,$L206,$N206,$P206)</f>
        <v>0</v>
      </c>
      <c r="S206" s="1">
        <f>MIN($C206,$E206,$G206,$I206,$K206,$M206,$O206,$Q206)</f>
        <v>0</v>
      </c>
      <c r="T206" s="1">
        <f>MEDIAN($B206,$D206,$F206,$H206,$J206,$L206,$N206,$P206)</f>
        <v>0</v>
      </c>
      <c r="U206" s="1">
        <f>MEDIAN($C206,$E206,$G206,$I206,$K206,$M206,$O206,$Q206)</f>
        <v>0</v>
      </c>
      <c r="V206" s="1">
        <f>MAX($B206,$D206,$F206,$H206,$J206,$L206,$N206,$P206)</f>
        <v>0</v>
      </c>
      <c r="W206" s="1">
        <f>MAX($C206,$E206,$G206,$I206,$K206,$M206,$O206,$Q206)</f>
        <v>0</v>
      </c>
    </row>
    <row r="207" spans="1:23">
      <c r="A207" s="1" t="s">
        <v>204</v>
      </c>
      <c r="B207" s="1"/>
      <c r="C207" s="1"/>
      <c r="D207" s="1" cm="1">
        <f t="array" ref="D207">_xlfn.SWITCH($A$2,"average", AVERAGE(Instances!D207:Instances!D207),"median", MEDIAN(Instances!D207:Instances!D207),"min", MIN(Instances!D207:Instances!D207),"max", MAX(Instances!D207:Instances!D207),"diff", MAX(Instances!D207:Instances!D207)-MIN(Instances!D207:Instances!D207))</f>
        <v>0</v>
      </c>
      <c r="E207" s="1" cm="1">
        <f t="array" ref="E207">_xlfn.SWITCH($A$2,"average", AVERAGE(Instances!E207:Instances!E207),"median", MEDIAN(Instances!E207:Instances!E207),"min", MIN(Instances!E207:Instances!E207),"max", MAX(Instances!E207:Instances!E207),"diff", MAX(Instances!E207:Instances!E207)-MIN(Instances!E207:Instances!E207))</f>
        <v>0</v>
      </c>
      <c r="F207" s="1" cm="1">
        <f t="array" ref="F207">_xlfn.SWITCH($A$2,"average", AVERAGE(Instances!F207:Instances!F207),"median", MEDIAN(Instances!F207:Instances!F207),"min", MIN(Instances!F207:Instances!F207),"max", MAX(Instances!F207:Instances!F207),"diff", MAX(Instances!F207:Instances!F207)-MIN(Instances!F207:Instances!F207))</f>
        <v>0</v>
      </c>
      <c r="G207" s="1" cm="1">
        <f t="array" ref="G207">_xlfn.SWITCH($A$2,"average", AVERAGE(Instances!G207:Instances!G207),"median", MEDIAN(Instances!G207:Instances!G207),"min", MIN(Instances!G207:Instances!G207),"max", MAX(Instances!G207:Instances!G207),"diff", MAX(Instances!G207:Instances!G207)-MIN(Instances!G207:Instances!G207))</f>
        <v>0</v>
      </c>
      <c r="H207" s="1"/>
      <c r="I207" s="1"/>
      <c r="J207" s="1" cm="1">
        <f t="array" ref="J207">_xlfn.SWITCH($A$2,"average", AVERAGE(Instances!J207:Instances!J207),"median", MEDIAN(Instances!J207:Instances!J207),"min", MIN(Instances!J207:Instances!J207),"max", MAX(Instances!J207:Instances!J207),"diff", MAX(Instances!J207:Instances!J207)-MIN(Instances!J207:Instances!J207))</f>
        <v>0</v>
      </c>
      <c r="K207" s="1" cm="1">
        <f t="array" ref="K207">_xlfn.SWITCH($A$2,"average", AVERAGE(Instances!K207:Instances!K207),"median", MEDIAN(Instances!K207:Instances!K207),"min", MIN(Instances!K207:Instances!K207),"max", MAX(Instances!K207:Instances!K207),"diff", MAX(Instances!K207:Instances!K207)-MIN(Instances!K207:Instances!K207))</f>
        <v>0</v>
      </c>
      <c r="L207" s="1" cm="1">
        <f t="array" ref="L207">_xlfn.SWITCH($A$2,"average", AVERAGE(Instances!L207:Instances!L207),"median", MEDIAN(Instances!L207:Instances!L207),"min", MIN(Instances!L207:Instances!L207),"max", MAX(Instances!L207:Instances!L207),"diff", MAX(Instances!L207:Instances!L207)-MIN(Instances!L207:Instances!L207))</f>
        <v>0</v>
      </c>
      <c r="M207" s="1" cm="1">
        <f t="array" ref="M207">_xlfn.SWITCH($A$2,"average", AVERAGE(Instances!M207:Instances!M207),"median", MEDIAN(Instances!M207:Instances!M207),"min", MIN(Instances!M207:Instances!M207),"max", MAX(Instances!M207:Instances!M207),"diff", MAX(Instances!M207:Instances!M207)-MIN(Instances!M207:Instances!M207))</f>
        <v>0</v>
      </c>
      <c r="N207" s="1" cm="1">
        <f t="array" ref="N207">_xlfn.SWITCH($A$2,"average", AVERAGE(Instances!N207:Instances!N207),"median", MEDIAN(Instances!N207:Instances!N207),"min", MIN(Instances!N207:Instances!N207),"max", MAX(Instances!N207:Instances!N207),"diff", MAX(Instances!N207:Instances!N207)-MIN(Instances!N207:Instances!N207))</f>
        <v>0</v>
      </c>
      <c r="O207" s="1" cm="1">
        <f t="array" ref="O207">_xlfn.SWITCH($A$2,"average", AVERAGE(Instances!O207:Instances!O207),"median", MEDIAN(Instances!O207:Instances!O207),"min", MIN(Instances!O207:Instances!O207),"max", MAX(Instances!O207:Instances!O207),"diff", MAX(Instances!O207:Instances!O207)-MIN(Instances!O207:Instances!O207))</f>
        <v>0</v>
      </c>
      <c r="P207" s="1" cm="1">
        <f t="array" ref="P207">_xlfn.SWITCH($A$2,"average", AVERAGE(Instances!P207:Instances!P207),"median", MEDIAN(Instances!P207:Instances!P207),"min", MIN(Instances!P207:Instances!P207),"max", MAX(Instances!P207:Instances!P207),"diff", MAX(Instances!P207:Instances!P207)-MIN(Instances!P207:Instances!P207))</f>
        <v>0</v>
      </c>
      <c r="Q207" s="1" cm="1">
        <f t="array" ref="Q207">_xlfn.SWITCH($A$2,"average", AVERAGE(Instances!Q207:Instances!Q207),"median", MEDIAN(Instances!Q207:Instances!Q207),"min", MIN(Instances!Q207:Instances!Q207),"max", MAX(Instances!Q207:Instances!Q207),"diff", MAX(Instances!Q207:Instances!Q207)-MIN(Instances!Q207:Instances!Q207))</f>
        <v>0</v>
      </c>
      <c r="R207" s="1">
        <f>MIN($B207,$D207,$F207,$H207,$J207,$L207,$N207,$P207)</f>
        <v>0</v>
      </c>
      <c r="S207" s="1">
        <f>MIN($C207,$E207,$G207,$I207,$K207,$M207,$O207,$Q207)</f>
        <v>0</v>
      </c>
      <c r="T207" s="1">
        <f>MEDIAN($B207,$D207,$F207,$H207,$J207,$L207,$N207,$P207)</f>
        <v>0</v>
      </c>
      <c r="U207" s="1">
        <f>MEDIAN($C207,$E207,$G207,$I207,$K207,$M207,$O207,$Q207)</f>
        <v>0</v>
      </c>
      <c r="V207" s="1">
        <f>MAX($B207,$D207,$F207,$H207,$J207,$L207,$N207,$P207)</f>
        <v>0</v>
      </c>
      <c r="W207" s="1">
        <f>MAX($C207,$E207,$G207,$I207,$K207,$M207,$O207,$Q207)</f>
        <v>0</v>
      </c>
    </row>
    <row r="208" spans="1:23">
      <c r="A208" s="1" t="s">
        <v>205</v>
      </c>
      <c r="B208" s="1"/>
      <c r="C208" s="1"/>
      <c r="D208" s="1" cm="1">
        <f t="array" ref="D208">_xlfn.SWITCH($A$2,"average", AVERAGE(Instances!D208:Instances!D208),"median", MEDIAN(Instances!D208:Instances!D208),"min", MIN(Instances!D208:Instances!D208),"max", MAX(Instances!D208:Instances!D208),"diff", MAX(Instances!D208:Instances!D208)-MIN(Instances!D208:Instances!D208))</f>
        <v>0</v>
      </c>
      <c r="E208" s="1" cm="1">
        <f t="array" ref="E208">_xlfn.SWITCH($A$2,"average", AVERAGE(Instances!E208:Instances!E208),"median", MEDIAN(Instances!E208:Instances!E208),"min", MIN(Instances!E208:Instances!E208),"max", MAX(Instances!E208:Instances!E208),"diff", MAX(Instances!E208:Instances!E208)-MIN(Instances!E208:Instances!E208))</f>
        <v>0</v>
      </c>
      <c r="F208" s="1" cm="1">
        <f t="array" ref="F208">_xlfn.SWITCH($A$2,"average", AVERAGE(Instances!F208:Instances!F208),"median", MEDIAN(Instances!F208:Instances!F208),"min", MIN(Instances!F208:Instances!F208),"max", MAX(Instances!F208:Instances!F208),"diff", MAX(Instances!F208:Instances!F208)-MIN(Instances!F208:Instances!F208))</f>
        <v>0</v>
      </c>
      <c r="G208" s="1" cm="1">
        <f t="array" ref="G208">_xlfn.SWITCH($A$2,"average", AVERAGE(Instances!G208:Instances!G208),"median", MEDIAN(Instances!G208:Instances!G208),"min", MIN(Instances!G208:Instances!G208),"max", MAX(Instances!G208:Instances!G208),"diff", MAX(Instances!G208:Instances!G208)-MIN(Instances!G208:Instances!G208))</f>
        <v>0</v>
      </c>
      <c r="H208" s="1"/>
      <c r="I208" s="1"/>
      <c r="J208" s="1" cm="1">
        <f t="array" ref="J208">_xlfn.SWITCH($A$2,"average", AVERAGE(Instances!J208:Instances!J208),"median", MEDIAN(Instances!J208:Instances!J208),"min", MIN(Instances!J208:Instances!J208),"max", MAX(Instances!J208:Instances!J208),"diff", MAX(Instances!J208:Instances!J208)-MIN(Instances!J208:Instances!J208))</f>
        <v>0</v>
      </c>
      <c r="K208" s="1" cm="1">
        <f t="array" ref="K208">_xlfn.SWITCH($A$2,"average", AVERAGE(Instances!K208:Instances!K208),"median", MEDIAN(Instances!K208:Instances!K208),"min", MIN(Instances!K208:Instances!K208),"max", MAX(Instances!K208:Instances!K208),"diff", MAX(Instances!K208:Instances!K208)-MIN(Instances!K208:Instances!K208))</f>
        <v>0</v>
      </c>
      <c r="L208" s="1" cm="1">
        <f t="array" ref="L208">_xlfn.SWITCH($A$2,"average", AVERAGE(Instances!L208:Instances!L208),"median", MEDIAN(Instances!L208:Instances!L208),"min", MIN(Instances!L208:Instances!L208),"max", MAX(Instances!L208:Instances!L208),"diff", MAX(Instances!L208:Instances!L208)-MIN(Instances!L208:Instances!L208))</f>
        <v>0</v>
      </c>
      <c r="M208" s="1" cm="1">
        <f t="array" ref="M208">_xlfn.SWITCH($A$2,"average", AVERAGE(Instances!M208:Instances!M208),"median", MEDIAN(Instances!M208:Instances!M208),"min", MIN(Instances!M208:Instances!M208),"max", MAX(Instances!M208:Instances!M208),"diff", MAX(Instances!M208:Instances!M208)-MIN(Instances!M208:Instances!M208))</f>
        <v>0</v>
      </c>
      <c r="N208" s="1" cm="1">
        <f t="array" ref="N208">_xlfn.SWITCH($A$2,"average", AVERAGE(Instances!N208:Instances!N208),"median", MEDIAN(Instances!N208:Instances!N208),"min", MIN(Instances!N208:Instances!N208),"max", MAX(Instances!N208:Instances!N208),"diff", MAX(Instances!N208:Instances!N208)-MIN(Instances!N208:Instances!N208))</f>
        <v>0</v>
      </c>
      <c r="O208" s="1" cm="1">
        <f t="array" ref="O208">_xlfn.SWITCH($A$2,"average", AVERAGE(Instances!O208:Instances!O208),"median", MEDIAN(Instances!O208:Instances!O208),"min", MIN(Instances!O208:Instances!O208),"max", MAX(Instances!O208:Instances!O208),"diff", MAX(Instances!O208:Instances!O208)-MIN(Instances!O208:Instances!O208))</f>
        <v>0</v>
      </c>
      <c r="P208" s="1" cm="1">
        <f t="array" ref="P208">_xlfn.SWITCH($A$2,"average", AVERAGE(Instances!P208:Instances!P208),"median", MEDIAN(Instances!P208:Instances!P208),"min", MIN(Instances!P208:Instances!P208),"max", MAX(Instances!P208:Instances!P208),"diff", MAX(Instances!P208:Instances!P208)-MIN(Instances!P208:Instances!P208))</f>
        <v>0</v>
      </c>
      <c r="Q208" s="1" cm="1">
        <f t="array" ref="Q208">_xlfn.SWITCH($A$2,"average", AVERAGE(Instances!Q208:Instances!Q208),"median", MEDIAN(Instances!Q208:Instances!Q208),"min", MIN(Instances!Q208:Instances!Q208),"max", MAX(Instances!Q208:Instances!Q208),"diff", MAX(Instances!Q208:Instances!Q208)-MIN(Instances!Q208:Instances!Q208))</f>
        <v>0</v>
      </c>
      <c r="R208" s="1">
        <f>MIN($B208,$D208,$F208,$H208,$J208,$L208,$N208,$P208)</f>
        <v>0</v>
      </c>
      <c r="S208" s="1">
        <f>MIN($C208,$E208,$G208,$I208,$K208,$M208,$O208,$Q208)</f>
        <v>0</v>
      </c>
      <c r="T208" s="1">
        <f>MEDIAN($B208,$D208,$F208,$H208,$J208,$L208,$N208,$P208)</f>
        <v>0</v>
      </c>
      <c r="U208" s="1">
        <f>MEDIAN($C208,$E208,$G208,$I208,$K208,$M208,$O208,$Q208)</f>
        <v>0</v>
      </c>
      <c r="V208" s="1">
        <f>MAX($B208,$D208,$F208,$H208,$J208,$L208,$N208,$P208)</f>
        <v>0</v>
      </c>
      <c r="W208" s="1">
        <f>MAX($C208,$E208,$G208,$I208,$K208,$M208,$O208,$Q208)</f>
        <v>0</v>
      </c>
    </row>
    <row r="209" spans="1:23">
      <c r="A209" s="1" t="s">
        <v>206</v>
      </c>
      <c r="B209" s="1"/>
      <c r="C209" s="1"/>
      <c r="D209" s="1" cm="1">
        <f t="array" ref="D209">_xlfn.SWITCH($A$2,"average", AVERAGE(Instances!D209:Instances!D209),"median", MEDIAN(Instances!D209:Instances!D209),"min", MIN(Instances!D209:Instances!D209),"max", MAX(Instances!D209:Instances!D209),"diff", MAX(Instances!D209:Instances!D209)-MIN(Instances!D209:Instances!D209))</f>
        <v>0</v>
      </c>
      <c r="E209" s="1" cm="1">
        <f t="array" ref="E209">_xlfn.SWITCH($A$2,"average", AVERAGE(Instances!E209:Instances!E209),"median", MEDIAN(Instances!E209:Instances!E209),"min", MIN(Instances!E209:Instances!E209),"max", MAX(Instances!E209:Instances!E209),"diff", MAX(Instances!E209:Instances!E209)-MIN(Instances!E209:Instances!E209))</f>
        <v>0</v>
      </c>
      <c r="F209" s="1" cm="1">
        <f t="array" ref="F209">_xlfn.SWITCH($A$2,"average", AVERAGE(Instances!F209:Instances!F209),"median", MEDIAN(Instances!F209:Instances!F209),"min", MIN(Instances!F209:Instances!F209),"max", MAX(Instances!F209:Instances!F209),"diff", MAX(Instances!F209:Instances!F209)-MIN(Instances!F209:Instances!F209))</f>
        <v>0</v>
      </c>
      <c r="G209" s="1" cm="1">
        <f t="array" ref="G209">_xlfn.SWITCH($A$2,"average", AVERAGE(Instances!G209:Instances!G209),"median", MEDIAN(Instances!G209:Instances!G209),"min", MIN(Instances!G209:Instances!G209),"max", MAX(Instances!G209:Instances!G209),"diff", MAX(Instances!G209:Instances!G209)-MIN(Instances!G209:Instances!G209))</f>
        <v>0</v>
      </c>
      <c r="H209" s="1"/>
      <c r="I209" s="1"/>
      <c r="J209" s="1" cm="1">
        <f t="array" ref="J209">_xlfn.SWITCH($A$2,"average", AVERAGE(Instances!J209:Instances!J209),"median", MEDIAN(Instances!J209:Instances!J209),"min", MIN(Instances!J209:Instances!J209),"max", MAX(Instances!J209:Instances!J209),"diff", MAX(Instances!J209:Instances!J209)-MIN(Instances!J209:Instances!J209))</f>
        <v>0</v>
      </c>
      <c r="K209" s="1" cm="1">
        <f t="array" ref="K209">_xlfn.SWITCH($A$2,"average", AVERAGE(Instances!K209:Instances!K209),"median", MEDIAN(Instances!K209:Instances!K209),"min", MIN(Instances!K209:Instances!K209),"max", MAX(Instances!K209:Instances!K209),"diff", MAX(Instances!K209:Instances!K209)-MIN(Instances!K209:Instances!K209))</f>
        <v>0</v>
      </c>
      <c r="L209" s="1" cm="1">
        <f t="array" ref="L209">_xlfn.SWITCH($A$2,"average", AVERAGE(Instances!L209:Instances!L209),"median", MEDIAN(Instances!L209:Instances!L209),"min", MIN(Instances!L209:Instances!L209),"max", MAX(Instances!L209:Instances!L209),"diff", MAX(Instances!L209:Instances!L209)-MIN(Instances!L209:Instances!L209))</f>
        <v>0</v>
      </c>
      <c r="M209" s="1" cm="1">
        <f t="array" ref="M209">_xlfn.SWITCH($A$2,"average", AVERAGE(Instances!M209:Instances!M209),"median", MEDIAN(Instances!M209:Instances!M209),"min", MIN(Instances!M209:Instances!M209),"max", MAX(Instances!M209:Instances!M209),"diff", MAX(Instances!M209:Instances!M209)-MIN(Instances!M209:Instances!M209))</f>
        <v>0</v>
      </c>
      <c r="N209" s="1" cm="1">
        <f t="array" ref="N209">_xlfn.SWITCH($A$2,"average", AVERAGE(Instances!N209:Instances!N209),"median", MEDIAN(Instances!N209:Instances!N209),"min", MIN(Instances!N209:Instances!N209),"max", MAX(Instances!N209:Instances!N209),"diff", MAX(Instances!N209:Instances!N209)-MIN(Instances!N209:Instances!N209))</f>
        <v>0</v>
      </c>
      <c r="O209" s="1" cm="1">
        <f t="array" ref="O209">_xlfn.SWITCH($A$2,"average", AVERAGE(Instances!O209:Instances!O209),"median", MEDIAN(Instances!O209:Instances!O209),"min", MIN(Instances!O209:Instances!O209),"max", MAX(Instances!O209:Instances!O209),"diff", MAX(Instances!O209:Instances!O209)-MIN(Instances!O209:Instances!O209))</f>
        <v>0</v>
      </c>
      <c r="P209" s="1" cm="1">
        <f t="array" ref="P209">_xlfn.SWITCH($A$2,"average", AVERAGE(Instances!P209:Instances!P209),"median", MEDIAN(Instances!P209:Instances!P209),"min", MIN(Instances!P209:Instances!P209),"max", MAX(Instances!P209:Instances!P209),"diff", MAX(Instances!P209:Instances!P209)-MIN(Instances!P209:Instances!P209))</f>
        <v>0</v>
      </c>
      <c r="Q209" s="1" cm="1">
        <f t="array" ref="Q209">_xlfn.SWITCH($A$2,"average", AVERAGE(Instances!Q209:Instances!Q209),"median", MEDIAN(Instances!Q209:Instances!Q209),"min", MIN(Instances!Q209:Instances!Q209),"max", MAX(Instances!Q209:Instances!Q209),"diff", MAX(Instances!Q209:Instances!Q209)-MIN(Instances!Q209:Instances!Q209))</f>
        <v>0</v>
      </c>
      <c r="R209" s="1">
        <f>MIN($B209,$D209,$F209,$H209,$J209,$L209,$N209,$P209)</f>
        <v>0</v>
      </c>
      <c r="S209" s="1">
        <f>MIN($C209,$E209,$G209,$I209,$K209,$M209,$O209,$Q209)</f>
        <v>0</v>
      </c>
      <c r="T209" s="1">
        <f>MEDIAN($B209,$D209,$F209,$H209,$J209,$L209,$N209,$P209)</f>
        <v>0</v>
      </c>
      <c r="U209" s="1">
        <f>MEDIAN($C209,$E209,$G209,$I209,$K209,$M209,$O209,$Q209)</f>
        <v>0</v>
      </c>
      <c r="V209" s="1">
        <f>MAX($B209,$D209,$F209,$H209,$J209,$L209,$N209,$P209)</f>
        <v>0</v>
      </c>
      <c r="W209" s="1">
        <f>MAX($C209,$E209,$G209,$I209,$K209,$M209,$O209,$Q209)</f>
        <v>0</v>
      </c>
    </row>
    <row r="210" spans="1:23">
      <c r="A210" s="1" t="s">
        <v>207</v>
      </c>
      <c r="B210" s="1"/>
      <c r="C210" s="1"/>
      <c r="D210" s="1" cm="1">
        <f t="array" ref="D210">_xlfn.SWITCH($A$2,"average", AVERAGE(Instances!D210:Instances!D210),"median", MEDIAN(Instances!D210:Instances!D210),"min", MIN(Instances!D210:Instances!D210),"max", MAX(Instances!D210:Instances!D210),"diff", MAX(Instances!D210:Instances!D210)-MIN(Instances!D210:Instances!D210))</f>
        <v>0</v>
      </c>
      <c r="E210" s="1" cm="1">
        <f t="array" ref="E210">_xlfn.SWITCH($A$2,"average", AVERAGE(Instances!E210:Instances!E210),"median", MEDIAN(Instances!E210:Instances!E210),"min", MIN(Instances!E210:Instances!E210),"max", MAX(Instances!E210:Instances!E210),"diff", MAX(Instances!E210:Instances!E210)-MIN(Instances!E210:Instances!E210))</f>
        <v>0</v>
      </c>
      <c r="F210" s="1" cm="1">
        <f t="array" ref="F210">_xlfn.SWITCH($A$2,"average", AVERAGE(Instances!F210:Instances!F210),"median", MEDIAN(Instances!F210:Instances!F210),"min", MIN(Instances!F210:Instances!F210),"max", MAX(Instances!F210:Instances!F210),"diff", MAX(Instances!F210:Instances!F210)-MIN(Instances!F210:Instances!F210))</f>
        <v>0</v>
      </c>
      <c r="G210" s="1" cm="1">
        <f t="array" ref="G210">_xlfn.SWITCH($A$2,"average", AVERAGE(Instances!G210:Instances!G210),"median", MEDIAN(Instances!G210:Instances!G210),"min", MIN(Instances!G210:Instances!G210),"max", MAX(Instances!G210:Instances!G210),"diff", MAX(Instances!G210:Instances!G210)-MIN(Instances!G210:Instances!G210))</f>
        <v>0</v>
      </c>
      <c r="H210" s="1"/>
      <c r="I210" s="1"/>
      <c r="J210" s="1" cm="1">
        <f t="array" ref="J210">_xlfn.SWITCH($A$2,"average", AVERAGE(Instances!J210:Instances!J210),"median", MEDIAN(Instances!J210:Instances!J210),"min", MIN(Instances!J210:Instances!J210),"max", MAX(Instances!J210:Instances!J210),"diff", MAX(Instances!J210:Instances!J210)-MIN(Instances!J210:Instances!J210))</f>
        <v>0</v>
      </c>
      <c r="K210" s="1" cm="1">
        <f t="array" ref="K210">_xlfn.SWITCH($A$2,"average", AVERAGE(Instances!K210:Instances!K210),"median", MEDIAN(Instances!K210:Instances!K210),"min", MIN(Instances!K210:Instances!K210),"max", MAX(Instances!K210:Instances!K210),"diff", MAX(Instances!K210:Instances!K210)-MIN(Instances!K210:Instances!K210))</f>
        <v>0</v>
      </c>
      <c r="L210" s="1" cm="1">
        <f t="array" ref="L210">_xlfn.SWITCH($A$2,"average", AVERAGE(Instances!L210:Instances!L210),"median", MEDIAN(Instances!L210:Instances!L210),"min", MIN(Instances!L210:Instances!L210),"max", MAX(Instances!L210:Instances!L210),"diff", MAX(Instances!L210:Instances!L210)-MIN(Instances!L210:Instances!L210))</f>
        <v>0</v>
      </c>
      <c r="M210" s="1" cm="1">
        <f t="array" ref="M210">_xlfn.SWITCH($A$2,"average", AVERAGE(Instances!M210:Instances!M210),"median", MEDIAN(Instances!M210:Instances!M210),"min", MIN(Instances!M210:Instances!M210),"max", MAX(Instances!M210:Instances!M210),"diff", MAX(Instances!M210:Instances!M210)-MIN(Instances!M210:Instances!M210))</f>
        <v>0</v>
      </c>
      <c r="N210" s="1" cm="1">
        <f t="array" ref="N210">_xlfn.SWITCH($A$2,"average", AVERAGE(Instances!N210:Instances!N210),"median", MEDIAN(Instances!N210:Instances!N210),"min", MIN(Instances!N210:Instances!N210),"max", MAX(Instances!N210:Instances!N210),"diff", MAX(Instances!N210:Instances!N210)-MIN(Instances!N210:Instances!N210))</f>
        <v>0</v>
      </c>
      <c r="O210" s="1" cm="1">
        <f t="array" ref="O210">_xlfn.SWITCH($A$2,"average", AVERAGE(Instances!O210:Instances!O210),"median", MEDIAN(Instances!O210:Instances!O210),"min", MIN(Instances!O210:Instances!O210),"max", MAX(Instances!O210:Instances!O210),"diff", MAX(Instances!O210:Instances!O210)-MIN(Instances!O210:Instances!O210))</f>
        <v>0</v>
      </c>
      <c r="P210" s="1" cm="1">
        <f t="array" ref="P210">_xlfn.SWITCH($A$2,"average", AVERAGE(Instances!P210:Instances!P210),"median", MEDIAN(Instances!P210:Instances!P210),"min", MIN(Instances!P210:Instances!P210),"max", MAX(Instances!P210:Instances!P210),"diff", MAX(Instances!P210:Instances!P210)-MIN(Instances!P210:Instances!P210))</f>
        <v>0</v>
      </c>
      <c r="Q210" s="1" cm="1">
        <f t="array" ref="Q210">_xlfn.SWITCH($A$2,"average", AVERAGE(Instances!Q210:Instances!Q210),"median", MEDIAN(Instances!Q210:Instances!Q210),"min", MIN(Instances!Q210:Instances!Q210),"max", MAX(Instances!Q210:Instances!Q210),"diff", MAX(Instances!Q210:Instances!Q210)-MIN(Instances!Q210:Instances!Q210))</f>
        <v>0</v>
      </c>
      <c r="R210" s="1">
        <f>MIN($B210,$D210,$F210,$H210,$J210,$L210,$N210,$P210)</f>
        <v>0</v>
      </c>
      <c r="S210" s="1">
        <f>MIN($C210,$E210,$G210,$I210,$K210,$M210,$O210,$Q210)</f>
        <v>0</v>
      </c>
      <c r="T210" s="1">
        <f>MEDIAN($B210,$D210,$F210,$H210,$J210,$L210,$N210,$P210)</f>
        <v>0</v>
      </c>
      <c r="U210" s="1">
        <f>MEDIAN($C210,$E210,$G210,$I210,$K210,$M210,$O210,$Q210)</f>
        <v>0</v>
      </c>
      <c r="V210" s="1">
        <f>MAX($B210,$D210,$F210,$H210,$J210,$L210,$N210,$P210)</f>
        <v>0</v>
      </c>
      <c r="W210" s="1">
        <f>MAX($C210,$E210,$G210,$I210,$K210,$M210,$O210,$Q210)</f>
        <v>0</v>
      </c>
    </row>
    <row r="211" spans="1:23">
      <c r="A211" s="1" t="s">
        <v>208</v>
      </c>
      <c r="B211" s="1"/>
      <c r="C211" s="1"/>
      <c r="D211" s="1" cm="1">
        <f t="array" ref="D211">_xlfn.SWITCH($A$2,"average", AVERAGE(Instances!D211:Instances!D211),"median", MEDIAN(Instances!D211:Instances!D211),"min", MIN(Instances!D211:Instances!D211),"max", MAX(Instances!D211:Instances!D211),"diff", MAX(Instances!D211:Instances!D211)-MIN(Instances!D211:Instances!D211))</f>
        <v>0</v>
      </c>
      <c r="E211" s="1" cm="1">
        <f t="array" ref="E211">_xlfn.SWITCH($A$2,"average", AVERAGE(Instances!E211:Instances!E211),"median", MEDIAN(Instances!E211:Instances!E211),"min", MIN(Instances!E211:Instances!E211),"max", MAX(Instances!E211:Instances!E211),"diff", MAX(Instances!E211:Instances!E211)-MIN(Instances!E211:Instances!E211))</f>
        <v>0</v>
      </c>
      <c r="F211" s="1" cm="1">
        <f t="array" ref="F211">_xlfn.SWITCH($A$2,"average", AVERAGE(Instances!F211:Instances!F211),"median", MEDIAN(Instances!F211:Instances!F211),"min", MIN(Instances!F211:Instances!F211),"max", MAX(Instances!F211:Instances!F211),"diff", MAX(Instances!F211:Instances!F211)-MIN(Instances!F211:Instances!F211))</f>
        <v>0</v>
      </c>
      <c r="G211" s="1" cm="1">
        <f t="array" ref="G211">_xlfn.SWITCH($A$2,"average", AVERAGE(Instances!G211:Instances!G211),"median", MEDIAN(Instances!G211:Instances!G211),"min", MIN(Instances!G211:Instances!G211),"max", MAX(Instances!G211:Instances!G211),"diff", MAX(Instances!G211:Instances!G211)-MIN(Instances!G211:Instances!G211))</f>
        <v>0</v>
      </c>
      <c r="H211" s="1"/>
      <c r="I211" s="1"/>
      <c r="J211" s="1" cm="1">
        <f t="array" ref="J211">_xlfn.SWITCH($A$2,"average", AVERAGE(Instances!J211:Instances!J211),"median", MEDIAN(Instances!J211:Instances!J211),"min", MIN(Instances!J211:Instances!J211),"max", MAX(Instances!J211:Instances!J211),"diff", MAX(Instances!J211:Instances!J211)-MIN(Instances!J211:Instances!J211))</f>
        <v>0</v>
      </c>
      <c r="K211" s="1" cm="1">
        <f t="array" ref="K211">_xlfn.SWITCH($A$2,"average", AVERAGE(Instances!K211:Instances!K211),"median", MEDIAN(Instances!K211:Instances!K211),"min", MIN(Instances!K211:Instances!K211),"max", MAX(Instances!K211:Instances!K211),"diff", MAX(Instances!K211:Instances!K211)-MIN(Instances!K211:Instances!K211))</f>
        <v>0</v>
      </c>
      <c r="L211" s="1" cm="1">
        <f t="array" ref="L211">_xlfn.SWITCH($A$2,"average", AVERAGE(Instances!L211:Instances!L211),"median", MEDIAN(Instances!L211:Instances!L211),"min", MIN(Instances!L211:Instances!L211),"max", MAX(Instances!L211:Instances!L211),"diff", MAX(Instances!L211:Instances!L211)-MIN(Instances!L211:Instances!L211))</f>
        <v>0</v>
      </c>
      <c r="M211" s="1" cm="1">
        <f t="array" ref="M211">_xlfn.SWITCH($A$2,"average", AVERAGE(Instances!M211:Instances!M211),"median", MEDIAN(Instances!M211:Instances!M211),"min", MIN(Instances!M211:Instances!M211),"max", MAX(Instances!M211:Instances!M211),"diff", MAX(Instances!M211:Instances!M211)-MIN(Instances!M211:Instances!M211))</f>
        <v>0</v>
      </c>
      <c r="N211" s="1" cm="1">
        <f t="array" ref="N211">_xlfn.SWITCH($A$2,"average", AVERAGE(Instances!N211:Instances!N211),"median", MEDIAN(Instances!N211:Instances!N211),"min", MIN(Instances!N211:Instances!N211),"max", MAX(Instances!N211:Instances!N211),"diff", MAX(Instances!N211:Instances!N211)-MIN(Instances!N211:Instances!N211))</f>
        <v>0</v>
      </c>
      <c r="O211" s="1" cm="1">
        <f t="array" ref="O211">_xlfn.SWITCH($A$2,"average", AVERAGE(Instances!O211:Instances!O211),"median", MEDIAN(Instances!O211:Instances!O211),"min", MIN(Instances!O211:Instances!O211),"max", MAX(Instances!O211:Instances!O211),"diff", MAX(Instances!O211:Instances!O211)-MIN(Instances!O211:Instances!O211))</f>
        <v>0</v>
      </c>
      <c r="P211" s="1" cm="1">
        <f t="array" ref="P211">_xlfn.SWITCH($A$2,"average", AVERAGE(Instances!P211:Instances!P211),"median", MEDIAN(Instances!P211:Instances!P211),"min", MIN(Instances!P211:Instances!P211),"max", MAX(Instances!P211:Instances!P211),"diff", MAX(Instances!P211:Instances!P211)-MIN(Instances!P211:Instances!P211))</f>
        <v>0</v>
      </c>
      <c r="Q211" s="1" cm="1">
        <f t="array" ref="Q211">_xlfn.SWITCH($A$2,"average", AVERAGE(Instances!Q211:Instances!Q211),"median", MEDIAN(Instances!Q211:Instances!Q211),"min", MIN(Instances!Q211:Instances!Q211),"max", MAX(Instances!Q211:Instances!Q211),"diff", MAX(Instances!Q211:Instances!Q211)-MIN(Instances!Q211:Instances!Q211))</f>
        <v>0</v>
      </c>
      <c r="R211" s="1">
        <f>MIN($B211,$D211,$F211,$H211,$J211,$L211,$N211,$P211)</f>
        <v>0</v>
      </c>
      <c r="S211" s="1">
        <f>MIN($C211,$E211,$G211,$I211,$K211,$M211,$O211,$Q211)</f>
        <v>0</v>
      </c>
      <c r="T211" s="1">
        <f>MEDIAN($B211,$D211,$F211,$H211,$J211,$L211,$N211,$P211)</f>
        <v>0</v>
      </c>
      <c r="U211" s="1">
        <f>MEDIAN($C211,$E211,$G211,$I211,$K211,$M211,$O211,$Q211)</f>
        <v>0</v>
      </c>
      <c r="V211" s="1">
        <f>MAX($B211,$D211,$F211,$H211,$J211,$L211,$N211,$P211)</f>
        <v>0</v>
      </c>
      <c r="W211" s="1">
        <f>MAX($C211,$E211,$G211,$I211,$K211,$M211,$O211,$Q211)</f>
        <v>0</v>
      </c>
    </row>
    <row r="212" spans="1:23">
      <c r="A212" s="1" t="s">
        <v>209</v>
      </c>
      <c r="B212" s="1"/>
      <c r="C212" s="1"/>
      <c r="D212" s="1" cm="1">
        <f t="array" ref="D212">_xlfn.SWITCH($A$2,"average", AVERAGE(Instances!D212:Instances!D212),"median", MEDIAN(Instances!D212:Instances!D212),"min", MIN(Instances!D212:Instances!D212),"max", MAX(Instances!D212:Instances!D212),"diff", MAX(Instances!D212:Instances!D212)-MIN(Instances!D212:Instances!D212))</f>
        <v>0</v>
      </c>
      <c r="E212" s="1" cm="1">
        <f t="array" ref="E212">_xlfn.SWITCH($A$2,"average", AVERAGE(Instances!E212:Instances!E212),"median", MEDIAN(Instances!E212:Instances!E212),"min", MIN(Instances!E212:Instances!E212),"max", MAX(Instances!E212:Instances!E212),"diff", MAX(Instances!E212:Instances!E212)-MIN(Instances!E212:Instances!E212))</f>
        <v>0</v>
      </c>
      <c r="F212" s="1" cm="1">
        <f t="array" ref="F212">_xlfn.SWITCH($A$2,"average", AVERAGE(Instances!F212:Instances!F212),"median", MEDIAN(Instances!F212:Instances!F212),"min", MIN(Instances!F212:Instances!F212),"max", MAX(Instances!F212:Instances!F212),"diff", MAX(Instances!F212:Instances!F212)-MIN(Instances!F212:Instances!F212))</f>
        <v>0</v>
      </c>
      <c r="G212" s="1" cm="1">
        <f t="array" ref="G212">_xlfn.SWITCH($A$2,"average", AVERAGE(Instances!G212:Instances!G212),"median", MEDIAN(Instances!G212:Instances!G212),"min", MIN(Instances!G212:Instances!G212),"max", MAX(Instances!G212:Instances!G212),"diff", MAX(Instances!G212:Instances!G212)-MIN(Instances!G212:Instances!G212))</f>
        <v>0</v>
      </c>
      <c r="H212" s="1"/>
      <c r="I212" s="1"/>
      <c r="J212" s="1" cm="1">
        <f t="array" ref="J212">_xlfn.SWITCH($A$2,"average", AVERAGE(Instances!J212:Instances!J212),"median", MEDIAN(Instances!J212:Instances!J212),"min", MIN(Instances!J212:Instances!J212),"max", MAX(Instances!J212:Instances!J212),"diff", MAX(Instances!J212:Instances!J212)-MIN(Instances!J212:Instances!J212))</f>
        <v>0</v>
      </c>
      <c r="K212" s="1" cm="1">
        <f t="array" ref="K212">_xlfn.SWITCH($A$2,"average", AVERAGE(Instances!K212:Instances!K212),"median", MEDIAN(Instances!K212:Instances!K212),"min", MIN(Instances!K212:Instances!K212),"max", MAX(Instances!K212:Instances!K212),"diff", MAX(Instances!K212:Instances!K212)-MIN(Instances!K212:Instances!K212))</f>
        <v>0</v>
      </c>
      <c r="L212" s="1" cm="1">
        <f t="array" ref="L212">_xlfn.SWITCH($A$2,"average", AVERAGE(Instances!L212:Instances!L212),"median", MEDIAN(Instances!L212:Instances!L212),"min", MIN(Instances!L212:Instances!L212),"max", MAX(Instances!L212:Instances!L212),"diff", MAX(Instances!L212:Instances!L212)-MIN(Instances!L212:Instances!L212))</f>
        <v>0</v>
      </c>
      <c r="M212" s="1" cm="1">
        <f t="array" ref="M212">_xlfn.SWITCH($A$2,"average", AVERAGE(Instances!M212:Instances!M212),"median", MEDIAN(Instances!M212:Instances!M212),"min", MIN(Instances!M212:Instances!M212),"max", MAX(Instances!M212:Instances!M212),"diff", MAX(Instances!M212:Instances!M212)-MIN(Instances!M212:Instances!M212))</f>
        <v>0</v>
      </c>
      <c r="N212" s="1" cm="1">
        <f t="array" ref="N212">_xlfn.SWITCH($A$2,"average", AVERAGE(Instances!N212:Instances!N212),"median", MEDIAN(Instances!N212:Instances!N212),"min", MIN(Instances!N212:Instances!N212),"max", MAX(Instances!N212:Instances!N212),"diff", MAX(Instances!N212:Instances!N212)-MIN(Instances!N212:Instances!N212))</f>
        <v>0</v>
      </c>
      <c r="O212" s="1" cm="1">
        <f t="array" ref="O212">_xlfn.SWITCH($A$2,"average", AVERAGE(Instances!O212:Instances!O212),"median", MEDIAN(Instances!O212:Instances!O212),"min", MIN(Instances!O212:Instances!O212),"max", MAX(Instances!O212:Instances!O212),"diff", MAX(Instances!O212:Instances!O212)-MIN(Instances!O212:Instances!O212))</f>
        <v>0</v>
      </c>
      <c r="P212" s="1" cm="1">
        <f t="array" ref="P212">_xlfn.SWITCH($A$2,"average", AVERAGE(Instances!P212:Instances!P212),"median", MEDIAN(Instances!P212:Instances!P212),"min", MIN(Instances!P212:Instances!P212),"max", MAX(Instances!P212:Instances!P212),"diff", MAX(Instances!P212:Instances!P212)-MIN(Instances!P212:Instances!P212))</f>
        <v>0</v>
      </c>
      <c r="Q212" s="1" cm="1">
        <f t="array" ref="Q212">_xlfn.SWITCH($A$2,"average", AVERAGE(Instances!Q212:Instances!Q212),"median", MEDIAN(Instances!Q212:Instances!Q212),"min", MIN(Instances!Q212:Instances!Q212),"max", MAX(Instances!Q212:Instances!Q212),"diff", MAX(Instances!Q212:Instances!Q212)-MIN(Instances!Q212:Instances!Q212))</f>
        <v>0</v>
      </c>
      <c r="R212" s="1">
        <f>MIN($B212,$D212,$F212,$H212,$J212,$L212,$N212,$P212)</f>
        <v>0</v>
      </c>
      <c r="S212" s="1">
        <f>MIN($C212,$E212,$G212,$I212,$K212,$M212,$O212,$Q212)</f>
        <v>0</v>
      </c>
      <c r="T212" s="1">
        <f>MEDIAN($B212,$D212,$F212,$H212,$J212,$L212,$N212,$P212)</f>
        <v>0</v>
      </c>
      <c r="U212" s="1">
        <f>MEDIAN($C212,$E212,$G212,$I212,$K212,$M212,$O212,$Q212)</f>
        <v>0</v>
      </c>
      <c r="V212" s="1">
        <f>MAX($B212,$D212,$F212,$H212,$J212,$L212,$N212,$P212)</f>
        <v>0</v>
      </c>
      <c r="W212" s="1">
        <f>MAX($C212,$E212,$G212,$I212,$K212,$M212,$O212,$Q212)</f>
        <v>0</v>
      </c>
    </row>
    <row r="213" spans="1:23">
      <c r="A213" s="1" t="s">
        <v>210</v>
      </c>
      <c r="B213" s="1"/>
      <c r="C213" s="1"/>
      <c r="D213" s="1" cm="1">
        <f t="array" ref="D213">_xlfn.SWITCH($A$2,"average", AVERAGE(Instances!D213:Instances!D213),"median", MEDIAN(Instances!D213:Instances!D213),"min", MIN(Instances!D213:Instances!D213),"max", MAX(Instances!D213:Instances!D213),"diff", MAX(Instances!D213:Instances!D213)-MIN(Instances!D213:Instances!D213))</f>
        <v>0</v>
      </c>
      <c r="E213" s="1" cm="1">
        <f t="array" ref="E213">_xlfn.SWITCH($A$2,"average", AVERAGE(Instances!E213:Instances!E213),"median", MEDIAN(Instances!E213:Instances!E213),"min", MIN(Instances!E213:Instances!E213),"max", MAX(Instances!E213:Instances!E213),"diff", MAX(Instances!E213:Instances!E213)-MIN(Instances!E213:Instances!E213))</f>
        <v>0</v>
      </c>
      <c r="F213" s="1" cm="1">
        <f t="array" ref="F213">_xlfn.SWITCH($A$2,"average", AVERAGE(Instances!F213:Instances!F213),"median", MEDIAN(Instances!F213:Instances!F213),"min", MIN(Instances!F213:Instances!F213),"max", MAX(Instances!F213:Instances!F213),"diff", MAX(Instances!F213:Instances!F213)-MIN(Instances!F213:Instances!F213))</f>
        <v>0</v>
      </c>
      <c r="G213" s="1" cm="1">
        <f t="array" ref="G213">_xlfn.SWITCH($A$2,"average", AVERAGE(Instances!G213:Instances!G213),"median", MEDIAN(Instances!G213:Instances!G213),"min", MIN(Instances!G213:Instances!G213),"max", MAX(Instances!G213:Instances!G213),"diff", MAX(Instances!G213:Instances!G213)-MIN(Instances!G213:Instances!G213))</f>
        <v>0</v>
      </c>
      <c r="H213" s="1"/>
      <c r="I213" s="1"/>
      <c r="J213" s="1" cm="1">
        <f t="array" ref="J213">_xlfn.SWITCH($A$2,"average", AVERAGE(Instances!J213:Instances!J213),"median", MEDIAN(Instances!J213:Instances!J213),"min", MIN(Instances!J213:Instances!J213),"max", MAX(Instances!J213:Instances!J213),"diff", MAX(Instances!J213:Instances!J213)-MIN(Instances!J213:Instances!J213))</f>
        <v>0</v>
      </c>
      <c r="K213" s="1" cm="1">
        <f t="array" ref="K213">_xlfn.SWITCH($A$2,"average", AVERAGE(Instances!K213:Instances!K213),"median", MEDIAN(Instances!K213:Instances!K213),"min", MIN(Instances!K213:Instances!K213),"max", MAX(Instances!K213:Instances!K213),"diff", MAX(Instances!K213:Instances!K213)-MIN(Instances!K213:Instances!K213))</f>
        <v>0</v>
      </c>
      <c r="L213" s="1" cm="1">
        <f t="array" ref="L213">_xlfn.SWITCH($A$2,"average", AVERAGE(Instances!L213:Instances!L213),"median", MEDIAN(Instances!L213:Instances!L213),"min", MIN(Instances!L213:Instances!L213),"max", MAX(Instances!L213:Instances!L213),"diff", MAX(Instances!L213:Instances!L213)-MIN(Instances!L213:Instances!L213))</f>
        <v>0</v>
      </c>
      <c r="M213" s="1" cm="1">
        <f t="array" ref="M213">_xlfn.SWITCH($A$2,"average", AVERAGE(Instances!M213:Instances!M213),"median", MEDIAN(Instances!M213:Instances!M213),"min", MIN(Instances!M213:Instances!M213),"max", MAX(Instances!M213:Instances!M213),"diff", MAX(Instances!M213:Instances!M213)-MIN(Instances!M213:Instances!M213))</f>
        <v>0</v>
      </c>
      <c r="N213" s="1" cm="1">
        <f t="array" ref="N213">_xlfn.SWITCH($A$2,"average", AVERAGE(Instances!N213:Instances!N213),"median", MEDIAN(Instances!N213:Instances!N213),"min", MIN(Instances!N213:Instances!N213),"max", MAX(Instances!N213:Instances!N213),"diff", MAX(Instances!N213:Instances!N213)-MIN(Instances!N213:Instances!N213))</f>
        <v>0</v>
      </c>
      <c r="O213" s="1" cm="1">
        <f t="array" ref="O213">_xlfn.SWITCH($A$2,"average", AVERAGE(Instances!O213:Instances!O213),"median", MEDIAN(Instances!O213:Instances!O213),"min", MIN(Instances!O213:Instances!O213),"max", MAX(Instances!O213:Instances!O213),"diff", MAX(Instances!O213:Instances!O213)-MIN(Instances!O213:Instances!O213))</f>
        <v>0</v>
      </c>
      <c r="P213" s="1" cm="1">
        <f t="array" ref="P213">_xlfn.SWITCH($A$2,"average", AVERAGE(Instances!P213:Instances!P213),"median", MEDIAN(Instances!P213:Instances!P213),"min", MIN(Instances!P213:Instances!P213),"max", MAX(Instances!P213:Instances!P213),"diff", MAX(Instances!P213:Instances!P213)-MIN(Instances!P213:Instances!P213))</f>
        <v>0</v>
      </c>
      <c r="Q213" s="1" cm="1">
        <f t="array" ref="Q213">_xlfn.SWITCH($A$2,"average", AVERAGE(Instances!Q213:Instances!Q213),"median", MEDIAN(Instances!Q213:Instances!Q213),"min", MIN(Instances!Q213:Instances!Q213),"max", MAX(Instances!Q213:Instances!Q213),"diff", MAX(Instances!Q213:Instances!Q213)-MIN(Instances!Q213:Instances!Q213))</f>
        <v>0</v>
      </c>
      <c r="R213" s="1">
        <f>MIN($B213,$D213,$F213,$H213,$J213,$L213,$N213,$P213)</f>
        <v>0</v>
      </c>
      <c r="S213" s="1">
        <f>MIN($C213,$E213,$G213,$I213,$K213,$M213,$O213,$Q213)</f>
        <v>0</v>
      </c>
      <c r="T213" s="1">
        <f>MEDIAN($B213,$D213,$F213,$H213,$J213,$L213,$N213,$P213)</f>
        <v>0</v>
      </c>
      <c r="U213" s="1">
        <f>MEDIAN($C213,$E213,$G213,$I213,$K213,$M213,$O213,$Q213)</f>
        <v>0</v>
      </c>
      <c r="V213" s="1">
        <f>MAX($B213,$D213,$F213,$H213,$J213,$L213,$N213,$P213)</f>
        <v>0</v>
      </c>
      <c r="W213" s="1">
        <f>MAX($C213,$E213,$G213,$I213,$K213,$M213,$O213,$Q213)</f>
        <v>0</v>
      </c>
    </row>
    <row r="214" spans="1:23">
      <c r="A214" s="1" t="s">
        <v>211</v>
      </c>
      <c r="B214" s="1"/>
      <c r="C214" s="1"/>
      <c r="D214" s="1" cm="1">
        <f t="array" ref="D214">_xlfn.SWITCH($A$2,"average", AVERAGE(Instances!D214:Instances!D214),"median", MEDIAN(Instances!D214:Instances!D214),"min", MIN(Instances!D214:Instances!D214),"max", MAX(Instances!D214:Instances!D214),"diff", MAX(Instances!D214:Instances!D214)-MIN(Instances!D214:Instances!D214))</f>
        <v>0</v>
      </c>
      <c r="E214" s="1" cm="1">
        <f t="array" ref="E214">_xlfn.SWITCH($A$2,"average", AVERAGE(Instances!E214:Instances!E214),"median", MEDIAN(Instances!E214:Instances!E214),"min", MIN(Instances!E214:Instances!E214),"max", MAX(Instances!E214:Instances!E214),"diff", MAX(Instances!E214:Instances!E214)-MIN(Instances!E214:Instances!E214))</f>
        <v>0</v>
      </c>
      <c r="F214" s="1" cm="1">
        <f t="array" ref="F214">_xlfn.SWITCH($A$2,"average", AVERAGE(Instances!F214:Instances!F214),"median", MEDIAN(Instances!F214:Instances!F214),"min", MIN(Instances!F214:Instances!F214),"max", MAX(Instances!F214:Instances!F214),"diff", MAX(Instances!F214:Instances!F214)-MIN(Instances!F214:Instances!F214))</f>
        <v>0</v>
      </c>
      <c r="G214" s="1" cm="1">
        <f t="array" ref="G214">_xlfn.SWITCH($A$2,"average", AVERAGE(Instances!G214:Instances!G214),"median", MEDIAN(Instances!G214:Instances!G214),"min", MIN(Instances!G214:Instances!G214),"max", MAX(Instances!G214:Instances!G214),"diff", MAX(Instances!G214:Instances!G214)-MIN(Instances!G214:Instances!G214))</f>
        <v>0</v>
      </c>
      <c r="H214" s="1"/>
      <c r="I214" s="1"/>
      <c r="J214" s="1" cm="1">
        <f t="array" ref="J214">_xlfn.SWITCH($A$2,"average", AVERAGE(Instances!J214:Instances!J214),"median", MEDIAN(Instances!J214:Instances!J214),"min", MIN(Instances!J214:Instances!J214),"max", MAX(Instances!J214:Instances!J214),"diff", MAX(Instances!J214:Instances!J214)-MIN(Instances!J214:Instances!J214))</f>
        <v>0</v>
      </c>
      <c r="K214" s="1" cm="1">
        <f t="array" ref="K214">_xlfn.SWITCH($A$2,"average", AVERAGE(Instances!K214:Instances!K214),"median", MEDIAN(Instances!K214:Instances!K214),"min", MIN(Instances!K214:Instances!K214),"max", MAX(Instances!K214:Instances!K214),"diff", MAX(Instances!K214:Instances!K214)-MIN(Instances!K214:Instances!K214))</f>
        <v>0</v>
      </c>
      <c r="L214" s="1" cm="1">
        <f t="array" ref="L214">_xlfn.SWITCH($A$2,"average", AVERAGE(Instances!L214:Instances!L214),"median", MEDIAN(Instances!L214:Instances!L214),"min", MIN(Instances!L214:Instances!L214),"max", MAX(Instances!L214:Instances!L214),"diff", MAX(Instances!L214:Instances!L214)-MIN(Instances!L214:Instances!L214))</f>
        <v>0</v>
      </c>
      <c r="M214" s="1" cm="1">
        <f t="array" ref="M214">_xlfn.SWITCH($A$2,"average", AVERAGE(Instances!M214:Instances!M214),"median", MEDIAN(Instances!M214:Instances!M214),"min", MIN(Instances!M214:Instances!M214),"max", MAX(Instances!M214:Instances!M214),"diff", MAX(Instances!M214:Instances!M214)-MIN(Instances!M214:Instances!M214))</f>
        <v>0</v>
      </c>
      <c r="N214" s="1" cm="1">
        <f t="array" ref="N214">_xlfn.SWITCH($A$2,"average", AVERAGE(Instances!N214:Instances!N214),"median", MEDIAN(Instances!N214:Instances!N214),"min", MIN(Instances!N214:Instances!N214),"max", MAX(Instances!N214:Instances!N214),"diff", MAX(Instances!N214:Instances!N214)-MIN(Instances!N214:Instances!N214))</f>
        <v>0</v>
      </c>
      <c r="O214" s="1" cm="1">
        <f t="array" ref="O214">_xlfn.SWITCH($A$2,"average", AVERAGE(Instances!O214:Instances!O214),"median", MEDIAN(Instances!O214:Instances!O214),"min", MIN(Instances!O214:Instances!O214),"max", MAX(Instances!O214:Instances!O214),"diff", MAX(Instances!O214:Instances!O214)-MIN(Instances!O214:Instances!O214))</f>
        <v>0</v>
      </c>
      <c r="P214" s="1" cm="1">
        <f t="array" ref="P214">_xlfn.SWITCH($A$2,"average", AVERAGE(Instances!P214:Instances!P214),"median", MEDIAN(Instances!P214:Instances!P214),"min", MIN(Instances!P214:Instances!P214),"max", MAX(Instances!P214:Instances!P214),"diff", MAX(Instances!P214:Instances!P214)-MIN(Instances!P214:Instances!P214))</f>
        <v>0</v>
      </c>
      <c r="Q214" s="1" cm="1">
        <f t="array" ref="Q214">_xlfn.SWITCH($A$2,"average", AVERAGE(Instances!Q214:Instances!Q214),"median", MEDIAN(Instances!Q214:Instances!Q214),"min", MIN(Instances!Q214:Instances!Q214),"max", MAX(Instances!Q214:Instances!Q214),"diff", MAX(Instances!Q214:Instances!Q214)-MIN(Instances!Q214:Instances!Q214))</f>
        <v>0</v>
      </c>
      <c r="R214" s="1">
        <f>MIN($B214,$D214,$F214,$H214,$J214,$L214,$N214,$P214)</f>
        <v>0</v>
      </c>
      <c r="S214" s="1">
        <f>MIN($C214,$E214,$G214,$I214,$K214,$M214,$O214,$Q214)</f>
        <v>0</v>
      </c>
      <c r="T214" s="1">
        <f>MEDIAN($B214,$D214,$F214,$H214,$J214,$L214,$N214,$P214)</f>
        <v>0</v>
      </c>
      <c r="U214" s="1">
        <f>MEDIAN($C214,$E214,$G214,$I214,$K214,$M214,$O214,$Q214)</f>
        <v>0</v>
      </c>
      <c r="V214" s="1">
        <f>MAX($B214,$D214,$F214,$H214,$J214,$L214,$N214,$P214)</f>
        <v>0</v>
      </c>
      <c r="W214" s="1">
        <f>MAX($C214,$E214,$G214,$I214,$K214,$M214,$O214,$Q214)</f>
        <v>0</v>
      </c>
    </row>
    <row r="215" spans="1:23">
      <c r="A215" s="1" t="s">
        <v>212</v>
      </c>
      <c r="B215" s="1"/>
      <c r="C215" s="1"/>
      <c r="D215" s="1" cm="1">
        <f t="array" ref="D215">_xlfn.SWITCH($A$2,"average", AVERAGE(Instances!D215:Instances!D215),"median", MEDIAN(Instances!D215:Instances!D215),"min", MIN(Instances!D215:Instances!D215),"max", MAX(Instances!D215:Instances!D215),"diff", MAX(Instances!D215:Instances!D215)-MIN(Instances!D215:Instances!D215))</f>
        <v>0</v>
      </c>
      <c r="E215" s="1" cm="1">
        <f t="array" ref="E215">_xlfn.SWITCH($A$2,"average", AVERAGE(Instances!E215:Instances!E215),"median", MEDIAN(Instances!E215:Instances!E215),"min", MIN(Instances!E215:Instances!E215),"max", MAX(Instances!E215:Instances!E215),"diff", MAX(Instances!E215:Instances!E215)-MIN(Instances!E215:Instances!E215))</f>
        <v>0</v>
      </c>
      <c r="F215" s="1" cm="1">
        <f t="array" ref="F215">_xlfn.SWITCH($A$2,"average", AVERAGE(Instances!F215:Instances!F215),"median", MEDIAN(Instances!F215:Instances!F215),"min", MIN(Instances!F215:Instances!F215),"max", MAX(Instances!F215:Instances!F215),"diff", MAX(Instances!F215:Instances!F215)-MIN(Instances!F215:Instances!F215))</f>
        <v>0</v>
      </c>
      <c r="G215" s="1" cm="1">
        <f t="array" ref="G215">_xlfn.SWITCH($A$2,"average", AVERAGE(Instances!G215:Instances!G215),"median", MEDIAN(Instances!G215:Instances!G215),"min", MIN(Instances!G215:Instances!G215),"max", MAX(Instances!G215:Instances!G215),"diff", MAX(Instances!G215:Instances!G215)-MIN(Instances!G215:Instances!G215))</f>
        <v>0</v>
      </c>
      <c r="H215" s="1"/>
      <c r="I215" s="1"/>
      <c r="J215" s="1" cm="1">
        <f t="array" ref="J215">_xlfn.SWITCH($A$2,"average", AVERAGE(Instances!J215:Instances!J215),"median", MEDIAN(Instances!J215:Instances!J215),"min", MIN(Instances!J215:Instances!J215),"max", MAX(Instances!J215:Instances!J215),"diff", MAX(Instances!J215:Instances!J215)-MIN(Instances!J215:Instances!J215))</f>
        <v>0</v>
      </c>
      <c r="K215" s="1" cm="1">
        <f t="array" ref="K215">_xlfn.SWITCH($A$2,"average", AVERAGE(Instances!K215:Instances!K215),"median", MEDIAN(Instances!K215:Instances!K215),"min", MIN(Instances!K215:Instances!K215),"max", MAX(Instances!K215:Instances!K215),"diff", MAX(Instances!K215:Instances!K215)-MIN(Instances!K215:Instances!K215))</f>
        <v>0</v>
      </c>
      <c r="L215" s="1" cm="1">
        <f t="array" ref="L215">_xlfn.SWITCH($A$2,"average", AVERAGE(Instances!L215:Instances!L215),"median", MEDIAN(Instances!L215:Instances!L215),"min", MIN(Instances!L215:Instances!L215),"max", MAX(Instances!L215:Instances!L215),"diff", MAX(Instances!L215:Instances!L215)-MIN(Instances!L215:Instances!L215))</f>
        <v>0</v>
      </c>
      <c r="M215" s="1" cm="1">
        <f t="array" ref="M215">_xlfn.SWITCH($A$2,"average", AVERAGE(Instances!M215:Instances!M215),"median", MEDIAN(Instances!M215:Instances!M215),"min", MIN(Instances!M215:Instances!M215),"max", MAX(Instances!M215:Instances!M215),"diff", MAX(Instances!M215:Instances!M215)-MIN(Instances!M215:Instances!M215))</f>
        <v>0</v>
      </c>
      <c r="N215" s="1" cm="1">
        <f t="array" ref="N215">_xlfn.SWITCH($A$2,"average", AVERAGE(Instances!N215:Instances!N215),"median", MEDIAN(Instances!N215:Instances!N215),"min", MIN(Instances!N215:Instances!N215),"max", MAX(Instances!N215:Instances!N215),"diff", MAX(Instances!N215:Instances!N215)-MIN(Instances!N215:Instances!N215))</f>
        <v>0</v>
      </c>
      <c r="O215" s="1" cm="1">
        <f t="array" ref="O215">_xlfn.SWITCH($A$2,"average", AVERAGE(Instances!O215:Instances!O215),"median", MEDIAN(Instances!O215:Instances!O215),"min", MIN(Instances!O215:Instances!O215),"max", MAX(Instances!O215:Instances!O215),"diff", MAX(Instances!O215:Instances!O215)-MIN(Instances!O215:Instances!O215))</f>
        <v>0</v>
      </c>
      <c r="P215" s="1" cm="1">
        <f t="array" ref="P215">_xlfn.SWITCH($A$2,"average", AVERAGE(Instances!P215:Instances!P215),"median", MEDIAN(Instances!P215:Instances!P215),"min", MIN(Instances!P215:Instances!P215),"max", MAX(Instances!P215:Instances!P215),"diff", MAX(Instances!P215:Instances!P215)-MIN(Instances!P215:Instances!P215))</f>
        <v>0</v>
      </c>
      <c r="Q215" s="1" cm="1">
        <f t="array" ref="Q215">_xlfn.SWITCH($A$2,"average", AVERAGE(Instances!Q215:Instances!Q215),"median", MEDIAN(Instances!Q215:Instances!Q215),"min", MIN(Instances!Q215:Instances!Q215),"max", MAX(Instances!Q215:Instances!Q215),"diff", MAX(Instances!Q215:Instances!Q215)-MIN(Instances!Q215:Instances!Q215))</f>
        <v>0</v>
      </c>
      <c r="R215" s="1">
        <f>MIN($B215,$D215,$F215,$H215,$J215,$L215,$N215,$P215)</f>
        <v>0</v>
      </c>
      <c r="S215" s="1">
        <f>MIN($C215,$E215,$G215,$I215,$K215,$M215,$O215,$Q215)</f>
        <v>0</v>
      </c>
      <c r="T215" s="1">
        <f>MEDIAN($B215,$D215,$F215,$H215,$J215,$L215,$N215,$P215)</f>
        <v>0</v>
      </c>
      <c r="U215" s="1">
        <f>MEDIAN($C215,$E215,$G215,$I215,$K215,$M215,$O215,$Q215)</f>
        <v>0</v>
      </c>
      <c r="V215" s="1">
        <f>MAX($B215,$D215,$F215,$H215,$J215,$L215,$N215,$P215)</f>
        <v>0</v>
      </c>
      <c r="W215" s="1">
        <f>MAX($C215,$E215,$G215,$I215,$K215,$M215,$O215,$Q215)</f>
        <v>0</v>
      </c>
    </row>
    <row r="216" spans="1:23">
      <c r="A216" s="1" t="s">
        <v>213</v>
      </c>
      <c r="B216" s="1"/>
      <c r="C216" s="1"/>
      <c r="D216" s="1" cm="1">
        <f t="array" ref="D216">_xlfn.SWITCH($A$2,"average", AVERAGE(Instances!D216:Instances!D216),"median", MEDIAN(Instances!D216:Instances!D216),"min", MIN(Instances!D216:Instances!D216),"max", MAX(Instances!D216:Instances!D216),"diff", MAX(Instances!D216:Instances!D216)-MIN(Instances!D216:Instances!D216))</f>
        <v>0</v>
      </c>
      <c r="E216" s="1" cm="1">
        <f t="array" ref="E216">_xlfn.SWITCH($A$2,"average", AVERAGE(Instances!E216:Instances!E216),"median", MEDIAN(Instances!E216:Instances!E216),"min", MIN(Instances!E216:Instances!E216),"max", MAX(Instances!E216:Instances!E216),"diff", MAX(Instances!E216:Instances!E216)-MIN(Instances!E216:Instances!E216))</f>
        <v>0</v>
      </c>
      <c r="F216" s="1" cm="1">
        <f t="array" ref="F216">_xlfn.SWITCH($A$2,"average", AVERAGE(Instances!F216:Instances!F216),"median", MEDIAN(Instances!F216:Instances!F216),"min", MIN(Instances!F216:Instances!F216),"max", MAX(Instances!F216:Instances!F216),"diff", MAX(Instances!F216:Instances!F216)-MIN(Instances!F216:Instances!F216))</f>
        <v>0</v>
      </c>
      <c r="G216" s="1" cm="1">
        <f t="array" ref="G216">_xlfn.SWITCH($A$2,"average", AVERAGE(Instances!G216:Instances!G216),"median", MEDIAN(Instances!G216:Instances!G216),"min", MIN(Instances!G216:Instances!G216),"max", MAX(Instances!G216:Instances!G216),"diff", MAX(Instances!G216:Instances!G216)-MIN(Instances!G216:Instances!G216))</f>
        <v>0</v>
      </c>
      <c r="H216" s="1"/>
      <c r="I216" s="1"/>
      <c r="J216" s="1" cm="1">
        <f t="array" ref="J216">_xlfn.SWITCH($A$2,"average", AVERAGE(Instances!J216:Instances!J216),"median", MEDIAN(Instances!J216:Instances!J216),"min", MIN(Instances!J216:Instances!J216),"max", MAX(Instances!J216:Instances!J216),"diff", MAX(Instances!J216:Instances!J216)-MIN(Instances!J216:Instances!J216))</f>
        <v>0</v>
      </c>
      <c r="K216" s="1" cm="1">
        <f t="array" ref="K216">_xlfn.SWITCH($A$2,"average", AVERAGE(Instances!K216:Instances!K216),"median", MEDIAN(Instances!K216:Instances!K216),"min", MIN(Instances!K216:Instances!K216),"max", MAX(Instances!K216:Instances!K216),"diff", MAX(Instances!K216:Instances!K216)-MIN(Instances!K216:Instances!K216))</f>
        <v>0</v>
      </c>
      <c r="L216" s="1" cm="1">
        <f t="array" ref="L216">_xlfn.SWITCH($A$2,"average", AVERAGE(Instances!L216:Instances!L216),"median", MEDIAN(Instances!L216:Instances!L216),"min", MIN(Instances!L216:Instances!L216),"max", MAX(Instances!L216:Instances!L216),"diff", MAX(Instances!L216:Instances!L216)-MIN(Instances!L216:Instances!L216))</f>
        <v>0</v>
      </c>
      <c r="M216" s="1" cm="1">
        <f t="array" ref="M216">_xlfn.SWITCH($A$2,"average", AVERAGE(Instances!M216:Instances!M216),"median", MEDIAN(Instances!M216:Instances!M216),"min", MIN(Instances!M216:Instances!M216),"max", MAX(Instances!M216:Instances!M216),"diff", MAX(Instances!M216:Instances!M216)-MIN(Instances!M216:Instances!M216))</f>
        <v>0</v>
      </c>
      <c r="N216" s="1" cm="1">
        <f t="array" ref="N216">_xlfn.SWITCH($A$2,"average", AVERAGE(Instances!N216:Instances!N216),"median", MEDIAN(Instances!N216:Instances!N216),"min", MIN(Instances!N216:Instances!N216),"max", MAX(Instances!N216:Instances!N216),"diff", MAX(Instances!N216:Instances!N216)-MIN(Instances!N216:Instances!N216))</f>
        <v>0</v>
      </c>
      <c r="O216" s="1" cm="1">
        <f t="array" ref="O216">_xlfn.SWITCH($A$2,"average", AVERAGE(Instances!O216:Instances!O216),"median", MEDIAN(Instances!O216:Instances!O216),"min", MIN(Instances!O216:Instances!O216),"max", MAX(Instances!O216:Instances!O216),"diff", MAX(Instances!O216:Instances!O216)-MIN(Instances!O216:Instances!O216))</f>
        <v>0</v>
      </c>
      <c r="P216" s="1" cm="1">
        <f t="array" ref="P216">_xlfn.SWITCH($A$2,"average", AVERAGE(Instances!P216:Instances!P216),"median", MEDIAN(Instances!P216:Instances!P216),"min", MIN(Instances!P216:Instances!P216),"max", MAX(Instances!P216:Instances!P216),"diff", MAX(Instances!P216:Instances!P216)-MIN(Instances!P216:Instances!P216))</f>
        <v>0</v>
      </c>
      <c r="Q216" s="1" cm="1">
        <f t="array" ref="Q216">_xlfn.SWITCH($A$2,"average", AVERAGE(Instances!Q216:Instances!Q216),"median", MEDIAN(Instances!Q216:Instances!Q216),"min", MIN(Instances!Q216:Instances!Q216),"max", MAX(Instances!Q216:Instances!Q216),"diff", MAX(Instances!Q216:Instances!Q216)-MIN(Instances!Q216:Instances!Q216))</f>
        <v>0</v>
      </c>
      <c r="R216" s="1">
        <f>MIN($B216,$D216,$F216,$H216,$J216,$L216,$N216,$P216)</f>
        <v>0</v>
      </c>
      <c r="S216" s="1">
        <f>MIN($C216,$E216,$G216,$I216,$K216,$M216,$O216,$Q216)</f>
        <v>0</v>
      </c>
      <c r="T216" s="1">
        <f>MEDIAN($B216,$D216,$F216,$H216,$J216,$L216,$N216,$P216)</f>
        <v>0</v>
      </c>
      <c r="U216" s="1">
        <f>MEDIAN($C216,$E216,$G216,$I216,$K216,$M216,$O216,$Q216)</f>
        <v>0</v>
      </c>
      <c r="V216" s="1">
        <f>MAX($B216,$D216,$F216,$H216,$J216,$L216,$N216,$P216)</f>
        <v>0</v>
      </c>
      <c r="W216" s="1">
        <f>MAX($C216,$E216,$G216,$I216,$K216,$M216,$O216,$Q216)</f>
        <v>0</v>
      </c>
    </row>
    <row r="217" spans="1:23">
      <c r="A217" s="1" t="s">
        <v>214</v>
      </c>
      <c r="B217" s="1"/>
      <c r="C217" s="1"/>
      <c r="D217" s="1" cm="1">
        <f t="array" ref="D217">_xlfn.SWITCH($A$2,"average", AVERAGE(Instances!D217:Instances!D217),"median", MEDIAN(Instances!D217:Instances!D217),"min", MIN(Instances!D217:Instances!D217),"max", MAX(Instances!D217:Instances!D217),"diff", MAX(Instances!D217:Instances!D217)-MIN(Instances!D217:Instances!D217))</f>
        <v>0</v>
      </c>
      <c r="E217" s="1" cm="1">
        <f t="array" ref="E217">_xlfn.SWITCH($A$2,"average", AVERAGE(Instances!E217:Instances!E217),"median", MEDIAN(Instances!E217:Instances!E217),"min", MIN(Instances!E217:Instances!E217),"max", MAX(Instances!E217:Instances!E217),"diff", MAX(Instances!E217:Instances!E217)-MIN(Instances!E217:Instances!E217))</f>
        <v>0</v>
      </c>
      <c r="F217" s="1" cm="1">
        <f t="array" ref="F217">_xlfn.SWITCH($A$2,"average", AVERAGE(Instances!F217:Instances!F217),"median", MEDIAN(Instances!F217:Instances!F217),"min", MIN(Instances!F217:Instances!F217),"max", MAX(Instances!F217:Instances!F217),"diff", MAX(Instances!F217:Instances!F217)-MIN(Instances!F217:Instances!F217))</f>
        <v>0</v>
      </c>
      <c r="G217" s="1" cm="1">
        <f t="array" ref="G217">_xlfn.SWITCH($A$2,"average", AVERAGE(Instances!G217:Instances!G217),"median", MEDIAN(Instances!G217:Instances!G217),"min", MIN(Instances!G217:Instances!G217),"max", MAX(Instances!G217:Instances!G217),"diff", MAX(Instances!G217:Instances!G217)-MIN(Instances!G217:Instances!G217))</f>
        <v>0</v>
      </c>
      <c r="H217" s="1"/>
      <c r="I217" s="1"/>
      <c r="J217" s="1" cm="1">
        <f t="array" ref="J217">_xlfn.SWITCH($A$2,"average", AVERAGE(Instances!J217:Instances!J217),"median", MEDIAN(Instances!J217:Instances!J217),"min", MIN(Instances!J217:Instances!J217),"max", MAX(Instances!J217:Instances!J217),"diff", MAX(Instances!J217:Instances!J217)-MIN(Instances!J217:Instances!J217))</f>
        <v>0</v>
      </c>
      <c r="K217" s="1" cm="1">
        <f t="array" ref="K217">_xlfn.SWITCH($A$2,"average", AVERAGE(Instances!K217:Instances!K217),"median", MEDIAN(Instances!K217:Instances!K217),"min", MIN(Instances!K217:Instances!K217),"max", MAX(Instances!K217:Instances!K217),"diff", MAX(Instances!K217:Instances!K217)-MIN(Instances!K217:Instances!K217))</f>
        <v>0</v>
      </c>
      <c r="L217" s="1" cm="1">
        <f t="array" ref="L217">_xlfn.SWITCH($A$2,"average", AVERAGE(Instances!L217:Instances!L217),"median", MEDIAN(Instances!L217:Instances!L217),"min", MIN(Instances!L217:Instances!L217),"max", MAX(Instances!L217:Instances!L217),"diff", MAX(Instances!L217:Instances!L217)-MIN(Instances!L217:Instances!L217))</f>
        <v>0</v>
      </c>
      <c r="M217" s="1" cm="1">
        <f t="array" ref="M217">_xlfn.SWITCH($A$2,"average", AVERAGE(Instances!M217:Instances!M217),"median", MEDIAN(Instances!M217:Instances!M217),"min", MIN(Instances!M217:Instances!M217),"max", MAX(Instances!M217:Instances!M217),"diff", MAX(Instances!M217:Instances!M217)-MIN(Instances!M217:Instances!M217))</f>
        <v>0</v>
      </c>
      <c r="N217" s="1" cm="1">
        <f t="array" ref="N217">_xlfn.SWITCH($A$2,"average", AVERAGE(Instances!N217:Instances!N217),"median", MEDIAN(Instances!N217:Instances!N217),"min", MIN(Instances!N217:Instances!N217),"max", MAX(Instances!N217:Instances!N217),"diff", MAX(Instances!N217:Instances!N217)-MIN(Instances!N217:Instances!N217))</f>
        <v>0</v>
      </c>
      <c r="O217" s="1" cm="1">
        <f t="array" ref="O217">_xlfn.SWITCH($A$2,"average", AVERAGE(Instances!O217:Instances!O217),"median", MEDIAN(Instances!O217:Instances!O217),"min", MIN(Instances!O217:Instances!O217),"max", MAX(Instances!O217:Instances!O217),"diff", MAX(Instances!O217:Instances!O217)-MIN(Instances!O217:Instances!O217))</f>
        <v>0</v>
      </c>
      <c r="P217" s="1" cm="1">
        <f t="array" ref="P217">_xlfn.SWITCH($A$2,"average", AVERAGE(Instances!P217:Instances!P217),"median", MEDIAN(Instances!P217:Instances!P217),"min", MIN(Instances!P217:Instances!P217),"max", MAX(Instances!P217:Instances!P217),"diff", MAX(Instances!P217:Instances!P217)-MIN(Instances!P217:Instances!P217))</f>
        <v>0</v>
      </c>
      <c r="Q217" s="1" cm="1">
        <f t="array" ref="Q217">_xlfn.SWITCH($A$2,"average", AVERAGE(Instances!Q217:Instances!Q217),"median", MEDIAN(Instances!Q217:Instances!Q217),"min", MIN(Instances!Q217:Instances!Q217),"max", MAX(Instances!Q217:Instances!Q217),"diff", MAX(Instances!Q217:Instances!Q217)-MIN(Instances!Q217:Instances!Q217))</f>
        <v>0</v>
      </c>
      <c r="R217" s="1">
        <f>MIN($B217,$D217,$F217,$H217,$J217,$L217,$N217,$P217)</f>
        <v>0</v>
      </c>
      <c r="S217" s="1">
        <f>MIN($C217,$E217,$G217,$I217,$K217,$M217,$O217,$Q217)</f>
        <v>0</v>
      </c>
      <c r="T217" s="1">
        <f>MEDIAN($B217,$D217,$F217,$H217,$J217,$L217,$N217,$P217)</f>
        <v>0</v>
      </c>
      <c r="U217" s="1">
        <f>MEDIAN($C217,$E217,$G217,$I217,$K217,$M217,$O217,$Q217)</f>
        <v>0</v>
      </c>
      <c r="V217" s="1">
        <f>MAX($B217,$D217,$F217,$H217,$J217,$L217,$N217,$P217)</f>
        <v>0</v>
      </c>
      <c r="W217" s="1">
        <f>MAX($C217,$E217,$G217,$I217,$K217,$M217,$O217,$Q217)</f>
        <v>0</v>
      </c>
    </row>
    <row r="218" spans="1:23">
      <c r="A218" s="1" t="s">
        <v>215</v>
      </c>
      <c r="B218" s="1"/>
      <c r="C218" s="1"/>
      <c r="D218" s="1" cm="1">
        <f t="array" ref="D218">_xlfn.SWITCH($A$2,"average", AVERAGE(Instances!D218:Instances!D218),"median", MEDIAN(Instances!D218:Instances!D218),"min", MIN(Instances!D218:Instances!D218),"max", MAX(Instances!D218:Instances!D218),"diff", MAX(Instances!D218:Instances!D218)-MIN(Instances!D218:Instances!D218))</f>
        <v>0</v>
      </c>
      <c r="E218" s="1" cm="1">
        <f t="array" ref="E218">_xlfn.SWITCH($A$2,"average", AVERAGE(Instances!E218:Instances!E218),"median", MEDIAN(Instances!E218:Instances!E218),"min", MIN(Instances!E218:Instances!E218),"max", MAX(Instances!E218:Instances!E218),"diff", MAX(Instances!E218:Instances!E218)-MIN(Instances!E218:Instances!E218))</f>
        <v>0</v>
      </c>
      <c r="F218" s="1" cm="1">
        <f t="array" ref="F218">_xlfn.SWITCH($A$2,"average", AVERAGE(Instances!F218:Instances!F218),"median", MEDIAN(Instances!F218:Instances!F218),"min", MIN(Instances!F218:Instances!F218),"max", MAX(Instances!F218:Instances!F218),"diff", MAX(Instances!F218:Instances!F218)-MIN(Instances!F218:Instances!F218))</f>
        <v>0</v>
      </c>
      <c r="G218" s="1" cm="1">
        <f t="array" ref="G218">_xlfn.SWITCH($A$2,"average", AVERAGE(Instances!G218:Instances!G218),"median", MEDIAN(Instances!G218:Instances!G218),"min", MIN(Instances!G218:Instances!G218),"max", MAX(Instances!G218:Instances!G218),"diff", MAX(Instances!G218:Instances!G218)-MIN(Instances!G218:Instances!G218))</f>
        <v>0</v>
      </c>
      <c r="H218" s="1"/>
      <c r="I218" s="1"/>
      <c r="J218" s="1" cm="1">
        <f t="array" ref="J218">_xlfn.SWITCH($A$2,"average", AVERAGE(Instances!J218:Instances!J218),"median", MEDIAN(Instances!J218:Instances!J218),"min", MIN(Instances!J218:Instances!J218),"max", MAX(Instances!J218:Instances!J218),"diff", MAX(Instances!J218:Instances!J218)-MIN(Instances!J218:Instances!J218))</f>
        <v>0</v>
      </c>
      <c r="K218" s="1" cm="1">
        <f t="array" ref="K218">_xlfn.SWITCH($A$2,"average", AVERAGE(Instances!K218:Instances!K218),"median", MEDIAN(Instances!K218:Instances!K218),"min", MIN(Instances!K218:Instances!K218),"max", MAX(Instances!K218:Instances!K218),"diff", MAX(Instances!K218:Instances!K218)-MIN(Instances!K218:Instances!K218))</f>
        <v>0</v>
      </c>
      <c r="L218" s="1" cm="1">
        <f t="array" ref="L218">_xlfn.SWITCH($A$2,"average", AVERAGE(Instances!L218:Instances!L218),"median", MEDIAN(Instances!L218:Instances!L218),"min", MIN(Instances!L218:Instances!L218),"max", MAX(Instances!L218:Instances!L218),"diff", MAX(Instances!L218:Instances!L218)-MIN(Instances!L218:Instances!L218))</f>
        <v>0</v>
      </c>
      <c r="M218" s="1" cm="1">
        <f t="array" ref="M218">_xlfn.SWITCH($A$2,"average", AVERAGE(Instances!M218:Instances!M218),"median", MEDIAN(Instances!M218:Instances!M218),"min", MIN(Instances!M218:Instances!M218),"max", MAX(Instances!M218:Instances!M218),"diff", MAX(Instances!M218:Instances!M218)-MIN(Instances!M218:Instances!M218))</f>
        <v>0</v>
      </c>
      <c r="N218" s="1" cm="1">
        <f t="array" ref="N218">_xlfn.SWITCH($A$2,"average", AVERAGE(Instances!N218:Instances!N218),"median", MEDIAN(Instances!N218:Instances!N218),"min", MIN(Instances!N218:Instances!N218),"max", MAX(Instances!N218:Instances!N218),"diff", MAX(Instances!N218:Instances!N218)-MIN(Instances!N218:Instances!N218))</f>
        <v>0</v>
      </c>
      <c r="O218" s="1" cm="1">
        <f t="array" ref="O218">_xlfn.SWITCH($A$2,"average", AVERAGE(Instances!O218:Instances!O218),"median", MEDIAN(Instances!O218:Instances!O218),"min", MIN(Instances!O218:Instances!O218),"max", MAX(Instances!O218:Instances!O218),"diff", MAX(Instances!O218:Instances!O218)-MIN(Instances!O218:Instances!O218))</f>
        <v>0</v>
      </c>
      <c r="P218" s="1" cm="1">
        <f t="array" ref="P218">_xlfn.SWITCH($A$2,"average", AVERAGE(Instances!P218:Instances!P218),"median", MEDIAN(Instances!P218:Instances!P218),"min", MIN(Instances!P218:Instances!P218),"max", MAX(Instances!P218:Instances!P218),"diff", MAX(Instances!P218:Instances!P218)-MIN(Instances!P218:Instances!P218))</f>
        <v>0</v>
      </c>
      <c r="Q218" s="1" cm="1">
        <f t="array" ref="Q218">_xlfn.SWITCH($A$2,"average", AVERAGE(Instances!Q218:Instances!Q218),"median", MEDIAN(Instances!Q218:Instances!Q218),"min", MIN(Instances!Q218:Instances!Q218),"max", MAX(Instances!Q218:Instances!Q218),"diff", MAX(Instances!Q218:Instances!Q218)-MIN(Instances!Q218:Instances!Q218))</f>
        <v>0</v>
      </c>
      <c r="R218" s="1">
        <f>MIN($B218,$D218,$F218,$H218,$J218,$L218,$N218,$P218)</f>
        <v>0</v>
      </c>
      <c r="S218" s="1">
        <f>MIN($C218,$E218,$G218,$I218,$K218,$M218,$O218,$Q218)</f>
        <v>0</v>
      </c>
      <c r="T218" s="1">
        <f>MEDIAN($B218,$D218,$F218,$H218,$J218,$L218,$N218,$P218)</f>
        <v>0</v>
      </c>
      <c r="U218" s="1">
        <f>MEDIAN($C218,$E218,$G218,$I218,$K218,$M218,$O218,$Q218)</f>
        <v>0</v>
      </c>
      <c r="V218" s="1">
        <f>MAX($B218,$D218,$F218,$H218,$J218,$L218,$N218,$P218)</f>
        <v>0</v>
      </c>
      <c r="W218" s="1">
        <f>MAX($C218,$E218,$G218,$I218,$K218,$M218,$O218,$Q218)</f>
        <v>0</v>
      </c>
    </row>
    <row r="219" spans="1:23">
      <c r="A219" s="1" t="s">
        <v>216</v>
      </c>
      <c r="B219" s="1"/>
      <c r="C219" s="1"/>
      <c r="D219" s="1" cm="1">
        <f t="array" ref="D219">_xlfn.SWITCH($A$2,"average", AVERAGE(Instances!D219:Instances!D219),"median", MEDIAN(Instances!D219:Instances!D219),"min", MIN(Instances!D219:Instances!D219),"max", MAX(Instances!D219:Instances!D219),"diff", MAX(Instances!D219:Instances!D219)-MIN(Instances!D219:Instances!D219))</f>
        <v>0</v>
      </c>
      <c r="E219" s="1" cm="1">
        <f t="array" ref="E219">_xlfn.SWITCH($A$2,"average", AVERAGE(Instances!E219:Instances!E219),"median", MEDIAN(Instances!E219:Instances!E219),"min", MIN(Instances!E219:Instances!E219),"max", MAX(Instances!E219:Instances!E219),"diff", MAX(Instances!E219:Instances!E219)-MIN(Instances!E219:Instances!E219))</f>
        <v>0</v>
      </c>
      <c r="F219" s="1" cm="1">
        <f t="array" ref="F219">_xlfn.SWITCH($A$2,"average", AVERAGE(Instances!F219:Instances!F219),"median", MEDIAN(Instances!F219:Instances!F219),"min", MIN(Instances!F219:Instances!F219),"max", MAX(Instances!F219:Instances!F219),"diff", MAX(Instances!F219:Instances!F219)-MIN(Instances!F219:Instances!F219))</f>
        <v>0</v>
      </c>
      <c r="G219" s="1" cm="1">
        <f t="array" ref="G219">_xlfn.SWITCH($A$2,"average", AVERAGE(Instances!G219:Instances!G219),"median", MEDIAN(Instances!G219:Instances!G219),"min", MIN(Instances!G219:Instances!G219),"max", MAX(Instances!G219:Instances!G219),"diff", MAX(Instances!G219:Instances!G219)-MIN(Instances!G219:Instances!G219))</f>
        <v>0</v>
      </c>
      <c r="H219" s="1"/>
      <c r="I219" s="1"/>
      <c r="J219" s="1" cm="1">
        <f t="array" ref="J219">_xlfn.SWITCH($A$2,"average", AVERAGE(Instances!J219:Instances!J219),"median", MEDIAN(Instances!J219:Instances!J219),"min", MIN(Instances!J219:Instances!J219),"max", MAX(Instances!J219:Instances!J219),"diff", MAX(Instances!J219:Instances!J219)-MIN(Instances!J219:Instances!J219))</f>
        <v>0</v>
      </c>
      <c r="K219" s="1" cm="1">
        <f t="array" ref="K219">_xlfn.SWITCH($A$2,"average", AVERAGE(Instances!K219:Instances!K219),"median", MEDIAN(Instances!K219:Instances!K219),"min", MIN(Instances!K219:Instances!K219),"max", MAX(Instances!K219:Instances!K219),"diff", MAX(Instances!K219:Instances!K219)-MIN(Instances!K219:Instances!K219))</f>
        <v>0</v>
      </c>
      <c r="L219" s="1" cm="1">
        <f t="array" ref="L219">_xlfn.SWITCH($A$2,"average", AVERAGE(Instances!L219:Instances!L219),"median", MEDIAN(Instances!L219:Instances!L219),"min", MIN(Instances!L219:Instances!L219),"max", MAX(Instances!L219:Instances!L219),"diff", MAX(Instances!L219:Instances!L219)-MIN(Instances!L219:Instances!L219))</f>
        <v>0</v>
      </c>
      <c r="M219" s="1" cm="1">
        <f t="array" ref="M219">_xlfn.SWITCH($A$2,"average", AVERAGE(Instances!M219:Instances!M219),"median", MEDIAN(Instances!M219:Instances!M219),"min", MIN(Instances!M219:Instances!M219),"max", MAX(Instances!M219:Instances!M219),"diff", MAX(Instances!M219:Instances!M219)-MIN(Instances!M219:Instances!M219))</f>
        <v>0</v>
      </c>
      <c r="N219" s="1" cm="1">
        <f t="array" ref="N219">_xlfn.SWITCH($A$2,"average", AVERAGE(Instances!N219:Instances!N219),"median", MEDIAN(Instances!N219:Instances!N219),"min", MIN(Instances!N219:Instances!N219),"max", MAX(Instances!N219:Instances!N219),"diff", MAX(Instances!N219:Instances!N219)-MIN(Instances!N219:Instances!N219))</f>
        <v>0</v>
      </c>
      <c r="O219" s="1" cm="1">
        <f t="array" ref="O219">_xlfn.SWITCH($A$2,"average", AVERAGE(Instances!O219:Instances!O219),"median", MEDIAN(Instances!O219:Instances!O219),"min", MIN(Instances!O219:Instances!O219),"max", MAX(Instances!O219:Instances!O219),"diff", MAX(Instances!O219:Instances!O219)-MIN(Instances!O219:Instances!O219))</f>
        <v>0</v>
      </c>
      <c r="P219" s="1" cm="1">
        <f t="array" ref="P219">_xlfn.SWITCH($A$2,"average", AVERAGE(Instances!P219:Instances!P219),"median", MEDIAN(Instances!P219:Instances!P219),"min", MIN(Instances!P219:Instances!P219),"max", MAX(Instances!P219:Instances!P219),"diff", MAX(Instances!P219:Instances!P219)-MIN(Instances!P219:Instances!P219))</f>
        <v>0</v>
      </c>
      <c r="Q219" s="1" cm="1">
        <f t="array" ref="Q219">_xlfn.SWITCH($A$2,"average", AVERAGE(Instances!Q219:Instances!Q219),"median", MEDIAN(Instances!Q219:Instances!Q219),"min", MIN(Instances!Q219:Instances!Q219),"max", MAX(Instances!Q219:Instances!Q219),"diff", MAX(Instances!Q219:Instances!Q219)-MIN(Instances!Q219:Instances!Q219))</f>
        <v>0</v>
      </c>
      <c r="R219" s="1">
        <f>MIN($B219,$D219,$F219,$H219,$J219,$L219,$N219,$P219)</f>
        <v>0</v>
      </c>
      <c r="S219" s="1">
        <f>MIN($C219,$E219,$G219,$I219,$K219,$M219,$O219,$Q219)</f>
        <v>0</v>
      </c>
      <c r="T219" s="1">
        <f>MEDIAN($B219,$D219,$F219,$H219,$J219,$L219,$N219,$P219)</f>
        <v>0</v>
      </c>
      <c r="U219" s="1">
        <f>MEDIAN($C219,$E219,$G219,$I219,$K219,$M219,$O219,$Q219)</f>
        <v>0</v>
      </c>
      <c r="V219" s="1">
        <f>MAX($B219,$D219,$F219,$H219,$J219,$L219,$N219,$P219)</f>
        <v>0</v>
      </c>
      <c r="W219" s="1">
        <f>MAX($C219,$E219,$G219,$I219,$K219,$M219,$O219,$Q219)</f>
        <v>0</v>
      </c>
    </row>
    <row r="220" spans="1:23">
      <c r="A220" s="1" t="s">
        <v>217</v>
      </c>
      <c r="B220" s="1"/>
      <c r="C220" s="1"/>
      <c r="D220" s="1" cm="1">
        <f t="array" ref="D220">_xlfn.SWITCH($A$2,"average", AVERAGE(Instances!D220:Instances!D220),"median", MEDIAN(Instances!D220:Instances!D220),"min", MIN(Instances!D220:Instances!D220),"max", MAX(Instances!D220:Instances!D220),"diff", MAX(Instances!D220:Instances!D220)-MIN(Instances!D220:Instances!D220))</f>
        <v>0</v>
      </c>
      <c r="E220" s="1" cm="1">
        <f t="array" ref="E220">_xlfn.SWITCH($A$2,"average", AVERAGE(Instances!E220:Instances!E220),"median", MEDIAN(Instances!E220:Instances!E220),"min", MIN(Instances!E220:Instances!E220),"max", MAX(Instances!E220:Instances!E220),"diff", MAX(Instances!E220:Instances!E220)-MIN(Instances!E220:Instances!E220))</f>
        <v>0</v>
      </c>
      <c r="F220" s="1" cm="1">
        <f t="array" ref="F220">_xlfn.SWITCH($A$2,"average", AVERAGE(Instances!F220:Instances!F220),"median", MEDIAN(Instances!F220:Instances!F220),"min", MIN(Instances!F220:Instances!F220),"max", MAX(Instances!F220:Instances!F220),"diff", MAX(Instances!F220:Instances!F220)-MIN(Instances!F220:Instances!F220))</f>
        <v>0</v>
      </c>
      <c r="G220" s="1" cm="1">
        <f t="array" ref="G220">_xlfn.SWITCH($A$2,"average", AVERAGE(Instances!G220:Instances!G220),"median", MEDIAN(Instances!G220:Instances!G220),"min", MIN(Instances!G220:Instances!G220),"max", MAX(Instances!G220:Instances!G220),"diff", MAX(Instances!G220:Instances!G220)-MIN(Instances!G220:Instances!G220))</f>
        <v>0</v>
      </c>
      <c r="H220" s="1"/>
      <c r="I220" s="1"/>
      <c r="J220" s="1" cm="1">
        <f t="array" ref="J220">_xlfn.SWITCH($A$2,"average", AVERAGE(Instances!J220:Instances!J220),"median", MEDIAN(Instances!J220:Instances!J220),"min", MIN(Instances!J220:Instances!J220),"max", MAX(Instances!J220:Instances!J220),"diff", MAX(Instances!J220:Instances!J220)-MIN(Instances!J220:Instances!J220))</f>
        <v>0</v>
      </c>
      <c r="K220" s="1" cm="1">
        <f t="array" ref="K220">_xlfn.SWITCH($A$2,"average", AVERAGE(Instances!K220:Instances!K220),"median", MEDIAN(Instances!K220:Instances!K220),"min", MIN(Instances!K220:Instances!K220),"max", MAX(Instances!K220:Instances!K220),"diff", MAX(Instances!K220:Instances!K220)-MIN(Instances!K220:Instances!K220))</f>
        <v>0</v>
      </c>
      <c r="L220" s="1" cm="1">
        <f t="array" ref="L220">_xlfn.SWITCH($A$2,"average", AVERAGE(Instances!L220:Instances!L220),"median", MEDIAN(Instances!L220:Instances!L220),"min", MIN(Instances!L220:Instances!L220),"max", MAX(Instances!L220:Instances!L220),"diff", MAX(Instances!L220:Instances!L220)-MIN(Instances!L220:Instances!L220))</f>
        <v>0</v>
      </c>
      <c r="M220" s="1" cm="1">
        <f t="array" ref="M220">_xlfn.SWITCH($A$2,"average", AVERAGE(Instances!M220:Instances!M220),"median", MEDIAN(Instances!M220:Instances!M220),"min", MIN(Instances!M220:Instances!M220),"max", MAX(Instances!M220:Instances!M220),"diff", MAX(Instances!M220:Instances!M220)-MIN(Instances!M220:Instances!M220))</f>
        <v>0</v>
      </c>
      <c r="N220" s="1" cm="1">
        <f t="array" ref="N220">_xlfn.SWITCH($A$2,"average", AVERAGE(Instances!N220:Instances!N220),"median", MEDIAN(Instances!N220:Instances!N220),"min", MIN(Instances!N220:Instances!N220),"max", MAX(Instances!N220:Instances!N220),"diff", MAX(Instances!N220:Instances!N220)-MIN(Instances!N220:Instances!N220))</f>
        <v>0</v>
      </c>
      <c r="O220" s="1" cm="1">
        <f t="array" ref="O220">_xlfn.SWITCH($A$2,"average", AVERAGE(Instances!O220:Instances!O220),"median", MEDIAN(Instances!O220:Instances!O220),"min", MIN(Instances!O220:Instances!O220),"max", MAX(Instances!O220:Instances!O220),"diff", MAX(Instances!O220:Instances!O220)-MIN(Instances!O220:Instances!O220))</f>
        <v>0</v>
      </c>
      <c r="P220" s="1" cm="1">
        <f t="array" ref="P220">_xlfn.SWITCH($A$2,"average", AVERAGE(Instances!P220:Instances!P220),"median", MEDIAN(Instances!P220:Instances!P220),"min", MIN(Instances!P220:Instances!P220),"max", MAX(Instances!P220:Instances!P220),"diff", MAX(Instances!P220:Instances!P220)-MIN(Instances!P220:Instances!P220))</f>
        <v>0</v>
      </c>
      <c r="Q220" s="1" cm="1">
        <f t="array" ref="Q220">_xlfn.SWITCH($A$2,"average", AVERAGE(Instances!Q220:Instances!Q220),"median", MEDIAN(Instances!Q220:Instances!Q220),"min", MIN(Instances!Q220:Instances!Q220),"max", MAX(Instances!Q220:Instances!Q220),"diff", MAX(Instances!Q220:Instances!Q220)-MIN(Instances!Q220:Instances!Q220))</f>
        <v>0</v>
      </c>
      <c r="R220" s="1">
        <f>MIN($B220,$D220,$F220,$H220,$J220,$L220,$N220,$P220)</f>
        <v>0</v>
      </c>
      <c r="S220" s="1">
        <f>MIN($C220,$E220,$G220,$I220,$K220,$M220,$O220,$Q220)</f>
        <v>0</v>
      </c>
      <c r="T220" s="1">
        <f>MEDIAN($B220,$D220,$F220,$H220,$J220,$L220,$N220,$P220)</f>
        <v>0</v>
      </c>
      <c r="U220" s="1">
        <f>MEDIAN($C220,$E220,$G220,$I220,$K220,$M220,$O220,$Q220)</f>
        <v>0</v>
      </c>
      <c r="V220" s="1">
        <f>MAX($B220,$D220,$F220,$H220,$J220,$L220,$N220,$P220)</f>
        <v>0</v>
      </c>
      <c r="W220" s="1">
        <f>MAX($C220,$E220,$G220,$I220,$K220,$M220,$O220,$Q220)</f>
        <v>0</v>
      </c>
    </row>
    <row r="221" spans="1:23">
      <c r="A221" s="1" t="s">
        <v>218</v>
      </c>
      <c r="B221" s="1"/>
      <c r="C221" s="1"/>
      <c r="D221" s="1" cm="1">
        <f t="array" ref="D221">_xlfn.SWITCH($A$2,"average", AVERAGE(Instances!D221:Instances!D221),"median", MEDIAN(Instances!D221:Instances!D221),"min", MIN(Instances!D221:Instances!D221),"max", MAX(Instances!D221:Instances!D221),"diff", MAX(Instances!D221:Instances!D221)-MIN(Instances!D221:Instances!D221))</f>
        <v>0</v>
      </c>
      <c r="E221" s="1" cm="1">
        <f t="array" ref="E221">_xlfn.SWITCH($A$2,"average", AVERAGE(Instances!E221:Instances!E221),"median", MEDIAN(Instances!E221:Instances!E221),"min", MIN(Instances!E221:Instances!E221),"max", MAX(Instances!E221:Instances!E221),"diff", MAX(Instances!E221:Instances!E221)-MIN(Instances!E221:Instances!E221))</f>
        <v>0</v>
      </c>
      <c r="F221" s="1" cm="1">
        <f t="array" ref="F221">_xlfn.SWITCH($A$2,"average", AVERAGE(Instances!F221:Instances!F221),"median", MEDIAN(Instances!F221:Instances!F221),"min", MIN(Instances!F221:Instances!F221),"max", MAX(Instances!F221:Instances!F221),"diff", MAX(Instances!F221:Instances!F221)-MIN(Instances!F221:Instances!F221))</f>
        <v>0</v>
      </c>
      <c r="G221" s="1" cm="1">
        <f t="array" ref="G221">_xlfn.SWITCH($A$2,"average", AVERAGE(Instances!G221:Instances!G221),"median", MEDIAN(Instances!G221:Instances!G221),"min", MIN(Instances!G221:Instances!G221),"max", MAX(Instances!G221:Instances!G221),"diff", MAX(Instances!G221:Instances!G221)-MIN(Instances!G221:Instances!G221))</f>
        <v>0</v>
      </c>
      <c r="H221" s="1"/>
      <c r="I221" s="1"/>
      <c r="J221" s="1" cm="1">
        <f t="array" ref="J221">_xlfn.SWITCH($A$2,"average", AVERAGE(Instances!J221:Instances!J221),"median", MEDIAN(Instances!J221:Instances!J221),"min", MIN(Instances!J221:Instances!J221),"max", MAX(Instances!J221:Instances!J221),"diff", MAX(Instances!J221:Instances!J221)-MIN(Instances!J221:Instances!J221))</f>
        <v>0</v>
      </c>
      <c r="K221" s="1" cm="1">
        <f t="array" ref="K221">_xlfn.SWITCH($A$2,"average", AVERAGE(Instances!K221:Instances!K221),"median", MEDIAN(Instances!K221:Instances!K221),"min", MIN(Instances!K221:Instances!K221),"max", MAX(Instances!K221:Instances!K221),"diff", MAX(Instances!K221:Instances!K221)-MIN(Instances!K221:Instances!K221))</f>
        <v>0</v>
      </c>
      <c r="L221" s="1" cm="1">
        <f t="array" ref="L221">_xlfn.SWITCH($A$2,"average", AVERAGE(Instances!L221:Instances!L221),"median", MEDIAN(Instances!L221:Instances!L221),"min", MIN(Instances!L221:Instances!L221),"max", MAX(Instances!L221:Instances!L221),"diff", MAX(Instances!L221:Instances!L221)-MIN(Instances!L221:Instances!L221))</f>
        <v>0</v>
      </c>
      <c r="M221" s="1" cm="1">
        <f t="array" ref="M221">_xlfn.SWITCH($A$2,"average", AVERAGE(Instances!M221:Instances!M221),"median", MEDIAN(Instances!M221:Instances!M221),"min", MIN(Instances!M221:Instances!M221),"max", MAX(Instances!M221:Instances!M221),"diff", MAX(Instances!M221:Instances!M221)-MIN(Instances!M221:Instances!M221))</f>
        <v>0</v>
      </c>
      <c r="N221" s="1" cm="1">
        <f t="array" ref="N221">_xlfn.SWITCH($A$2,"average", AVERAGE(Instances!N221:Instances!N221),"median", MEDIAN(Instances!N221:Instances!N221),"min", MIN(Instances!N221:Instances!N221),"max", MAX(Instances!N221:Instances!N221),"diff", MAX(Instances!N221:Instances!N221)-MIN(Instances!N221:Instances!N221))</f>
        <v>0</v>
      </c>
      <c r="O221" s="1" cm="1">
        <f t="array" ref="O221">_xlfn.SWITCH($A$2,"average", AVERAGE(Instances!O221:Instances!O221),"median", MEDIAN(Instances!O221:Instances!O221),"min", MIN(Instances!O221:Instances!O221),"max", MAX(Instances!O221:Instances!O221),"diff", MAX(Instances!O221:Instances!O221)-MIN(Instances!O221:Instances!O221))</f>
        <v>0</v>
      </c>
      <c r="P221" s="1" cm="1">
        <f t="array" ref="P221">_xlfn.SWITCH($A$2,"average", AVERAGE(Instances!P221:Instances!P221),"median", MEDIAN(Instances!P221:Instances!P221),"min", MIN(Instances!P221:Instances!P221),"max", MAX(Instances!P221:Instances!P221),"diff", MAX(Instances!P221:Instances!P221)-MIN(Instances!P221:Instances!P221))</f>
        <v>0</v>
      </c>
      <c r="Q221" s="1" cm="1">
        <f t="array" ref="Q221">_xlfn.SWITCH($A$2,"average", AVERAGE(Instances!Q221:Instances!Q221),"median", MEDIAN(Instances!Q221:Instances!Q221),"min", MIN(Instances!Q221:Instances!Q221),"max", MAX(Instances!Q221:Instances!Q221),"diff", MAX(Instances!Q221:Instances!Q221)-MIN(Instances!Q221:Instances!Q221))</f>
        <v>0</v>
      </c>
      <c r="R221" s="1">
        <f>MIN($B221,$D221,$F221,$H221,$J221,$L221,$N221,$P221)</f>
        <v>0</v>
      </c>
      <c r="S221" s="1">
        <f>MIN($C221,$E221,$G221,$I221,$K221,$M221,$O221,$Q221)</f>
        <v>0</v>
      </c>
      <c r="T221" s="1">
        <f>MEDIAN($B221,$D221,$F221,$H221,$J221,$L221,$N221,$P221)</f>
        <v>0</v>
      </c>
      <c r="U221" s="1">
        <f>MEDIAN($C221,$E221,$G221,$I221,$K221,$M221,$O221,$Q221)</f>
        <v>0</v>
      </c>
      <c r="V221" s="1">
        <f>MAX($B221,$D221,$F221,$H221,$J221,$L221,$N221,$P221)</f>
        <v>0</v>
      </c>
      <c r="W221" s="1">
        <f>MAX($C221,$E221,$G221,$I221,$K221,$M221,$O221,$Q221)</f>
        <v>0</v>
      </c>
    </row>
    <row r="222" spans="1:23">
      <c r="A222" s="1" t="s">
        <v>219</v>
      </c>
      <c r="B222" s="1"/>
      <c r="C222" s="1"/>
      <c r="D222" s="1" cm="1">
        <f t="array" ref="D222">_xlfn.SWITCH($A$2,"average", AVERAGE(Instances!D222:Instances!D222),"median", MEDIAN(Instances!D222:Instances!D222),"min", MIN(Instances!D222:Instances!D222),"max", MAX(Instances!D222:Instances!D222),"diff", MAX(Instances!D222:Instances!D222)-MIN(Instances!D222:Instances!D222))</f>
        <v>0</v>
      </c>
      <c r="E222" s="1" cm="1">
        <f t="array" ref="E222">_xlfn.SWITCH($A$2,"average", AVERAGE(Instances!E222:Instances!E222),"median", MEDIAN(Instances!E222:Instances!E222),"min", MIN(Instances!E222:Instances!E222),"max", MAX(Instances!E222:Instances!E222),"diff", MAX(Instances!E222:Instances!E222)-MIN(Instances!E222:Instances!E222))</f>
        <v>0</v>
      </c>
      <c r="F222" s="1" cm="1">
        <f t="array" ref="F222">_xlfn.SWITCH($A$2,"average", AVERAGE(Instances!F222:Instances!F222),"median", MEDIAN(Instances!F222:Instances!F222),"min", MIN(Instances!F222:Instances!F222),"max", MAX(Instances!F222:Instances!F222),"diff", MAX(Instances!F222:Instances!F222)-MIN(Instances!F222:Instances!F222))</f>
        <v>0</v>
      </c>
      <c r="G222" s="1" cm="1">
        <f t="array" ref="G222">_xlfn.SWITCH($A$2,"average", AVERAGE(Instances!G222:Instances!G222),"median", MEDIAN(Instances!G222:Instances!G222),"min", MIN(Instances!G222:Instances!G222),"max", MAX(Instances!G222:Instances!G222),"diff", MAX(Instances!G222:Instances!G222)-MIN(Instances!G222:Instances!G222))</f>
        <v>0</v>
      </c>
      <c r="H222" s="1"/>
      <c r="I222" s="1"/>
      <c r="J222" s="1" cm="1">
        <f t="array" ref="J222">_xlfn.SWITCH($A$2,"average", AVERAGE(Instances!J222:Instances!J222),"median", MEDIAN(Instances!J222:Instances!J222),"min", MIN(Instances!J222:Instances!J222),"max", MAX(Instances!J222:Instances!J222),"diff", MAX(Instances!J222:Instances!J222)-MIN(Instances!J222:Instances!J222))</f>
        <v>0</v>
      </c>
      <c r="K222" s="1" cm="1">
        <f t="array" ref="K222">_xlfn.SWITCH($A$2,"average", AVERAGE(Instances!K222:Instances!K222),"median", MEDIAN(Instances!K222:Instances!K222),"min", MIN(Instances!K222:Instances!K222),"max", MAX(Instances!K222:Instances!K222),"diff", MAX(Instances!K222:Instances!K222)-MIN(Instances!K222:Instances!K222))</f>
        <v>0</v>
      </c>
      <c r="L222" s="1" cm="1">
        <f t="array" ref="L222">_xlfn.SWITCH($A$2,"average", AVERAGE(Instances!L222:Instances!L222),"median", MEDIAN(Instances!L222:Instances!L222),"min", MIN(Instances!L222:Instances!L222),"max", MAX(Instances!L222:Instances!L222),"diff", MAX(Instances!L222:Instances!L222)-MIN(Instances!L222:Instances!L222))</f>
        <v>0</v>
      </c>
      <c r="M222" s="1" cm="1">
        <f t="array" ref="M222">_xlfn.SWITCH($A$2,"average", AVERAGE(Instances!M222:Instances!M222),"median", MEDIAN(Instances!M222:Instances!M222),"min", MIN(Instances!M222:Instances!M222),"max", MAX(Instances!M222:Instances!M222),"diff", MAX(Instances!M222:Instances!M222)-MIN(Instances!M222:Instances!M222))</f>
        <v>0</v>
      </c>
      <c r="N222" s="1" cm="1">
        <f t="array" ref="N222">_xlfn.SWITCH($A$2,"average", AVERAGE(Instances!N222:Instances!N222),"median", MEDIAN(Instances!N222:Instances!N222),"min", MIN(Instances!N222:Instances!N222),"max", MAX(Instances!N222:Instances!N222),"diff", MAX(Instances!N222:Instances!N222)-MIN(Instances!N222:Instances!N222))</f>
        <v>0</v>
      </c>
      <c r="O222" s="1" cm="1">
        <f t="array" ref="O222">_xlfn.SWITCH($A$2,"average", AVERAGE(Instances!O222:Instances!O222),"median", MEDIAN(Instances!O222:Instances!O222),"min", MIN(Instances!O222:Instances!O222),"max", MAX(Instances!O222:Instances!O222),"diff", MAX(Instances!O222:Instances!O222)-MIN(Instances!O222:Instances!O222))</f>
        <v>0</v>
      </c>
      <c r="P222" s="1" cm="1">
        <f t="array" ref="P222">_xlfn.SWITCH($A$2,"average", AVERAGE(Instances!P222:Instances!P222),"median", MEDIAN(Instances!P222:Instances!P222),"min", MIN(Instances!P222:Instances!P222),"max", MAX(Instances!P222:Instances!P222),"diff", MAX(Instances!P222:Instances!P222)-MIN(Instances!P222:Instances!P222))</f>
        <v>0</v>
      </c>
      <c r="Q222" s="1" cm="1">
        <f t="array" ref="Q222">_xlfn.SWITCH($A$2,"average", AVERAGE(Instances!Q222:Instances!Q222),"median", MEDIAN(Instances!Q222:Instances!Q222),"min", MIN(Instances!Q222:Instances!Q222),"max", MAX(Instances!Q222:Instances!Q222),"diff", MAX(Instances!Q222:Instances!Q222)-MIN(Instances!Q222:Instances!Q222))</f>
        <v>0</v>
      </c>
      <c r="R222" s="1">
        <f>MIN($B222,$D222,$F222,$H222,$J222,$L222,$N222,$P222)</f>
        <v>0</v>
      </c>
      <c r="S222" s="1">
        <f>MIN($C222,$E222,$G222,$I222,$K222,$M222,$O222,$Q222)</f>
        <v>0</v>
      </c>
      <c r="T222" s="1">
        <f>MEDIAN($B222,$D222,$F222,$H222,$J222,$L222,$N222,$P222)</f>
        <v>0</v>
      </c>
      <c r="U222" s="1">
        <f>MEDIAN($C222,$E222,$G222,$I222,$K222,$M222,$O222,$Q222)</f>
        <v>0</v>
      </c>
      <c r="V222" s="1">
        <f>MAX($B222,$D222,$F222,$H222,$J222,$L222,$N222,$P222)</f>
        <v>0</v>
      </c>
      <c r="W222" s="1">
        <f>MAX($C222,$E222,$G222,$I222,$K222,$M222,$O222,$Q222)</f>
        <v>0</v>
      </c>
    </row>
    <row r="223" spans="1:23">
      <c r="A223" s="1" t="s">
        <v>220</v>
      </c>
      <c r="B223" s="1"/>
      <c r="C223" s="1"/>
      <c r="D223" s="1" cm="1">
        <f t="array" ref="D223">_xlfn.SWITCH($A$2,"average", AVERAGE(Instances!D223:Instances!D223),"median", MEDIAN(Instances!D223:Instances!D223),"min", MIN(Instances!D223:Instances!D223),"max", MAX(Instances!D223:Instances!D223),"diff", MAX(Instances!D223:Instances!D223)-MIN(Instances!D223:Instances!D223))</f>
        <v>0</v>
      </c>
      <c r="E223" s="1" cm="1">
        <f t="array" ref="E223">_xlfn.SWITCH($A$2,"average", AVERAGE(Instances!E223:Instances!E223),"median", MEDIAN(Instances!E223:Instances!E223),"min", MIN(Instances!E223:Instances!E223),"max", MAX(Instances!E223:Instances!E223),"diff", MAX(Instances!E223:Instances!E223)-MIN(Instances!E223:Instances!E223))</f>
        <v>0</v>
      </c>
      <c r="F223" s="1" cm="1">
        <f t="array" ref="F223">_xlfn.SWITCH($A$2,"average", AVERAGE(Instances!F223:Instances!F223),"median", MEDIAN(Instances!F223:Instances!F223),"min", MIN(Instances!F223:Instances!F223),"max", MAX(Instances!F223:Instances!F223),"diff", MAX(Instances!F223:Instances!F223)-MIN(Instances!F223:Instances!F223))</f>
        <v>0</v>
      </c>
      <c r="G223" s="1" cm="1">
        <f t="array" ref="G223">_xlfn.SWITCH($A$2,"average", AVERAGE(Instances!G223:Instances!G223),"median", MEDIAN(Instances!G223:Instances!G223),"min", MIN(Instances!G223:Instances!G223),"max", MAX(Instances!G223:Instances!G223),"diff", MAX(Instances!G223:Instances!G223)-MIN(Instances!G223:Instances!G223))</f>
        <v>0</v>
      </c>
      <c r="H223" s="1"/>
      <c r="I223" s="1"/>
      <c r="J223" s="1" cm="1">
        <f t="array" ref="J223">_xlfn.SWITCH($A$2,"average", AVERAGE(Instances!J223:Instances!J223),"median", MEDIAN(Instances!J223:Instances!J223),"min", MIN(Instances!J223:Instances!J223),"max", MAX(Instances!J223:Instances!J223),"diff", MAX(Instances!J223:Instances!J223)-MIN(Instances!J223:Instances!J223))</f>
        <v>0</v>
      </c>
      <c r="K223" s="1" cm="1">
        <f t="array" ref="K223">_xlfn.SWITCH($A$2,"average", AVERAGE(Instances!K223:Instances!K223),"median", MEDIAN(Instances!K223:Instances!K223),"min", MIN(Instances!K223:Instances!K223),"max", MAX(Instances!K223:Instances!K223),"diff", MAX(Instances!K223:Instances!K223)-MIN(Instances!K223:Instances!K223))</f>
        <v>0</v>
      </c>
      <c r="L223" s="1" cm="1">
        <f t="array" ref="L223">_xlfn.SWITCH($A$2,"average", AVERAGE(Instances!L223:Instances!L223),"median", MEDIAN(Instances!L223:Instances!L223),"min", MIN(Instances!L223:Instances!L223),"max", MAX(Instances!L223:Instances!L223),"diff", MAX(Instances!L223:Instances!L223)-MIN(Instances!L223:Instances!L223))</f>
        <v>0</v>
      </c>
      <c r="M223" s="1" cm="1">
        <f t="array" ref="M223">_xlfn.SWITCH($A$2,"average", AVERAGE(Instances!M223:Instances!M223),"median", MEDIAN(Instances!M223:Instances!M223),"min", MIN(Instances!M223:Instances!M223),"max", MAX(Instances!M223:Instances!M223),"diff", MAX(Instances!M223:Instances!M223)-MIN(Instances!M223:Instances!M223))</f>
        <v>0</v>
      </c>
      <c r="N223" s="1" cm="1">
        <f t="array" ref="N223">_xlfn.SWITCH($A$2,"average", AVERAGE(Instances!N223:Instances!N223),"median", MEDIAN(Instances!N223:Instances!N223),"min", MIN(Instances!N223:Instances!N223),"max", MAX(Instances!N223:Instances!N223),"diff", MAX(Instances!N223:Instances!N223)-MIN(Instances!N223:Instances!N223))</f>
        <v>0</v>
      </c>
      <c r="O223" s="1" cm="1">
        <f t="array" ref="O223">_xlfn.SWITCH($A$2,"average", AVERAGE(Instances!O223:Instances!O223),"median", MEDIAN(Instances!O223:Instances!O223),"min", MIN(Instances!O223:Instances!O223),"max", MAX(Instances!O223:Instances!O223),"diff", MAX(Instances!O223:Instances!O223)-MIN(Instances!O223:Instances!O223))</f>
        <v>0</v>
      </c>
      <c r="P223" s="1" cm="1">
        <f t="array" ref="P223">_xlfn.SWITCH($A$2,"average", AVERAGE(Instances!P223:Instances!P223),"median", MEDIAN(Instances!P223:Instances!P223),"min", MIN(Instances!P223:Instances!P223),"max", MAX(Instances!P223:Instances!P223),"diff", MAX(Instances!P223:Instances!P223)-MIN(Instances!P223:Instances!P223))</f>
        <v>0</v>
      </c>
      <c r="Q223" s="1" cm="1">
        <f t="array" ref="Q223">_xlfn.SWITCH($A$2,"average", AVERAGE(Instances!Q223:Instances!Q223),"median", MEDIAN(Instances!Q223:Instances!Q223),"min", MIN(Instances!Q223:Instances!Q223),"max", MAX(Instances!Q223:Instances!Q223),"diff", MAX(Instances!Q223:Instances!Q223)-MIN(Instances!Q223:Instances!Q223))</f>
        <v>0</v>
      </c>
      <c r="R223" s="1">
        <f>MIN($B223,$D223,$F223,$H223,$J223,$L223,$N223,$P223)</f>
        <v>0</v>
      </c>
      <c r="S223" s="1">
        <f>MIN($C223,$E223,$G223,$I223,$K223,$M223,$O223,$Q223)</f>
        <v>0</v>
      </c>
      <c r="T223" s="1">
        <f>MEDIAN($B223,$D223,$F223,$H223,$J223,$L223,$N223,$P223)</f>
        <v>0</v>
      </c>
      <c r="U223" s="1">
        <f>MEDIAN($C223,$E223,$G223,$I223,$K223,$M223,$O223,$Q223)</f>
        <v>0</v>
      </c>
      <c r="V223" s="1">
        <f>MAX($B223,$D223,$F223,$H223,$J223,$L223,$N223,$P223)</f>
        <v>0</v>
      </c>
      <c r="W223" s="1">
        <f>MAX($C223,$E223,$G223,$I223,$K223,$M223,$O223,$Q223)</f>
        <v>0</v>
      </c>
    </row>
    <row r="224" spans="1:23">
      <c r="A224" s="1" t="s">
        <v>221</v>
      </c>
      <c r="B224" s="1"/>
      <c r="C224" s="1"/>
      <c r="D224" s="1" cm="1">
        <f t="array" ref="D224">_xlfn.SWITCH($A$2,"average", AVERAGE(Instances!D224:Instances!D224),"median", MEDIAN(Instances!D224:Instances!D224),"min", MIN(Instances!D224:Instances!D224),"max", MAX(Instances!D224:Instances!D224),"diff", MAX(Instances!D224:Instances!D224)-MIN(Instances!D224:Instances!D224))</f>
        <v>0</v>
      </c>
      <c r="E224" s="1" cm="1">
        <f t="array" ref="E224">_xlfn.SWITCH($A$2,"average", AVERAGE(Instances!E224:Instances!E224),"median", MEDIAN(Instances!E224:Instances!E224),"min", MIN(Instances!E224:Instances!E224),"max", MAX(Instances!E224:Instances!E224),"diff", MAX(Instances!E224:Instances!E224)-MIN(Instances!E224:Instances!E224))</f>
        <v>0</v>
      </c>
      <c r="F224" s="1" cm="1">
        <f t="array" ref="F224">_xlfn.SWITCH($A$2,"average", AVERAGE(Instances!F224:Instances!F224),"median", MEDIAN(Instances!F224:Instances!F224),"min", MIN(Instances!F224:Instances!F224),"max", MAX(Instances!F224:Instances!F224),"diff", MAX(Instances!F224:Instances!F224)-MIN(Instances!F224:Instances!F224))</f>
        <v>0</v>
      </c>
      <c r="G224" s="1" cm="1">
        <f t="array" ref="G224">_xlfn.SWITCH($A$2,"average", AVERAGE(Instances!G224:Instances!G224),"median", MEDIAN(Instances!G224:Instances!G224),"min", MIN(Instances!G224:Instances!G224),"max", MAX(Instances!G224:Instances!G224),"diff", MAX(Instances!G224:Instances!G224)-MIN(Instances!G224:Instances!G224))</f>
        <v>0</v>
      </c>
      <c r="H224" s="1"/>
      <c r="I224" s="1"/>
      <c r="J224" s="1" cm="1">
        <f t="array" ref="J224">_xlfn.SWITCH($A$2,"average", AVERAGE(Instances!J224:Instances!J224),"median", MEDIAN(Instances!J224:Instances!J224),"min", MIN(Instances!J224:Instances!J224),"max", MAX(Instances!J224:Instances!J224),"diff", MAX(Instances!J224:Instances!J224)-MIN(Instances!J224:Instances!J224))</f>
        <v>0</v>
      </c>
      <c r="K224" s="1" cm="1">
        <f t="array" ref="K224">_xlfn.SWITCH($A$2,"average", AVERAGE(Instances!K224:Instances!K224),"median", MEDIAN(Instances!K224:Instances!K224),"min", MIN(Instances!K224:Instances!K224),"max", MAX(Instances!K224:Instances!K224),"diff", MAX(Instances!K224:Instances!K224)-MIN(Instances!K224:Instances!K224))</f>
        <v>0</v>
      </c>
      <c r="L224" s="1" cm="1">
        <f t="array" ref="L224">_xlfn.SWITCH($A$2,"average", AVERAGE(Instances!L224:Instances!L224),"median", MEDIAN(Instances!L224:Instances!L224),"min", MIN(Instances!L224:Instances!L224),"max", MAX(Instances!L224:Instances!L224),"diff", MAX(Instances!L224:Instances!L224)-MIN(Instances!L224:Instances!L224))</f>
        <v>0</v>
      </c>
      <c r="M224" s="1" cm="1">
        <f t="array" ref="M224">_xlfn.SWITCH($A$2,"average", AVERAGE(Instances!M224:Instances!M224),"median", MEDIAN(Instances!M224:Instances!M224),"min", MIN(Instances!M224:Instances!M224),"max", MAX(Instances!M224:Instances!M224),"diff", MAX(Instances!M224:Instances!M224)-MIN(Instances!M224:Instances!M224))</f>
        <v>0</v>
      </c>
      <c r="N224" s="1" cm="1">
        <f t="array" ref="N224">_xlfn.SWITCH($A$2,"average", AVERAGE(Instances!N224:Instances!N224),"median", MEDIAN(Instances!N224:Instances!N224),"min", MIN(Instances!N224:Instances!N224),"max", MAX(Instances!N224:Instances!N224),"diff", MAX(Instances!N224:Instances!N224)-MIN(Instances!N224:Instances!N224))</f>
        <v>0</v>
      </c>
      <c r="O224" s="1" cm="1">
        <f t="array" ref="O224">_xlfn.SWITCH($A$2,"average", AVERAGE(Instances!O224:Instances!O224),"median", MEDIAN(Instances!O224:Instances!O224),"min", MIN(Instances!O224:Instances!O224),"max", MAX(Instances!O224:Instances!O224),"diff", MAX(Instances!O224:Instances!O224)-MIN(Instances!O224:Instances!O224))</f>
        <v>0</v>
      </c>
      <c r="P224" s="1" cm="1">
        <f t="array" ref="P224">_xlfn.SWITCH($A$2,"average", AVERAGE(Instances!P224:Instances!P224),"median", MEDIAN(Instances!P224:Instances!P224),"min", MIN(Instances!P224:Instances!P224),"max", MAX(Instances!P224:Instances!P224),"diff", MAX(Instances!P224:Instances!P224)-MIN(Instances!P224:Instances!P224))</f>
        <v>0</v>
      </c>
      <c r="Q224" s="1" cm="1">
        <f t="array" ref="Q224">_xlfn.SWITCH($A$2,"average", AVERAGE(Instances!Q224:Instances!Q224),"median", MEDIAN(Instances!Q224:Instances!Q224),"min", MIN(Instances!Q224:Instances!Q224),"max", MAX(Instances!Q224:Instances!Q224),"diff", MAX(Instances!Q224:Instances!Q224)-MIN(Instances!Q224:Instances!Q224))</f>
        <v>0</v>
      </c>
      <c r="R224" s="1">
        <f>MIN($B224,$D224,$F224,$H224,$J224,$L224,$N224,$P224)</f>
        <v>0</v>
      </c>
      <c r="S224" s="1">
        <f>MIN($C224,$E224,$G224,$I224,$K224,$M224,$O224,$Q224)</f>
        <v>0</v>
      </c>
      <c r="T224" s="1">
        <f>MEDIAN($B224,$D224,$F224,$H224,$J224,$L224,$N224,$P224)</f>
        <v>0</v>
      </c>
      <c r="U224" s="1">
        <f>MEDIAN($C224,$E224,$G224,$I224,$K224,$M224,$O224,$Q224)</f>
        <v>0</v>
      </c>
      <c r="V224" s="1">
        <f>MAX($B224,$D224,$F224,$H224,$J224,$L224,$N224,$P224)</f>
        <v>0</v>
      </c>
      <c r="W224" s="1">
        <f>MAX($C224,$E224,$G224,$I224,$K224,$M224,$O224,$Q224)</f>
        <v>0</v>
      </c>
    </row>
    <row r="225" spans="1:23">
      <c r="A225" s="1" t="s">
        <v>222</v>
      </c>
      <c r="B225" s="1"/>
      <c r="C225" s="1"/>
      <c r="D225" s="1" cm="1">
        <f t="array" ref="D225">_xlfn.SWITCH($A$2,"average", AVERAGE(Instances!D225:Instances!D225),"median", MEDIAN(Instances!D225:Instances!D225),"min", MIN(Instances!D225:Instances!D225),"max", MAX(Instances!D225:Instances!D225),"diff", MAX(Instances!D225:Instances!D225)-MIN(Instances!D225:Instances!D225))</f>
        <v>0</v>
      </c>
      <c r="E225" s="1" cm="1">
        <f t="array" ref="E225">_xlfn.SWITCH($A$2,"average", AVERAGE(Instances!E225:Instances!E225),"median", MEDIAN(Instances!E225:Instances!E225),"min", MIN(Instances!E225:Instances!E225),"max", MAX(Instances!E225:Instances!E225),"diff", MAX(Instances!E225:Instances!E225)-MIN(Instances!E225:Instances!E225))</f>
        <v>0</v>
      </c>
      <c r="F225" s="1" cm="1">
        <f t="array" ref="F225">_xlfn.SWITCH($A$2,"average", AVERAGE(Instances!F225:Instances!F225),"median", MEDIAN(Instances!F225:Instances!F225),"min", MIN(Instances!F225:Instances!F225),"max", MAX(Instances!F225:Instances!F225),"diff", MAX(Instances!F225:Instances!F225)-MIN(Instances!F225:Instances!F225))</f>
        <v>0</v>
      </c>
      <c r="G225" s="1" cm="1">
        <f t="array" ref="G225">_xlfn.SWITCH($A$2,"average", AVERAGE(Instances!G225:Instances!G225),"median", MEDIAN(Instances!G225:Instances!G225),"min", MIN(Instances!G225:Instances!G225),"max", MAX(Instances!G225:Instances!G225),"diff", MAX(Instances!G225:Instances!G225)-MIN(Instances!G225:Instances!G225))</f>
        <v>0</v>
      </c>
      <c r="H225" s="1"/>
      <c r="I225" s="1"/>
      <c r="J225" s="1" cm="1">
        <f t="array" ref="J225">_xlfn.SWITCH($A$2,"average", AVERAGE(Instances!J225:Instances!J225),"median", MEDIAN(Instances!J225:Instances!J225),"min", MIN(Instances!J225:Instances!J225),"max", MAX(Instances!J225:Instances!J225),"diff", MAX(Instances!J225:Instances!J225)-MIN(Instances!J225:Instances!J225))</f>
        <v>0</v>
      </c>
      <c r="K225" s="1" cm="1">
        <f t="array" ref="K225">_xlfn.SWITCH($A$2,"average", AVERAGE(Instances!K225:Instances!K225),"median", MEDIAN(Instances!K225:Instances!K225),"min", MIN(Instances!K225:Instances!K225),"max", MAX(Instances!K225:Instances!K225),"diff", MAX(Instances!K225:Instances!K225)-MIN(Instances!K225:Instances!K225))</f>
        <v>0</v>
      </c>
      <c r="L225" s="1" cm="1">
        <f t="array" ref="L225">_xlfn.SWITCH($A$2,"average", AVERAGE(Instances!L225:Instances!L225),"median", MEDIAN(Instances!L225:Instances!L225),"min", MIN(Instances!L225:Instances!L225),"max", MAX(Instances!L225:Instances!L225),"diff", MAX(Instances!L225:Instances!L225)-MIN(Instances!L225:Instances!L225))</f>
        <v>0</v>
      </c>
      <c r="M225" s="1" cm="1">
        <f t="array" ref="M225">_xlfn.SWITCH($A$2,"average", AVERAGE(Instances!M225:Instances!M225),"median", MEDIAN(Instances!M225:Instances!M225),"min", MIN(Instances!M225:Instances!M225),"max", MAX(Instances!M225:Instances!M225),"diff", MAX(Instances!M225:Instances!M225)-MIN(Instances!M225:Instances!M225))</f>
        <v>0</v>
      </c>
      <c r="N225" s="1" cm="1">
        <f t="array" ref="N225">_xlfn.SWITCH($A$2,"average", AVERAGE(Instances!N225:Instances!N225),"median", MEDIAN(Instances!N225:Instances!N225),"min", MIN(Instances!N225:Instances!N225),"max", MAX(Instances!N225:Instances!N225),"diff", MAX(Instances!N225:Instances!N225)-MIN(Instances!N225:Instances!N225))</f>
        <v>0</v>
      </c>
      <c r="O225" s="1" cm="1">
        <f t="array" ref="O225">_xlfn.SWITCH($A$2,"average", AVERAGE(Instances!O225:Instances!O225),"median", MEDIAN(Instances!O225:Instances!O225),"min", MIN(Instances!O225:Instances!O225),"max", MAX(Instances!O225:Instances!O225),"diff", MAX(Instances!O225:Instances!O225)-MIN(Instances!O225:Instances!O225))</f>
        <v>0</v>
      </c>
      <c r="P225" s="1" cm="1">
        <f t="array" ref="P225">_xlfn.SWITCH($A$2,"average", AVERAGE(Instances!P225:Instances!P225),"median", MEDIAN(Instances!P225:Instances!P225),"min", MIN(Instances!P225:Instances!P225),"max", MAX(Instances!P225:Instances!P225),"diff", MAX(Instances!P225:Instances!P225)-MIN(Instances!P225:Instances!P225))</f>
        <v>0</v>
      </c>
      <c r="Q225" s="1" cm="1">
        <f t="array" ref="Q225">_xlfn.SWITCH($A$2,"average", AVERAGE(Instances!Q225:Instances!Q225),"median", MEDIAN(Instances!Q225:Instances!Q225),"min", MIN(Instances!Q225:Instances!Q225),"max", MAX(Instances!Q225:Instances!Q225),"diff", MAX(Instances!Q225:Instances!Q225)-MIN(Instances!Q225:Instances!Q225))</f>
        <v>0</v>
      </c>
      <c r="R225" s="1">
        <f>MIN($B225,$D225,$F225,$H225,$J225,$L225,$N225,$P225)</f>
        <v>0</v>
      </c>
      <c r="S225" s="1">
        <f>MIN($C225,$E225,$G225,$I225,$K225,$M225,$O225,$Q225)</f>
        <v>0</v>
      </c>
      <c r="T225" s="1">
        <f>MEDIAN($B225,$D225,$F225,$H225,$J225,$L225,$N225,$P225)</f>
        <v>0</v>
      </c>
      <c r="U225" s="1">
        <f>MEDIAN($C225,$E225,$G225,$I225,$K225,$M225,$O225,$Q225)</f>
        <v>0</v>
      </c>
      <c r="V225" s="1">
        <f>MAX($B225,$D225,$F225,$H225,$J225,$L225,$N225,$P225)</f>
        <v>0</v>
      </c>
      <c r="W225" s="1">
        <f>MAX($C225,$E225,$G225,$I225,$K225,$M225,$O225,$Q225)</f>
        <v>0</v>
      </c>
    </row>
    <row r="226" spans="1:23">
      <c r="A226" s="1" t="s">
        <v>223</v>
      </c>
      <c r="B226" s="1"/>
      <c r="C226" s="1"/>
      <c r="D226" s="1" cm="1">
        <f t="array" ref="D226">_xlfn.SWITCH($A$2,"average", AVERAGE(Instances!D226:Instances!D226),"median", MEDIAN(Instances!D226:Instances!D226),"min", MIN(Instances!D226:Instances!D226),"max", MAX(Instances!D226:Instances!D226),"diff", MAX(Instances!D226:Instances!D226)-MIN(Instances!D226:Instances!D226))</f>
        <v>0</v>
      </c>
      <c r="E226" s="1" cm="1">
        <f t="array" ref="E226">_xlfn.SWITCH($A$2,"average", AVERAGE(Instances!E226:Instances!E226),"median", MEDIAN(Instances!E226:Instances!E226),"min", MIN(Instances!E226:Instances!E226),"max", MAX(Instances!E226:Instances!E226),"diff", MAX(Instances!E226:Instances!E226)-MIN(Instances!E226:Instances!E226))</f>
        <v>0</v>
      </c>
      <c r="F226" s="1" cm="1">
        <f t="array" ref="F226">_xlfn.SWITCH($A$2,"average", AVERAGE(Instances!F226:Instances!F226),"median", MEDIAN(Instances!F226:Instances!F226),"min", MIN(Instances!F226:Instances!F226),"max", MAX(Instances!F226:Instances!F226),"diff", MAX(Instances!F226:Instances!F226)-MIN(Instances!F226:Instances!F226))</f>
        <v>0</v>
      </c>
      <c r="G226" s="1" cm="1">
        <f t="array" ref="G226">_xlfn.SWITCH($A$2,"average", AVERAGE(Instances!G226:Instances!G226),"median", MEDIAN(Instances!G226:Instances!G226),"min", MIN(Instances!G226:Instances!G226),"max", MAX(Instances!G226:Instances!G226),"diff", MAX(Instances!G226:Instances!G226)-MIN(Instances!G226:Instances!G226))</f>
        <v>0</v>
      </c>
      <c r="H226" s="1"/>
      <c r="I226" s="1"/>
      <c r="J226" s="1" cm="1">
        <f t="array" ref="J226">_xlfn.SWITCH($A$2,"average", AVERAGE(Instances!J226:Instances!J226),"median", MEDIAN(Instances!J226:Instances!J226),"min", MIN(Instances!J226:Instances!J226),"max", MAX(Instances!J226:Instances!J226),"diff", MAX(Instances!J226:Instances!J226)-MIN(Instances!J226:Instances!J226))</f>
        <v>0</v>
      </c>
      <c r="K226" s="1" cm="1">
        <f t="array" ref="K226">_xlfn.SWITCH($A$2,"average", AVERAGE(Instances!K226:Instances!K226),"median", MEDIAN(Instances!K226:Instances!K226),"min", MIN(Instances!K226:Instances!K226),"max", MAX(Instances!K226:Instances!K226),"diff", MAX(Instances!K226:Instances!K226)-MIN(Instances!K226:Instances!K226))</f>
        <v>0</v>
      </c>
      <c r="L226" s="1" cm="1">
        <f t="array" ref="L226">_xlfn.SWITCH($A$2,"average", AVERAGE(Instances!L226:Instances!L226),"median", MEDIAN(Instances!L226:Instances!L226),"min", MIN(Instances!L226:Instances!L226),"max", MAX(Instances!L226:Instances!L226),"diff", MAX(Instances!L226:Instances!L226)-MIN(Instances!L226:Instances!L226))</f>
        <v>0</v>
      </c>
      <c r="M226" s="1" cm="1">
        <f t="array" ref="M226">_xlfn.SWITCH($A$2,"average", AVERAGE(Instances!M226:Instances!M226),"median", MEDIAN(Instances!M226:Instances!M226),"min", MIN(Instances!M226:Instances!M226),"max", MAX(Instances!M226:Instances!M226),"diff", MAX(Instances!M226:Instances!M226)-MIN(Instances!M226:Instances!M226))</f>
        <v>0</v>
      </c>
      <c r="N226" s="1" cm="1">
        <f t="array" ref="N226">_xlfn.SWITCH($A$2,"average", AVERAGE(Instances!N226:Instances!N226),"median", MEDIAN(Instances!N226:Instances!N226),"min", MIN(Instances!N226:Instances!N226),"max", MAX(Instances!N226:Instances!N226),"diff", MAX(Instances!N226:Instances!N226)-MIN(Instances!N226:Instances!N226))</f>
        <v>0</v>
      </c>
      <c r="O226" s="1" cm="1">
        <f t="array" ref="O226">_xlfn.SWITCH($A$2,"average", AVERAGE(Instances!O226:Instances!O226),"median", MEDIAN(Instances!O226:Instances!O226),"min", MIN(Instances!O226:Instances!O226),"max", MAX(Instances!O226:Instances!O226),"diff", MAX(Instances!O226:Instances!O226)-MIN(Instances!O226:Instances!O226))</f>
        <v>0</v>
      </c>
      <c r="P226" s="1" cm="1">
        <f t="array" ref="P226">_xlfn.SWITCH($A$2,"average", AVERAGE(Instances!P226:Instances!P226),"median", MEDIAN(Instances!P226:Instances!P226),"min", MIN(Instances!P226:Instances!P226),"max", MAX(Instances!P226:Instances!P226),"diff", MAX(Instances!P226:Instances!P226)-MIN(Instances!P226:Instances!P226))</f>
        <v>0</v>
      </c>
      <c r="Q226" s="1" cm="1">
        <f t="array" ref="Q226">_xlfn.SWITCH($A$2,"average", AVERAGE(Instances!Q226:Instances!Q226),"median", MEDIAN(Instances!Q226:Instances!Q226),"min", MIN(Instances!Q226:Instances!Q226),"max", MAX(Instances!Q226:Instances!Q226),"diff", MAX(Instances!Q226:Instances!Q226)-MIN(Instances!Q226:Instances!Q226))</f>
        <v>0</v>
      </c>
      <c r="R226" s="1">
        <f>MIN($B226,$D226,$F226,$H226,$J226,$L226,$N226,$P226)</f>
        <v>0</v>
      </c>
      <c r="S226" s="1">
        <f>MIN($C226,$E226,$G226,$I226,$K226,$M226,$O226,$Q226)</f>
        <v>0</v>
      </c>
      <c r="T226" s="1">
        <f>MEDIAN($B226,$D226,$F226,$H226,$J226,$L226,$N226,$P226)</f>
        <v>0</v>
      </c>
      <c r="U226" s="1">
        <f>MEDIAN($C226,$E226,$G226,$I226,$K226,$M226,$O226,$Q226)</f>
        <v>0</v>
      </c>
      <c r="V226" s="1">
        <f>MAX($B226,$D226,$F226,$H226,$J226,$L226,$N226,$P226)</f>
        <v>0</v>
      </c>
      <c r="W226" s="1">
        <f>MAX($C226,$E226,$G226,$I226,$K226,$M226,$O226,$Q226)</f>
        <v>0</v>
      </c>
    </row>
    <row r="227" spans="1:23">
      <c r="A227" s="1" t="s">
        <v>224</v>
      </c>
      <c r="B227" s="1"/>
      <c r="C227" s="1"/>
      <c r="D227" s="1" cm="1">
        <f t="array" ref="D227">_xlfn.SWITCH($A$2,"average", AVERAGE(Instances!D227:Instances!D227),"median", MEDIAN(Instances!D227:Instances!D227),"min", MIN(Instances!D227:Instances!D227),"max", MAX(Instances!D227:Instances!D227),"diff", MAX(Instances!D227:Instances!D227)-MIN(Instances!D227:Instances!D227))</f>
        <v>0</v>
      </c>
      <c r="E227" s="1" cm="1">
        <f t="array" ref="E227">_xlfn.SWITCH($A$2,"average", AVERAGE(Instances!E227:Instances!E227),"median", MEDIAN(Instances!E227:Instances!E227),"min", MIN(Instances!E227:Instances!E227),"max", MAX(Instances!E227:Instances!E227),"diff", MAX(Instances!E227:Instances!E227)-MIN(Instances!E227:Instances!E227))</f>
        <v>0</v>
      </c>
      <c r="F227" s="1" cm="1">
        <f t="array" ref="F227">_xlfn.SWITCH($A$2,"average", AVERAGE(Instances!F227:Instances!F227),"median", MEDIAN(Instances!F227:Instances!F227),"min", MIN(Instances!F227:Instances!F227),"max", MAX(Instances!F227:Instances!F227),"diff", MAX(Instances!F227:Instances!F227)-MIN(Instances!F227:Instances!F227))</f>
        <v>0</v>
      </c>
      <c r="G227" s="1" cm="1">
        <f t="array" ref="G227">_xlfn.SWITCH($A$2,"average", AVERAGE(Instances!G227:Instances!G227),"median", MEDIAN(Instances!G227:Instances!G227),"min", MIN(Instances!G227:Instances!G227),"max", MAX(Instances!G227:Instances!G227),"diff", MAX(Instances!G227:Instances!G227)-MIN(Instances!G227:Instances!G227))</f>
        <v>0</v>
      </c>
      <c r="H227" s="1"/>
      <c r="I227" s="1"/>
      <c r="J227" s="1" cm="1">
        <f t="array" ref="J227">_xlfn.SWITCH($A$2,"average", AVERAGE(Instances!J227:Instances!J227),"median", MEDIAN(Instances!J227:Instances!J227),"min", MIN(Instances!J227:Instances!J227),"max", MAX(Instances!J227:Instances!J227),"diff", MAX(Instances!J227:Instances!J227)-MIN(Instances!J227:Instances!J227))</f>
        <v>0</v>
      </c>
      <c r="K227" s="1" cm="1">
        <f t="array" ref="K227">_xlfn.SWITCH($A$2,"average", AVERAGE(Instances!K227:Instances!K227),"median", MEDIAN(Instances!K227:Instances!K227),"min", MIN(Instances!K227:Instances!K227),"max", MAX(Instances!K227:Instances!K227),"diff", MAX(Instances!K227:Instances!K227)-MIN(Instances!K227:Instances!K227))</f>
        <v>0</v>
      </c>
      <c r="L227" s="1" cm="1">
        <f t="array" ref="L227">_xlfn.SWITCH($A$2,"average", AVERAGE(Instances!L227:Instances!L227),"median", MEDIAN(Instances!L227:Instances!L227),"min", MIN(Instances!L227:Instances!L227),"max", MAX(Instances!L227:Instances!L227),"diff", MAX(Instances!L227:Instances!L227)-MIN(Instances!L227:Instances!L227))</f>
        <v>0</v>
      </c>
      <c r="M227" s="1" cm="1">
        <f t="array" ref="M227">_xlfn.SWITCH($A$2,"average", AVERAGE(Instances!M227:Instances!M227),"median", MEDIAN(Instances!M227:Instances!M227),"min", MIN(Instances!M227:Instances!M227),"max", MAX(Instances!M227:Instances!M227),"diff", MAX(Instances!M227:Instances!M227)-MIN(Instances!M227:Instances!M227))</f>
        <v>0</v>
      </c>
      <c r="N227" s="1" cm="1">
        <f t="array" ref="N227">_xlfn.SWITCH($A$2,"average", AVERAGE(Instances!N227:Instances!N227),"median", MEDIAN(Instances!N227:Instances!N227),"min", MIN(Instances!N227:Instances!N227),"max", MAX(Instances!N227:Instances!N227),"diff", MAX(Instances!N227:Instances!N227)-MIN(Instances!N227:Instances!N227))</f>
        <v>0</v>
      </c>
      <c r="O227" s="1" cm="1">
        <f t="array" ref="O227">_xlfn.SWITCH($A$2,"average", AVERAGE(Instances!O227:Instances!O227),"median", MEDIAN(Instances!O227:Instances!O227),"min", MIN(Instances!O227:Instances!O227),"max", MAX(Instances!O227:Instances!O227),"diff", MAX(Instances!O227:Instances!O227)-MIN(Instances!O227:Instances!O227))</f>
        <v>0</v>
      </c>
      <c r="P227" s="1" cm="1">
        <f t="array" ref="P227">_xlfn.SWITCH($A$2,"average", AVERAGE(Instances!P227:Instances!P227),"median", MEDIAN(Instances!P227:Instances!P227),"min", MIN(Instances!P227:Instances!P227),"max", MAX(Instances!P227:Instances!P227),"diff", MAX(Instances!P227:Instances!P227)-MIN(Instances!P227:Instances!P227))</f>
        <v>0</v>
      </c>
      <c r="Q227" s="1" cm="1">
        <f t="array" ref="Q227">_xlfn.SWITCH($A$2,"average", AVERAGE(Instances!Q227:Instances!Q227),"median", MEDIAN(Instances!Q227:Instances!Q227),"min", MIN(Instances!Q227:Instances!Q227),"max", MAX(Instances!Q227:Instances!Q227),"diff", MAX(Instances!Q227:Instances!Q227)-MIN(Instances!Q227:Instances!Q227))</f>
        <v>0</v>
      </c>
      <c r="R227" s="1">
        <f>MIN($B227,$D227,$F227,$H227,$J227,$L227,$N227,$P227)</f>
        <v>0</v>
      </c>
      <c r="S227" s="1">
        <f>MIN($C227,$E227,$G227,$I227,$K227,$M227,$O227,$Q227)</f>
        <v>0</v>
      </c>
      <c r="T227" s="1">
        <f>MEDIAN($B227,$D227,$F227,$H227,$J227,$L227,$N227,$P227)</f>
        <v>0</v>
      </c>
      <c r="U227" s="1">
        <f>MEDIAN($C227,$E227,$G227,$I227,$K227,$M227,$O227,$Q227)</f>
        <v>0</v>
      </c>
      <c r="V227" s="1">
        <f>MAX($B227,$D227,$F227,$H227,$J227,$L227,$N227,$P227)</f>
        <v>0</v>
      </c>
      <c r="W227" s="1">
        <f>MAX($C227,$E227,$G227,$I227,$K227,$M227,$O227,$Q227)</f>
        <v>0</v>
      </c>
    </row>
    <row r="228" spans="1:23">
      <c r="A228" s="1" t="s">
        <v>225</v>
      </c>
      <c r="B228" s="1"/>
      <c r="C228" s="1"/>
      <c r="D228" s="1" cm="1">
        <f t="array" ref="D228">_xlfn.SWITCH($A$2,"average", AVERAGE(Instances!D228:Instances!D228),"median", MEDIAN(Instances!D228:Instances!D228),"min", MIN(Instances!D228:Instances!D228),"max", MAX(Instances!D228:Instances!D228),"diff", MAX(Instances!D228:Instances!D228)-MIN(Instances!D228:Instances!D228))</f>
        <v>0</v>
      </c>
      <c r="E228" s="1" cm="1">
        <f t="array" ref="E228">_xlfn.SWITCH($A$2,"average", AVERAGE(Instances!E228:Instances!E228),"median", MEDIAN(Instances!E228:Instances!E228),"min", MIN(Instances!E228:Instances!E228),"max", MAX(Instances!E228:Instances!E228),"diff", MAX(Instances!E228:Instances!E228)-MIN(Instances!E228:Instances!E228))</f>
        <v>0</v>
      </c>
      <c r="F228" s="1" cm="1">
        <f t="array" ref="F228">_xlfn.SWITCH($A$2,"average", AVERAGE(Instances!F228:Instances!F228),"median", MEDIAN(Instances!F228:Instances!F228),"min", MIN(Instances!F228:Instances!F228),"max", MAX(Instances!F228:Instances!F228),"diff", MAX(Instances!F228:Instances!F228)-MIN(Instances!F228:Instances!F228))</f>
        <v>0</v>
      </c>
      <c r="G228" s="1" cm="1">
        <f t="array" ref="G228">_xlfn.SWITCH($A$2,"average", AVERAGE(Instances!G228:Instances!G228),"median", MEDIAN(Instances!G228:Instances!G228),"min", MIN(Instances!G228:Instances!G228),"max", MAX(Instances!G228:Instances!G228),"diff", MAX(Instances!G228:Instances!G228)-MIN(Instances!G228:Instances!G228))</f>
        <v>0</v>
      </c>
      <c r="H228" s="1"/>
      <c r="I228" s="1"/>
      <c r="J228" s="1" cm="1">
        <f t="array" ref="J228">_xlfn.SWITCH($A$2,"average", AVERAGE(Instances!J228:Instances!J228),"median", MEDIAN(Instances!J228:Instances!J228),"min", MIN(Instances!J228:Instances!J228),"max", MAX(Instances!J228:Instances!J228),"diff", MAX(Instances!J228:Instances!J228)-MIN(Instances!J228:Instances!J228))</f>
        <v>0</v>
      </c>
      <c r="K228" s="1" cm="1">
        <f t="array" ref="K228">_xlfn.SWITCH($A$2,"average", AVERAGE(Instances!K228:Instances!K228),"median", MEDIAN(Instances!K228:Instances!K228),"min", MIN(Instances!K228:Instances!K228),"max", MAX(Instances!K228:Instances!K228),"diff", MAX(Instances!K228:Instances!K228)-MIN(Instances!K228:Instances!K228))</f>
        <v>0</v>
      </c>
      <c r="L228" s="1" cm="1">
        <f t="array" ref="L228">_xlfn.SWITCH($A$2,"average", AVERAGE(Instances!L228:Instances!L228),"median", MEDIAN(Instances!L228:Instances!L228),"min", MIN(Instances!L228:Instances!L228),"max", MAX(Instances!L228:Instances!L228),"diff", MAX(Instances!L228:Instances!L228)-MIN(Instances!L228:Instances!L228))</f>
        <v>0</v>
      </c>
      <c r="M228" s="1" cm="1">
        <f t="array" ref="M228">_xlfn.SWITCH($A$2,"average", AVERAGE(Instances!M228:Instances!M228),"median", MEDIAN(Instances!M228:Instances!M228),"min", MIN(Instances!M228:Instances!M228),"max", MAX(Instances!M228:Instances!M228),"diff", MAX(Instances!M228:Instances!M228)-MIN(Instances!M228:Instances!M228))</f>
        <v>0</v>
      </c>
      <c r="N228" s="1" cm="1">
        <f t="array" ref="N228">_xlfn.SWITCH($A$2,"average", AVERAGE(Instances!N228:Instances!N228),"median", MEDIAN(Instances!N228:Instances!N228),"min", MIN(Instances!N228:Instances!N228),"max", MAX(Instances!N228:Instances!N228),"diff", MAX(Instances!N228:Instances!N228)-MIN(Instances!N228:Instances!N228))</f>
        <v>0</v>
      </c>
      <c r="O228" s="1" cm="1">
        <f t="array" ref="O228">_xlfn.SWITCH($A$2,"average", AVERAGE(Instances!O228:Instances!O228),"median", MEDIAN(Instances!O228:Instances!O228),"min", MIN(Instances!O228:Instances!O228),"max", MAX(Instances!O228:Instances!O228),"diff", MAX(Instances!O228:Instances!O228)-MIN(Instances!O228:Instances!O228))</f>
        <v>0</v>
      </c>
      <c r="P228" s="1" cm="1">
        <f t="array" ref="P228">_xlfn.SWITCH($A$2,"average", AVERAGE(Instances!P228:Instances!P228),"median", MEDIAN(Instances!P228:Instances!P228),"min", MIN(Instances!P228:Instances!P228),"max", MAX(Instances!P228:Instances!P228),"diff", MAX(Instances!P228:Instances!P228)-MIN(Instances!P228:Instances!P228))</f>
        <v>0</v>
      </c>
      <c r="Q228" s="1" cm="1">
        <f t="array" ref="Q228">_xlfn.SWITCH($A$2,"average", AVERAGE(Instances!Q228:Instances!Q228),"median", MEDIAN(Instances!Q228:Instances!Q228),"min", MIN(Instances!Q228:Instances!Q228),"max", MAX(Instances!Q228:Instances!Q228),"diff", MAX(Instances!Q228:Instances!Q228)-MIN(Instances!Q228:Instances!Q228))</f>
        <v>0</v>
      </c>
      <c r="R228" s="1">
        <f>MIN($B228,$D228,$F228,$H228,$J228,$L228,$N228,$P228)</f>
        <v>0</v>
      </c>
      <c r="S228" s="1">
        <f>MIN($C228,$E228,$G228,$I228,$K228,$M228,$O228,$Q228)</f>
        <v>0</v>
      </c>
      <c r="T228" s="1">
        <f>MEDIAN($B228,$D228,$F228,$H228,$J228,$L228,$N228,$P228)</f>
        <v>0</v>
      </c>
      <c r="U228" s="1">
        <f>MEDIAN($C228,$E228,$G228,$I228,$K228,$M228,$O228,$Q228)</f>
        <v>0</v>
      </c>
      <c r="V228" s="1">
        <f>MAX($B228,$D228,$F228,$H228,$J228,$L228,$N228,$P228)</f>
        <v>0</v>
      </c>
      <c r="W228" s="1">
        <f>MAX($C228,$E228,$G228,$I228,$K228,$M228,$O228,$Q228)</f>
        <v>0</v>
      </c>
    </row>
    <row r="229" spans="1:23">
      <c r="A229" s="1" t="s">
        <v>226</v>
      </c>
      <c r="B229" s="1"/>
      <c r="C229" s="1"/>
      <c r="D229" s="1" cm="1">
        <f t="array" ref="D229">_xlfn.SWITCH($A$2,"average", AVERAGE(Instances!D229:Instances!D229),"median", MEDIAN(Instances!D229:Instances!D229),"min", MIN(Instances!D229:Instances!D229),"max", MAX(Instances!D229:Instances!D229),"diff", MAX(Instances!D229:Instances!D229)-MIN(Instances!D229:Instances!D229))</f>
        <v>0</v>
      </c>
      <c r="E229" s="1" cm="1">
        <f t="array" ref="E229">_xlfn.SWITCH($A$2,"average", AVERAGE(Instances!E229:Instances!E229),"median", MEDIAN(Instances!E229:Instances!E229),"min", MIN(Instances!E229:Instances!E229),"max", MAX(Instances!E229:Instances!E229),"diff", MAX(Instances!E229:Instances!E229)-MIN(Instances!E229:Instances!E229))</f>
        <v>0</v>
      </c>
      <c r="F229" s="1" cm="1">
        <f t="array" ref="F229">_xlfn.SWITCH($A$2,"average", AVERAGE(Instances!F229:Instances!F229),"median", MEDIAN(Instances!F229:Instances!F229),"min", MIN(Instances!F229:Instances!F229),"max", MAX(Instances!F229:Instances!F229),"diff", MAX(Instances!F229:Instances!F229)-MIN(Instances!F229:Instances!F229))</f>
        <v>0</v>
      </c>
      <c r="G229" s="1" cm="1">
        <f t="array" ref="G229">_xlfn.SWITCH($A$2,"average", AVERAGE(Instances!G229:Instances!G229),"median", MEDIAN(Instances!G229:Instances!G229),"min", MIN(Instances!G229:Instances!G229),"max", MAX(Instances!G229:Instances!G229),"diff", MAX(Instances!G229:Instances!G229)-MIN(Instances!G229:Instances!G229))</f>
        <v>0</v>
      </c>
      <c r="H229" s="1"/>
      <c r="I229" s="1"/>
      <c r="J229" s="1" cm="1">
        <f t="array" ref="J229">_xlfn.SWITCH($A$2,"average", AVERAGE(Instances!J229:Instances!J229),"median", MEDIAN(Instances!J229:Instances!J229),"min", MIN(Instances!J229:Instances!J229),"max", MAX(Instances!J229:Instances!J229),"diff", MAX(Instances!J229:Instances!J229)-MIN(Instances!J229:Instances!J229))</f>
        <v>0</v>
      </c>
      <c r="K229" s="1" cm="1">
        <f t="array" ref="K229">_xlfn.SWITCH($A$2,"average", AVERAGE(Instances!K229:Instances!K229),"median", MEDIAN(Instances!K229:Instances!K229),"min", MIN(Instances!K229:Instances!K229),"max", MAX(Instances!K229:Instances!K229),"diff", MAX(Instances!K229:Instances!K229)-MIN(Instances!K229:Instances!K229))</f>
        <v>0</v>
      </c>
      <c r="L229" s="1" cm="1">
        <f t="array" ref="L229">_xlfn.SWITCH($A$2,"average", AVERAGE(Instances!L229:Instances!L229),"median", MEDIAN(Instances!L229:Instances!L229),"min", MIN(Instances!L229:Instances!L229),"max", MAX(Instances!L229:Instances!L229),"diff", MAX(Instances!L229:Instances!L229)-MIN(Instances!L229:Instances!L229))</f>
        <v>0</v>
      </c>
      <c r="M229" s="1" cm="1">
        <f t="array" ref="M229">_xlfn.SWITCH($A$2,"average", AVERAGE(Instances!M229:Instances!M229),"median", MEDIAN(Instances!M229:Instances!M229),"min", MIN(Instances!M229:Instances!M229),"max", MAX(Instances!M229:Instances!M229),"diff", MAX(Instances!M229:Instances!M229)-MIN(Instances!M229:Instances!M229))</f>
        <v>0</v>
      </c>
      <c r="N229" s="1" cm="1">
        <f t="array" ref="N229">_xlfn.SWITCH($A$2,"average", AVERAGE(Instances!N229:Instances!N229),"median", MEDIAN(Instances!N229:Instances!N229),"min", MIN(Instances!N229:Instances!N229),"max", MAX(Instances!N229:Instances!N229),"diff", MAX(Instances!N229:Instances!N229)-MIN(Instances!N229:Instances!N229))</f>
        <v>0</v>
      </c>
      <c r="O229" s="1" cm="1">
        <f t="array" ref="O229">_xlfn.SWITCH($A$2,"average", AVERAGE(Instances!O229:Instances!O229),"median", MEDIAN(Instances!O229:Instances!O229),"min", MIN(Instances!O229:Instances!O229),"max", MAX(Instances!O229:Instances!O229),"diff", MAX(Instances!O229:Instances!O229)-MIN(Instances!O229:Instances!O229))</f>
        <v>0</v>
      </c>
      <c r="P229" s="1" cm="1">
        <f t="array" ref="P229">_xlfn.SWITCH($A$2,"average", AVERAGE(Instances!P229:Instances!P229),"median", MEDIAN(Instances!P229:Instances!P229),"min", MIN(Instances!P229:Instances!P229),"max", MAX(Instances!P229:Instances!P229),"diff", MAX(Instances!P229:Instances!P229)-MIN(Instances!P229:Instances!P229))</f>
        <v>0</v>
      </c>
      <c r="Q229" s="1" cm="1">
        <f t="array" ref="Q229">_xlfn.SWITCH($A$2,"average", AVERAGE(Instances!Q229:Instances!Q229),"median", MEDIAN(Instances!Q229:Instances!Q229),"min", MIN(Instances!Q229:Instances!Q229),"max", MAX(Instances!Q229:Instances!Q229),"diff", MAX(Instances!Q229:Instances!Q229)-MIN(Instances!Q229:Instances!Q229))</f>
        <v>0</v>
      </c>
      <c r="R229" s="1">
        <f>MIN($B229,$D229,$F229,$H229,$J229,$L229,$N229,$P229)</f>
        <v>0</v>
      </c>
      <c r="S229" s="1">
        <f>MIN($C229,$E229,$G229,$I229,$K229,$M229,$O229,$Q229)</f>
        <v>0</v>
      </c>
      <c r="T229" s="1">
        <f>MEDIAN($B229,$D229,$F229,$H229,$J229,$L229,$N229,$P229)</f>
        <v>0</v>
      </c>
      <c r="U229" s="1">
        <f>MEDIAN($C229,$E229,$G229,$I229,$K229,$M229,$O229,$Q229)</f>
        <v>0</v>
      </c>
      <c r="V229" s="1">
        <f>MAX($B229,$D229,$F229,$H229,$J229,$L229,$N229,$P229)</f>
        <v>0</v>
      </c>
      <c r="W229" s="1">
        <f>MAX($C229,$E229,$G229,$I229,$K229,$M229,$O229,$Q229)</f>
        <v>0</v>
      </c>
    </row>
    <row r="230" spans="1:23">
      <c r="A230" s="1" t="s">
        <v>227</v>
      </c>
      <c r="B230" s="1"/>
      <c r="C230" s="1"/>
      <c r="D230" s="1" cm="1">
        <f t="array" ref="D230">_xlfn.SWITCH($A$2,"average", AVERAGE(Instances!D230:Instances!D230),"median", MEDIAN(Instances!D230:Instances!D230),"min", MIN(Instances!D230:Instances!D230),"max", MAX(Instances!D230:Instances!D230),"diff", MAX(Instances!D230:Instances!D230)-MIN(Instances!D230:Instances!D230))</f>
        <v>0</v>
      </c>
      <c r="E230" s="1" cm="1">
        <f t="array" ref="E230">_xlfn.SWITCH($A$2,"average", AVERAGE(Instances!E230:Instances!E230),"median", MEDIAN(Instances!E230:Instances!E230),"min", MIN(Instances!E230:Instances!E230),"max", MAX(Instances!E230:Instances!E230),"diff", MAX(Instances!E230:Instances!E230)-MIN(Instances!E230:Instances!E230))</f>
        <v>0</v>
      </c>
      <c r="F230" s="1" cm="1">
        <f t="array" ref="F230">_xlfn.SWITCH($A$2,"average", AVERAGE(Instances!F230:Instances!F230),"median", MEDIAN(Instances!F230:Instances!F230),"min", MIN(Instances!F230:Instances!F230),"max", MAX(Instances!F230:Instances!F230),"diff", MAX(Instances!F230:Instances!F230)-MIN(Instances!F230:Instances!F230))</f>
        <v>0</v>
      </c>
      <c r="G230" s="1" cm="1">
        <f t="array" ref="G230">_xlfn.SWITCH($A$2,"average", AVERAGE(Instances!G230:Instances!G230),"median", MEDIAN(Instances!G230:Instances!G230),"min", MIN(Instances!G230:Instances!G230),"max", MAX(Instances!G230:Instances!G230),"diff", MAX(Instances!G230:Instances!G230)-MIN(Instances!G230:Instances!G230))</f>
        <v>0</v>
      </c>
      <c r="H230" s="1"/>
      <c r="I230" s="1"/>
      <c r="J230" s="1" cm="1">
        <f t="array" ref="J230">_xlfn.SWITCH($A$2,"average", AVERAGE(Instances!J230:Instances!J230),"median", MEDIAN(Instances!J230:Instances!J230),"min", MIN(Instances!J230:Instances!J230),"max", MAX(Instances!J230:Instances!J230),"diff", MAX(Instances!J230:Instances!J230)-MIN(Instances!J230:Instances!J230))</f>
        <v>0</v>
      </c>
      <c r="K230" s="1" cm="1">
        <f t="array" ref="K230">_xlfn.SWITCH($A$2,"average", AVERAGE(Instances!K230:Instances!K230),"median", MEDIAN(Instances!K230:Instances!K230),"min", MIN(Instances!K230:Instances!K230),"max", MAX(Instances!K230:Instances!K230),"diff", MAX(Instances!K230:Instances!K230)-MIN(Instances!K230:Instances!K230))</f>
        <v>0</v>
      </c>
      <c r="L230" s="1" cm="1">
        <f t="array" ref="L230">_xlfn.SWITCH($A$2,"average", AVERAGE(Instances!L230:Instances!L230),"median", MEDIAN(Instances!L230:Instances!L230),"min", MIN(Instances!L230:Instances!L230),"max", MAX(Instances!L230:Instances!L230),"diff", MAX(Instances!L230:Instances!L230)-MIN(Instances!L230:Instances!L230))</f>
        <v>0</v>
      </c>
      <c r="M230" s="1" cm="1">
        <f t="array" ref="M230">_xlfn.SWITCH($A$2,"average", AVERAGE(Instances!M230:Instances!M230),"median", MEDIAN(Instances!M230:Instances!M230),"min", MIN(Instances!M230:Instances!M230),"max", MAX(Instances!M230:Instances!M230),"diff", MAX(Instances!M230:Instances!M230)-MIN(Instances!M230:Instances!M230))</f>
        <v>0</v>
      </c>
      <c r="N230" s="1" cm="1">
        <f t="array" ref="N230">_xlfn.SWITCH($A$2,"average", AVERAGE(Instances!N230:Instances!N230),"median", MEDIAN(Instances!N230:Instances!N230),"min", MIN(Instances!N230:Instances!N230),"max", MAX(Instances!N230:Instances!N230),"diff", MAX(Instances!N230:Instances!N230)-MIN(Instances!N230:Instances!N230))</f>
        <v>0</v>
      </c>
      <c r="O230" s="1" cm="1">
        <f t="array" ref="O230">_xlfn.SWITCH($A$2,"average", AVERAGE(Instances!O230:Instances!O230),"median", MEDIAN(Instances!O230:Instances!O230),"min", MIN(Instances!O230:Instances!O230),"max", MAX(Instances!O230:Instances!O230),"diff", MAX(Instances!O230:Instances!O230)-MIN(Instances!O230:Instances!O230))</f>
        <v>0</v>
      </c>
      <c r="P230" s="1" cm="1">
        <f t="array" ref="P230">_xlfn.SWITCH($A$2,"average", AVERAGE(Instances!P230:Instances!P230),"median", MEDIAN(Instances!P230:Instances!P230),"min", MIN(Instances!P230:Instances!P230),"max", MAX(Instances!P230:Instances!P230),"diff", MAX(Instances!P230:Instances!P230)-MIN(Instances!P230:Instances!P230))</f>
        <v>0</v>
      </c>
      <c r="Q230" s="1" cm="1">
        <f t="array" ref="Q230">_xlfn.SWITCH($A$2,"average", AVERAGE(Instances!Q230:Instances!Q230),"median", MEDIAN(Instances!Q230:Instances!Q230),"min", MIN(Instances!Q230:Instances!Q230),"max", MAX(Instances!Q230:Instances!Q230),"diff", MAX(Instances!Q230:Instances!Q230)-MIN(Instances!Q230:Instances!Q230))</f>
        <v>0</v>
      </c>
      <c r="R230" s="1">
        <f>MIN($B230,$D230,$F230,$H230,$J230,$L230,$N230,$P230)</f>
        <v>0</v>
      </c>
      <c r="S230" s="1">
        <f>MIN($C230,$E230,$G230,$I230,$K230,$M230,$O230,$Q230)</f>
        <v>0</v>
      </c>
      <c r="T230" s="1">
        <f>MEDIAN($B230,$D230,$F230,$H230,$J230,$L230,$N230,$P230)</f>
        <v>0</v>
      </c>
      <c r="U230" s="1">
        <f>MEDIAN($C230,$E230,$G230,$I230,$K230,$M230,$O230,$Q230)</f>
        <v>0</v>
      </c>
      <c r="V230" s="1">
        <f>MAX($B230,$D230,$F230,$H230,$J230,$L230,$N230,$P230)</f>
        <v>0</v>
      </c>
      <c r="W230" s="1">
        <f>MAX($C230,$E230,$G230,$I230,$K230,$M230,$O230,$Q230)</f>
        <v>0</v>
      </c>
    </row>
    <row r="231" spans="1:23">
      <c r="A231" s="1" t="s">
        <v>228</v>
      </c>
      <c r="B231" s="1"/>
      <c r="C231" s="1"/>
      <c r="D231" s="1" cm="1">
        <f t="array" ref="D231">_xlfn.SWITCH($A$2,"average", AVERAGE(Instances!D231:Instances!D231),"median", MEDIAN(Instances!D231:Instances!D231),"min", MIN(Instances!D231:Instances!D231),"max", MAX(Instances!D231:Instances!D231),"diff", MAX(Instances!D231:Instances!D231)-MIN(Instances!D231:Instances!D231))</f>
        <v>0</v>
      </c>
      <c r="E231" s="1" cm="1">
        <f t="array" ref="E231">_xlfn.SWITCH($A$2,"average", AVERAGE(Instances!E231:Instances!E231),"median", MEDIAN(Instances!E231:Instances!E231),"min", MIN(Instances!E231:Instances!E231),"max", MAX(Instances!E231:Instances!E231),"diff", MAX(Instances!E231:Instances!E231)-MIN(Instances!E231:Instances!E231))</f>
        <v>0</v>
      </c>
      <c r="F231" s="1" cm="1">
        <f t="array" ref="F231">_xlfn.SWITCH($A$2,"average", AVERAGE(Instances!F231:Instances!F231),"median", MEDIAN(Instances!F231:Instances!F231),"min", MIN(Instances!F231:Instances!F231),"max", MAX(Instances!F231:Instances!F231),"diff", MAX(Instances!F231:Instances!F231)-MIN(Instances!F231:Instances!F231))</f>
        <v>0</v>
      </c>
      <c r="G231" s="1" cm="1">
        <f t="array" ref="G231">_xlfn.SWITCH($A$2,"average", AVERAGE(Instances!G231:Instances!G231),"median", MEDIAN(Instances!G231:Instances!G231),"min", MIN(Instances!G231:Instances!G231),"max", MAX(Instances!G231:Instances!G231),"diff", MAX(Instances!G231:Instances!G231)-MIN(Instances!G231:Instances!G231))</f>
        <v>0</v>
      </c>
      <c r="H231" s="1"/>
      <c r="I231" s="1"/>
      <c r="J231" s="1" cm="1">
        <f t="array" ref="J231">_xlfn.SWITCH($A$2,"average", AVERAGE(Instances!J231:Instances!J231),"median", MEDIAN(Instances!J231:Instances!J231),"min", MIN(Instances!J231:Instances!J231),"max", MAX(Instances!J231:Instances!J231),"diff", MAX(Instances!J231:Instances!J231)-MIN(Instances!J231:Instances!J231))</f>
        <v>0</v>
      </c>
      <c r="K231" s="1" cm="1">
        <f t="array" ref="K231">_xlfn.SWITCH($A$2,"average", AVERAGE(Instances!K231:Instances!K231),"median", MEDIAN(Instances!K231:Instances!K231),"min", MIN(Instances!K231:Instances!K231),"max", MAX(Instances!K231:Instances!K231),"diff", MAX(Instances!K231:Instances!K231)-MIN(Instances!K231:Instances!K231))</f>
        <v>0</v>
      </c>
      <c r="L231" s="1" cm="1">
        <f t="array" ref="L231">_xlfn.SWITCH($A$2,"average", AVERAGE(Instances!L231:Instances!L231),"median", MEDIAN(Instances!L231:Instances!L231),"min", MIN(Instances!L231:Instances!L231),"max", MAX(Instances!L231:Instances!L231),"diff", MAX(Instances!L231:Instances!L231)-MIN(Instances!L231:Instances!L231))</f>
        <v>0</v>
      </c>
      <c r="M231" s="1" cm="1">
        <f t="array" ref="M231">_xlfn.SWITCH($A$2,"average", AVERAGE(Instances!M231:Instances!M231),"median", MEDIAN(Instances!M231:Instances!M231),"min", MIN(Instances!M231:Instances!M231),"max", MAX(Instances!M231:Instances!M231),"diff", MAX(Instances!M231:Instances!M231)-MIN(Instances!M231:Instances!M231))</f>
        <v>0</v>
      </c>
      <c r="N231" s="1" cm="1">
        <f t="array" ref="N231">_xlfn.SWITCH($A$2,"average", AVERAGE(Instances!N231:Instances!N231),"median", MEDIAN(Instances!N231:Instances!N231),"min", MIN(Instances!N231:Instances!N231),"max", MAX(Instances!N231:Instances!N231),"diff", MAX(Instances!N231:Instances!N231)-MIN(Instances!N231:Instances!N231))</f>
        <v>0</v>
      </c>
      <c r="O231" s="1" cm="1">
        <f t="array" ref="O231">_xlfn.SWITCH($A$2,"average", AVERAGE(Instances!O231:Instances!O231),"median", MEDIAN(Instances!O231:Instances!O231),"min", MIN(Instances!O231:Instances!O231),"max", MAX(Instances!O231:Instances!O231),"diff", MAX(Instances!O231:Instances!O231)-MIN(Instances!O231:Instances!O231))</f>
        <v>0</v>
      </c>
      <c r="P231" s="1" cm="1">
        <f t="array" ref="P231">_xlfn.SWITCH($A$2,"average", AVERAGE(Instances!P231:Instances!P231),"median", MEDIAN(Instances!P231:Instances!P231),"min", MIN(Instances!P231:Instances!P231),"max", MAX(Instances!P231:Instances!P231),"diff", MAX(Instances!P231:Instances!P231)-MIN(Instances!P231:Instances!P231))</f>
        <v>0</v>
      </c>
      <c r="Q231" s="1" cm="1">
        <f t="array" ref="Q231">_xlfn.SWITCH($A$2,"average", AVERAGE(Instances!Q231:Instances!Q231),"median", MEDIAN(Instances!Q231:Instances!Q231),"min", MIN(Instances!Q231:Instances!Q231),"max", MAX(Instances!Q231:Instances!Q231),"diff", MAX(Instances!Q231:Instances!Q231)-MIN(Instances!Q231:Instances!Q231))</f>
        <v>0</v>
      </c>
      <c r="R231" s="1">
        <f>MIN($B231,$D231,$F231,$H231,$J231,$L231,$N231,$P231)</f>
        <v>0</v>
      </c>
      <c r="S231" s="1">
        <f>MIN($C231,$E231,$G231,$I231,$K231,$M231,$O231,$Q231)</f>
        <v>0</v>
      </c>
      <c r="T231" s="1">
        <f>MEDIAN($B231,$D231,$F231,$H231,$J231,$L231,$N231,$P231)</f>
        <v>0</v>
      </c>
      <c r="U231" s="1">
        <f>MEDIAN($C231,$E231,$G231,$I231,$K231,$M231,$O231,$Q231)</f>
        <v>0</v>
      </c>
      <c r="V231" s="1">
        <f>MAX($B231,$D231,$F231,$H231,$J231,$L231,$N231,$P231)</f>
        <v>0</v>
      </c>
      <c r="W231" s="1">
        <f>MAX($C231,$E231,$G231,$I231,$K231,$M231,$O231,$Q231)</f>
        <v>0</v>
      </c>
    </row>
    <row r="232" spans="1:23">
      <c r="A232" s="1" t="s">
        <v>229</v>
      </c>
      <c r="B232" s="1"/>
      <c r="C232" s="1"/>
      <c r="D232" s="1" cm="1">
        <f t="array" ref="D232">_xlfn.SWITCH($A$2,"average", AVERAGE(Instances!D232:Instances!D232),"median", MEDIAN(Instances!D232:Instances!D232),"min", MIN(Instances!D232:Instances!D232),"max", MAX(Instances!D232:Instances!D232),"diff", MAX(Instances!D232:Instances!D232)-MIN(Instances!D232:Instances!D232))</f>
        <v>0</v>
      </c>
      <c r="E232" s="1" cm="1">
        <f t="array" ref="E232">_xlfn.SWITCH($A$2,"average", AVERAGE(Instances!E232:Instances!E232),"median", MEDIAN(Instances!E232:Instances!E232),"min", MIN(Instances!E232:Instances!E232),"max", MAX(Instances!E232:Instances!E232),"diff", MAX(Instances!E232:Instances!E232)-MIN(Instances!E232:Instances!E232))</f>
        <v>0</v>
      </c>
      <c r="F232" s="1" cm="1">
        <f t="array" ref="F232">_xlfn.SWITCH($A$2,"average", AVERAGE(Instances!F232:Instances!F232),"median", MEDIAN(Instances!F232:Instances!F232),"min", MIN(Instances!F232:Instances!F232),"max", MAX(Instances!F232:Instances!F232),"diff", MAX(Instances!F232:Instances!F232)-MIN(Instances!F232:Instances!F232))</f>
        <v>0</v>
      </c>
      <c r="G232" s="1" cm="1">
        <f t="array" ref="G232">_xlfn.SWITCH($A$2,"average", AVERAGE(Instances!G232:Instances!G232),"median", MEDIAN(Instances!G232:Instances!G232),"min", MIN(Instances!G232:Instances!G232),"max", MAX(Instances!G232:Instances!G232),"diff", MAX(Instances!G232:Instances!G232)-MIN(Instances!G232:Instances!G232))</f>
        <v>0</v>
      </c>
      <c r="H232" s="1"/>
      <c r="I232" s="1"/>
      <c r="J232" s="1" cm="1">
        <f t="array" ref="J232">_xlfn.SWITCH($A$2,"average", AVERAGE(Instances!J232:Instances!J232),"median", MEDIAN(Instances!J232:Instances!J232),"min", MIN(Instances!J232:Instances!J232),"max", MAX(Instances!J232:Instances!J232),"diff", MAX(Instances!J232:Instances!J232)-MIN(Instances!J232:Instances!J232))</f>
        <v>0</v>
      </c>
      <c r="K232" s="1" cm="1">
        <f t="array" ref="K232">_xlfn.SWITCH($A$2,"average", AVERAGE(Instances!K232:Instances!K232),"median", MEDIAN(Instances!K232:Instances!K232),"min", MIN(Instances!K232:Instances!K232),"max", MAX(Instances!K232:Instances!K232),"diff", MAX(Instances!K232:Instances!K232)-MIN(Instances!K232:Instances!K232))</f>
        <v>0</v>
      </c>
      <c r="L232" s="1" cm="1">
        <f t="array" ref="L232">_xlfn.SWITCH($A$2,"average", AVERAGE(Instances!L232:Instances!L232),"median", MEDIAN(Instances!L232:Instances!L232),"min", MIN(Instances!L232:Instances!L232),"max", MAX(Instances!L232:Instances!L232),"diff", MAX(Instances!L232:Instances!L232)-MIN(Instances!L232:Instances!L232))</f>
        <v>0</v>
      </c>
      <c r="M232" s="1" cm="1">
        <f t="array" ref="M232">_xlfn.SWITCH($A$2,"average", AVERAGE(Instances!M232:Instances!M232),"median", MEDIAN(Instances!M232:Instances!M232),"min", MIN(Instances!M232:Instances!M232),"max", MAX(Instances!M232:Instances!M232),"diff", MAX(Instances!M232:Instances!M232)-MIN(Instances!M232:Instances!M232))</f>
        <v>0</v>
      </c>
      <c r="N232" s="1" cm="1">
        <f t="array" ref="N232">_xlfn.SWITCH($A$2,"average", AVERAGE(Instances!N232:Instances!N232),"median", MEDIAN(Instances!N232:Instances!N232),"min", MIN(Instances!N232:Instances!N232),"max", MAX(Instances!N232:Instances!N232),"diff", MAX(Instances!N232:Instances!N232)-MIN(Instances!N232:Instances!N232))</f>
        <v>0</v>
      </c>
      <c r="O232" s="1" cm="1">
        <f t="array" ref="O232">_xlfn.SWITCH($A$2,"average", AVERAGE(Instances!O232:Instances!O232),"median", MEDIAN(Instances!O232:Instances!O232),"min", MIN(Instances!O232:Instances!O232),"max", MAX(Instances!O232:Instances!O232),"diff", MAX(Instances!O232:Instances!O232)-MIN(Instances!O232:Instances!O232))</f>
        <v>0</v>
      </c>
      <c r="P232" s="1" cm="1">
        <f t="array" ref="P232">_xlfn.SWITCH($A$2,"average", AVERAGE(Instances!P232:Instances!P232),"median", MEDIAN(Instances!P232:Instances!P232),"min", MIN(Instances!P232:Instances!P232),"max", MAX(Instances!P232:Instances!P232),"diff", MAX(Instances!P232:Instances!P232)-MIN(Instances!P232:Instances!P232))</f>
        <v>0</v>
      </c>
      <c r="Q232" s="1" cm="1">
        <f t="array" ref="Q232">_xlfn.SWITCH($A$2,"average", AVERAGE(Instances!Q232:Instances!Q232),"median", MEDIAN(Instances!Q232:Instances!Q232),"min", MIN(Instances!Q232:Instances!Q232),"max", MAX(Instances!Q232:Instances!Q232),"diff", MAX(Instances!Q232:Instances!Q232)-MIN(Instances!Q232:Instances!Q232))</f>
        <v>0</v>
      </c>
      <c r="R232" s="1">
        <f>MIN($B232,$D232,$F232,$H232,$J232,$L232,$N232,$P232)</f>
        <v>0</v>
      </c>
      <c r="S232" s="1">
        <f>MIN($C232,$E232,$G232,$I232,$K232,$M232,$O232,$Q232)</f>
        <v>0</v>
      </c>
      <c r="T232" s="1">
        <f>MEDIAN($B232,$D232,$F232,$H232,$J232,$L232,$N232,$P232)</f>
        <v>0</v>
      </c>
      <c r="U232" s="1">
        <f>MEDIAN($C232,$E232,$G232,$I232,$K232,$M232,$O232,$Q232)</f>
        <v>0</v>
      </c>
      <c r="V232" s="1">
        <f>MAX($B232,$D232,$F232,$H232,$J232,$L232,$N232,$P232)</f>
        <v>0</v>
      </c>
      <c r="W232" s="1">
        <f>MAX($C232,$E232,$G232,$I232,$K232,$M232,$O232,$Q232)</f>
        <v>0</v>
      </c>
    </row>
    <row r="233" spans="1:23">
      <c r="A233" s="1" t="s">
        <v>230</v>
      </c>
      <c r="B233" s="1"/>
      <c r="C233" s="1"/>
      <c r="D233" s="1" cm="1">
        <f t="array" ref="D233">_xlfn.SWITCH($A$2,"average", AVERAGE(Instances!D233:Instances!D233),"median", MEDIAN(Instances!D233:Instances!D233),"min", MIN(Instances!D233:Instances!D233),"max", MAX(Instances!D233:Instances!D233),"diff", MAX(Instances!D233:Instances!D233)-MIN(Instances!D233:Instances!D233))</f>
        <v>0</v>
      </c>
      <c r="E233" s="1" cm="1">
        <f t="array" ref="E233">_xlfn.SWITCH($A$2,"average", AVERAGE(Instances!E233:Instances!E233),"median", MEDIAN(Instances!E233:Instances!E233),"min", MIN(Instances!E233:Instances!E233),"max", MAX(Instances!E233:Instances!E233),"diff", MAX(Instances!E233:Instances!E233)-MIN(Instances!E233:Instances!E233))</f>
        <v>0</v>
      </c>
      <c r="F233" s="1" cm="1">
        <f t="array" ref="F233">_xlfn.SWITCH($A$2,"average", AVERAGE(Instances!F233:Instances!F233),"median", MEDIAN(Instances!F233:Instances!F233),"min", MIN(Instances!F233:Instances!F233),"max", MAX(Instances!F233:Instances!F233),"diff", MAX(Instances!F233:Instances!F233)-MIN(Instances!F233:Instances!F233))</f>
        <v>0</v>
      </c>
      <c r="G233" s="1" cm="1">
        <f t="array" ref="G233">_xlfn.SWITCH($A$2,"average", AVERAGE(Instances!G233:Instances!G233),"median", MEDIAN(Instances!G233:Instances!G233),"min", MIN(Instances!G233:Instances!G233),"max", MAX(Instances!G233:Instances!G233),"diff", MAX(Instances!G233:Instances!G233)-MIN(Instances!G233:Instances!G233))</f>
        <v>0</v>
      </c>
      <c r="H233" s="1"/>
      <c r="I233" s="1"/>
      <c r="J233" s="1" cm="1">
        <f t="array" ref="J233">_xlfn.SWITCH($A$2,"average", AVERAGE(Instances!J233:Instances!J233),"median", MEDIAN(Instances!J233:Instances!J233),"min", MIN(Instances!J233:Instances!J233),"max", MAX(Instances!J233:Instances!J233),"diff", MAX(Instances!J233:Instances!J233)-MIN(Instances!J233:Instances!J233))</f>
        <v>0</v>
      </c>
      <c r="K233" s="1" cm="1">
        <f t="array" ref="K233">_xlfn.SWITCH($A$2,"average", AVERAGE(Instances!K233:Instances!K233),"median", MEDIAN(Instances!K233:Instances!K233),"min", MIN(Instances!K233:Instances!K233),"max", MAX(Instances!K233:Instances!K233),"diff", MAX(Instances!K233:Instances!K233)-MIN(Instances!K233:Instances!K233))</f>
        <v>0</v>
      </c>
      <c r="L233" s="1" cm="1">
        <f t="array" ref="L233">_xlfn.SWITCH($A$2,"average", AVERAGE(Instances!L233:Instances!L233),"median", MEDIAN(Instances!L233:Instances!L233),"min", MIN(Instances!L233:Instances!L233),"max", MAX(Instances!L233:Instances!L233),"diff", MAX(Instances!L233:Instances!L233)-MIN(Instances!L233:Instances!L233))</f>
        <v>0</v>
      </c>
      <c r="M233" s="1" cm="1">
        <f t="array" ref="M233">_xlfn.SWITCH($A$2,"average", AVERAGE(Instances!M233:Instances!M233),"median", MEDIAN(Instances!M233:Instances!M233),"min", MIN(Instances!M233:Instances!M233),"max", MAX(Instances!M233:Instances!M233),"diff", MAX(Instances!M233:Instances!M233)-MIN(Instances!M233:Instances!M233))</f>
        <v>0</v>
      </c>
      <c r="N233" s="1" cm="1">
        <f t="array" ref="N233">_xlfn.SWITCH($A$2,"average", AVERAGE(Instances!N233:Instances!N233),"median", MEDIAN(Instances!N233:Instances!N233),"min", MIN(Instances!N233:Instances!N233),"max", MAX(Instances!N233:Instances!N233),"diff", MAX(Instances!N233:Instances!N233)-MIN(Instances!N233:Instances!N233))</f>
        <v>0</v>
      </c>
      <c r="O233" s="1" cm="1">
        <f t="array" ref="O233">_xlfn.SWITCH($A$2,"average", AVERAGE(Instances!O233:Instances!O233),"median", MEDIAN(Instances!O233:Instances!O233),"min", MIN(Instances!O233:Instances!O233),"max", MAX(Instances!O233:Instances!O233),"diff", MAX(Instances!O233:Instances!O233)-MIN(Instances!O233:Instances!O233))</f>
        <v>0</v>
      </c>
      <c r="P233" s="1" cm="1">
        <f t="array" ref="P233">_xlfn.SWITCH($A$2,"average", AVERAGE(Instances!P233:Instances!P233),"median", MEDIAN(Instances!P233:Instances!P233),"min", MIN(Instances!P233:Instances!P233),"max", MAX(Instances!P233:Instances!P233),"diff", MAX(Instances!P233:Instances!P233)-MIN(Instances!P233:Instances!P233))</f>
        <v>0</v>
      </c>
      <c r="Q233" s="1" cm="1">
        <f t="array" ref="Q233">_xlfn.SWITCH($A$2,"average", AVERAGE(Instances!Q233:Instances!Q233),"median", MEDIAN(Instances!Q233:Instances!Q233),"min", MIN(Instances!Q233:Instances!Q233),"max", MAX(Instances!Q233:Instances!Q233),"diff", MAX(Instances!Q233:Instances!Q233)-MIN(Instances!Q233:Instances!Q233))</f>
        <v>0</v>
      </c>
      <c r="R233" s="1">
        <f>MIN($B233,$D233,$F233,$H233,$J233,$L233,$N233,$P233)</f>
        <v>0</v>
      </c>
      <c r="S233" s="1">
        <f>MIN($C233,$E233,$G233,$I233,$K233,$M233,$O233,$Q233)</f>
        <v>0</v>
      </c>
      <c r="T233" s="1">
        <f>MEDIAN($B233,$D233,$F233,$H233,$J233,$L233,$N233,$P233)</f>
        <v>0</v>
      </c>
      <c r="U233" s="1">
        <f>MEDIAN($C233,$E233,$G233,$I233,$K233,$M233,$O233,$Q233)</f>
        <v>0</v>
      </c>
      <c r="V233" s="1">
        <f>MAX($B233,$D233,$F233,$H233,$J233,$L233,$N233,$P233)</f>
        <v>0</v>
      </c>
      <c r="W233" s="1">
        <f>MAX($C233,$E233,$G233,$I233,$K233,$M233,$O233,$Q233)</f>
        <v>0</v>
      </c>
    </row>
    <row r="234" spans="1:23">
      <c r="A234" s="1" t="s">
        <v>231</v>
      </c>
      <c r="B234" s="1"/>
      <c r="C234" s="1"/>
      <c r="D234" s="1" cm="1">
        <f t="array" ref="D234">_xlfn.SWITCH($A$2,"average", AVERAGE(Instances!D234:Instances!D234),"median", MEDIAN(Instances!D234:Instances!D234),"min", MIN(Instances!D234:Instances!D234),"max", MAX(Instances!D234:Instances!D234),"diff", MAX(Instances!D234:Instances!D234)-MIN(Instances!D234:Instances!D234))</f>
        <v>0</v>
      </c>
      <c r="E234" s="1" cm="1">
        <f t="array" ref="E234">_xlfn.SWITCH($A$2,"average", AVERAGE(Instances!E234:Instances!E234),"median", MEDIAN(Instances!E234:Instances!E234),"min", MIN(Instances!E234:Instances!E234),"max", MAX(Instances!E234:Instances!E234),"diff", MAX(Instances!E234:Instances!E234)-MIN(Instances!E234:Instances!E234))</f>
        <v>0</v>
      </c>
      <c r="F234" s="1" cm="1">
        <f t="array" ref="F234">_xlfn.SWITCH($A$2,"average", AVERAGE(Instances!F234:Instances!F234),"median", MEDIAN(Instances!F234:Instances!F234),"min", MIN(Instances!F234:Instances!F234),"max", MAX(Instances!F234:Instances!F234),"diff", MAX(Instances!F234:Instances!F234)-MIN(Instances!F234:Instances!F234))</f>
        <v>0</v>
      </c>
      <c r="G234" s="1" cm="1">
        <f t="array" ref="G234">_xlfn.SWITCH($A$2,"average", AVERAGE(Instances!G234:Instances!G234),"median", MEDIAN(Instances!G234:Instances!G234),"min", MIN(Instances!G234:Instances!G234),"max", MAX(Instances!G234:Instances!G234),"diff", MAX(Instances!G234:Instances!G234)-MIN(Instances!G234:Instances!G234))</f>
        <v>0</v>
      </c>
      <c r="H234" s="1"/>
      <c r="I234" s="1"/>
      <c r="J234" s="1" cm="1">
        <f t="array" ref="J234">_xlfn.SWITCH($A$2,"average", AVERAGE(Instances!J234:Instances!J234),"median", MEDIAN(Instances!J234:Instances!J234),"min", MIN(Instances!J234:Instances!J234),"max", MAX(Instances!J234:Instances!J234),"diff", MAX(Instances!J234:Instances!J234)-MIN(Instances!J234:Instances!J234))</f>
        <v>0</v>
      </c>
      <c r="K234" s="1" cm="1">
        <f t="array" ref="K234">_xlfn.SWITCH($A$2,"average", AVERAGE(Instances!K234:Instances!K234),"median", MEDIAN(Instances!K234:Instances!K234),"min", MIN(Instances!K234:Instances!K234),"max", MAX(Instances!K234:Instances!K234),"diff", MAX(Instances!K234:Instances!K234)-MIN(Instances!K234:Instances!K234))</f>
        <v>0</v>
      </c>
      <c r="L234" s="1" cm="1">
        <f t="array" ref="L234">_xlfn.SWITCH($A$2,"average", AVERAGE(Instances!L234:Instances!L234),"median", MEDIAN(Instances!L234:Instances!L234),"min", MIN(Instances!L234:Instances!L234),"max", MAX(Instances!L234:Instances!L234),"diff", MAX(Instances!L234:Instances!L234)-MIN(Instances!L234:Instances!L234))</f>
        <v>0</v>
      </c>
      <c r="M234" s="1" cm="1">
        <f t="array" ref="M234">_xlfn.SWITCH($A$2,"average", AVERAGE(Instances!M234:Instances!M234),"median", MEDIAN(Instances!M234:Instances!M234),"min", MIN(Instances!M234:Instances!M234),"max", MAX(Instances!M234:Instances!M234),"diff", MAX(Instances!M234:Instances!M234)-MIN(Instances!M234:Instances!M234))</f>
        <v>0</v>
      </c>
      <c r="N234" s="1" cm="1">
        <f t="array" ref="N234">_xlfn.SWITCH($A$2,"average", AVERAGE(Instances!N234:Instances!N234),"median", MEDIAN(Instances!N234:Instances!N234),"min", MIN(Instances!N234:Instances!N234),"max", MAX(Instances!N234:Instances!N234),"diff", MAX(Instances!N234:Instances!N234)-MIN(Instances!N234:Instances!N234))</f>
        <v>0</v>
      </c>
      <c r="O234" s="1" cm="1">
        <f t="array" ref="O234">_xlfn.SWITCH($A$2,"average", AVERAGE(Instances!O234:Instances!O234),"median", MEDIAN(Instances!O234:Instances!O234),"min", MIN(Instances!O234:Instances!O234),"max", MAX(Instances!O234:Instances!O234),"diff", MAX(Instances!O234:Instances!O234)-MIN(Instances!O234:Instances!O234))</f>
        <v>0</v>
      </c>
      <c r="P234" s="1" cm="1">
        <f t="array" ref="P234">_xlfn.SWITCH($A$2,"average", AVERAGE(Instances!P234:Instances!P234),"median", MEDIAN(Instances!P234:Instances!P234),"min", MIN(Instances!P234:Instances!P234),"max", MAX(Instances!P234:Instances!P234),"diff", MAX(Instances!P234:Instances!P234)-MIN(Instances!P234:Instances!P234))</f>
        <v>0</v>
      </c>
      <c r="Q234" s="1" cm="1">
        <f t="array" ref="Q234">_xlfn.SWITCH($A$2,"average", AVERAGE(Instances!Q234:Instances!Q234),"median", MEDIAN(Instances!Q234:Instances!Q234),"min", MIN(Instances!Q234:Instances!Q234),"max", MAX(Instances!Q234:Instances!Q234),"diff", MAX(Instances!Q234:Instances!Q234)-MIN(Instances!Q234:Instances!Q234))</f>
        <v>0</v>
      </c>
      <c r="R234" s="1">
        <f>MIN($B234,$D234,$F234,$H234,$J234,$L234,$N234,$P234)</f>
        <v>0</v>
      </c>
      <c r="S234" s="1">
        <f>MIN($C234,$E234,$G234,$I234,$K234,$M234,$O234,$Q234)</f>
        <v>0</v>
      </c>
      <c r="T234" s="1">
        <f>MEDIAN($B234,$D234,$F234,$H234,$J234,$L234,$N234,$P234)</f>
        <v>0</v>
      </c>
      <c r="U234" s="1">
        <f>MEDIAN($C234,$E234,$G234,$I234,$K234,$M234,$O234,$Q234)</f>
        <v>0</v>
      </c>
      <c r="V234" s="1">
        <f>MAX($B234,$D234,$F234,$H234,$J234,$L234,$N234,$P234)</f>
        <v>0</v>
      </c>
      <c r="W234" s="1">
        <f>MAX($C234,$E234,$G234,$I234,$K234,$M234,$O234,$Q234)</f>
        <v>0</v>
      </c>
    </row>
    <row r="235" spans="1:23">
      <c r="A235" s="1" t="s">
        <v>232</v>
      </c>
      <c r="B235" s="1"/>
      <c r="C235" s="1"/>
      <c r="D235" s="1" cm="1">
        <f t="array" ref="D235">_xlfn.SWITCH($A$2,"average", AVERAGE(Instances!D235:Instances!D235),"median", MEDIAN(Instances!D235:Instances!D235),"min", MIN(Instances!D235:Instances!D235),"max", MAX(Instances!D235:Instances!D235),"diff", MAX(Instances!D235:Instances!D235)-MIN(Instances!D235:Instances!D235))</f>
        <v>0</v>
      </c>
      <c r="E235" s="1" cm="1">
        <f t="array" ref="E235">_xlfn.SWITCH($A$2,"average", AVERAGE(Instances!E235:Instances!E235),"median", MEDIAN(Instances!E235:Instances!E235),"min", MIN(Instances!E235:Instances!E235),"max", MAX(Instances!E235:Instances!E235),"diff", MAX(Instances!E235:Instances!E235)-MIN(Instances!E235:Instances!E235))</f>
        <v>0</v>
      </c>
      <c r="F235" s="1" cm="1">
        <f t="array" ref="F235">_xlfn.SWITCH($A$2,"average", AVERAGE(Instances!F235:Instances!F235),"median", MEDIAN(Instances!F235:Instances!F235),"min", MIN(Instances!F235:Instances!F235),"max", MAX(Instances!F235:Instances!F235),"diff", MAX(Instances!F235:Instances!F235)-MIN(Instances!F235:Instances!F235))</f>
        <v>0</v>
      </c>
      <c r="G235" s="1" cm="1">
        <f t="array" ref="G235">_xlfn.SWITCH($A$2,"average", AVERAGE(Instances!G235:Instances!G235),"median", MEDIAN(Instances!G235:Instances!G235),"min", MIN(Instances!G235:Instances!G235),"max", MAX(Instances!G235:Instances!G235),"diff", MAX(Instances!G235:Instances!G235)-MIN(Instances!G235:Instances!G235))</f>
        <v>0</v>
      </c>
      <c r="H235" s="1"/>
      <c r="I235" s="1"/>
      <c r="J235" s="1" cm="1">
        <f t="array" ref="J235">_xlfn.SWITCH($A$2,"average", AVERAGE(Instances!J235:Instances!J235),"median", MEDIAN(Instances!J235:Instances!J235),"min", MIN(Instances!J235:Instances!J235),"max", MAX(Instances!J235:Instances!J235),"diff", MAX(Instances!J235:Instances!J235)-MIN(Instances!J235:Instances!J235))</f>
        <v>0</v>
      </c>
      <c r="K235" s="1" cm="1">
        <f t="array" ref="K235">_xlfn.SWITCH($A$2,"average", AVERAGE(Instances!K235:Instances!K235),"median", MEDIAN(Instances!K235:Instances!K235),"min", MIN(Instances!K235:Instances!K235),"max", MAX(Instances!K235:Instances!K235),"diff", MAX(Instances!K235:Instances!K235)-MIN(Instances!K235:Instances!K235))</f>
        <v>0</v>
      </c>
      <c r="L235" s="1" cm="1">
        <f t="array" ref="L235">_xlfn.SWITCH($A$2,"average", AVERAGE(Instances!L235:Instances!L235),"median", MEDIAN(Instances!L235:Instances!L235),"min", MIN(Instances!L235:Instances!L235),"max", MAX(Instances!L235:Instances!L235),"diff", MAX(Instances!L235:Instances!L235)-MIN(Instances!L235:Instances!L235))</f>
        <v>0</v>
      </c>
      <c r="M235" s="1" cm="1">
        <f t="array" ref="M235">_xlfn.SWITCH($A$2,"average", AVERAGE(Instances!M235:Instances!M235),"median", MEDIAN(Instances!M235:Instances!M235),"min", MIN(Instances!M235:Instances!M235),"max", MAX(Instances!M235:Instances!M235),"diff", MAX(Instances!M235:Instances!M235)-MIN(Instances!M235:Instances!M235))</f>
        <v>0</v>
      </c>
      <c r="N235" s="1" cm="1">
        <f t="array" ref="N235">_xlfn.SWITCH($A$2,"average", AVERAGE(Instances!N235:Instances!N235),"median", MEDIAN(Instances!N235:Instances!N235),"min", MIN(Instances!N235:Instances!N235),"max", MAX(Instances!N235:Instances!N235),"diff", MAX(Instances!N235:Instances!N235)-MIN(Instances!N235:Instances!N235))</f>
        <v>0</v>
      </c>
      <c r="O235" s="1" cm="1">
        <f t="array" ref="O235">_xlfn.SWITCH($A$2,"average", AVERAGE(Instances!O235:Instances!O235),"median", MEDIAN(Instances!O235:Instances!O235),"min", MIN(Instances!O235:Instances!O235),"max", MAX(Instances!O235:Instances!O235),"diff", MAX(Instances!O235:Instances!O235)-MIN(Instances!O235:Instances!O235))</f>
        <v>0</v>
      </c>
      <c r="P235" s="1" cm="1">
        <f t="array" ref="P235">_xlfn.SWITCH($A$2,"average", AVERAGE(Instances!P235:Instances!P235),"median", MEDIAN(Instances!P235:Instances!P235),"min", MIN(Instances!P235:Instances!P235),"max", MAX(Instances!P235:Instances!P235),"diff", MAX(Instances!P235:Instances!P235)-MIN(Instances!P235:Instances!P235))</f>
        <v>0</v>
      </c>
      <c r="Q235" s="1" cm="1">
        <f t="array" ref="Q235">_xlfn.SWITCH($A$2,"average", AVERAGE(Instances!Q235:Instances!Q235),"median", MEDIAN(Instances!Q235:Instances!Q235),"min", MIN(Instances!Q235:Instances!Q235),"max", MAX(Instances!Q235:Instances!Q235),"diff", MAX(Instances!Q235:Instances!Q235)-MIN(Instances!Q235:Instances!Q235))</f>
        <v>0</v>
      </c>
      <c r="R235" s="1">
        <f>MIN($B235,$D235,$F235,$H235,$J235,$L235,$N235,$P235)</f>
        <v>0</v>
      </c>
      <c r="S235" s="1">
        <f>MIN($C235,$E235,$G235,$I235,$K235,$M235,$O235,$Q235)</f>
        <v>0</v>
      </c>
      <c r="T235" s="1">
        <f>MEDIAN($B235,$D235,$F235,$H235,$J235,$L235,$N235,$P235)</f>
        <v>0</v>
      </c>
      <c r="U235" s="1">
        <f>MEDIAN($C235,$E235,$G235,$I235,$K235,$M235,$O235,$Q235)</f>
        <v>0</v>
      </c>
      <c r="V235" s="1">
        <f>MAX($B235,$D235,$F235,$H235,$J235,$L235,$N235,$P235)</f>
        <v>0</v>
      </c>
      <c r="W235" s="1">
        <f>MAX($C235,$E235,$G235,$I235,$K235,$M235,$O235,$Q235)</f>
        <v>0</v>
      </c>
    </row>
    <row r="236" spans="1:23">
      <c r="A236" s="1" t="s">
        <v>233</v>
      </c>
      <c r="B236" s="1"/>
      <c r="C236" s="1"/>
      <c r="D236" s="1" cm="1">
        <f t="array" ref="D236">_xlfn.SWITCH($A$2,"average", AVERAGE(Instances!D236:Instances!D236),"median", MEDIAN(Instances!D236:Instances!D236),"min", MIN(Instances!D236:Instances!D236),"max", MAX(Instances!D236:Instances!D236),"diff", MAX(Instances!D236:Instances!D236)-MIN(Instances!D236:Instances!D236))</f>
        <v>0</v>
      </c>
      <c r="E236" s="1" cm="1">
        <f t="array" ref="E236">_xlfn.SWITCH($A$2,"average", AVERAGE(Instances!E236:Instances!E236),"median", MEDIAN(Instances!E236:Instances!E236),"min", MIN(Instances!E236:Instances!E236),"max", MAX(Instances!E236:Instances!E236),"diff", MAX(Instances!E236:Instances!E236)-MIN(Instances!E236:Instances!E236))</f>
        <v>0</v>
      </c>
      <c r="F236" s="1" cm="1">
        <f t="array" ref="F236">_xlfn.SWITCH($A$2,"average", AVERAGE(Instances!F236:Instances!F236),"median", MEDIAN(Instances!F236:Instances!F236),"min", MIN(Instances!F236:Instances!F236),"max", MAX(Instances!F236:Instances!F236),"diff", MAX(Instances!F236:Instances!F236)-MIN(Instances!F236:Instances!F236))</f>
        <v>0</v>
      </c>
      <c r="G236" s="1" cm="1">
        <f t="array" ref="G236">_xlfn.SWITCH($A$2,"average", AVERAGE(Instances!G236:Instances!G236),"median", MEDIAN(Instances!G236:Instances!G236),"min", MIN(Instances!G236:Instances!G236),"max", MAX(Instances!G236:Instances!G236),"diff", MAX(Instances!G236:Instances!G236)-MIN(Instances!G236:Instances!G236))</f>
        <v>0</v>
      </c>
      <c r="H236" s="1"/>
      <c r="I236" s="1"/>
      <c r="J236" s="1" cm="1">
        <f t="array" ref="J236">_xlfn.SWITCH($A$2,"average", AVERAGE(Instances!J236:Instances!J236),"median", MEDIAN(Instances!J236:Instances!J236),"min", MIN(Instances!J236:Instances!J236),"max", MAX(Instances!J236:Instances!J236),"diff", MAX(Instances!J236:Instances!J236)-MIN(Instances!J236:Instances!J236))</f>
        <v>0</v>
      </c>
      <c r="K236" s="1" cm="1">
        <f t="array" ref="K236">_xlfn.SWITCH($A$2,"average", AVERAGE(Instances!K236:Instances!K236),"median", MEDIAN(Instances!K236:Instances!K236),"min", MIN(Instances!K236:Instances!K236),"max", MAX(Instances!K236:Instances!K236),"diff", MAX(Instances!K236:Instances!K236)-MIN(Instances!K236:Instances!K236))</f>
        <v>0</v>
      </c>
      <c r="L236" s="1" cm="1">
        <f t="array" ref="L236">_xlfn.SWITCH($A$2,"average", AVERAGE(Instances!L236:Instances!L236),"median", MEDIAN(Instances!L236:Instances!L236),"min", MIN(Instances!L236:Instances!L236),"max", MAX(Instances!L236:Instances!L236),"diff", MAX(Instances!L236:Instances!L236)-MIN(Instances!L236:Instances!L236))</f>
        <v>0</v>
      </c>
      <c r="M236" s="1" cm="1">
        <f t="array" ref="M236">_xlfn.SWITCH($A$2,"average", AVERAGE(Instances!M236:Instances!M236),"median", MEDIAN(Instances!M236:Instances!M236),"min", MIN(Instances!M236:Instances!M236),"max", MAX(Instances!M236:Instances!M236),"diff", MAX(Instances!M236:Instances!M236)-MIN(Instances!M236:Instances!M236))</f>
        <v>0</v>
      </c>
      <c r="N236" s="1" cm="1">
        <f t="array" ref="N236">_xlfn.SWITCH($A$2,"average", AVERAGE(Instances!N236:Instances!N236),"median", MEDIAN(Instances!N236:Instances!N236),"min", MIN(Instances!N236:Instances!N236),"max", MAX(Instances!N236:Instances!N236),"diff", MAX(Instances!N236:Instances!N236)-MIN(Instances!N236:Instances!N236))</f>
        <v>0</v>
      </c>
      <c r="O236" s="1" cm="1">
        <f t="array" ref="O236">_xlfn.SWITCH($A$2,"average", AVERAGE(Instances!O236:Instances!O236),"median", MEDIAN(Instances!O236:Instances!O236),"min", MIN(Instances!O236:Instances!O236),"max", MAX(Instances!O236:Instances!O236),"diff", MAX(Instances!O236:Instances!O236)-MIN(Instances!O236:Instances!O236))</f>
        <v>0</v>
      </c>
      <c r="P236" s="1" cm="1">
        <f t="array" ref="P236">_xlfn.SWITCH($A$2,"average", AVERAGE(Instances!P236:Instances!P236),"median", MEDIAN(Instances!P236:Instances!P236),"min", MIN(Instances!P236:Instances!P236),"max", MAX(Instances!P236:Instances!P236),"diff", MAX(Instances!P236:Instances!P236)-MIN(Instances!P236:Instances!P236))</f>
        <v>0</v>
      </c>
      <c r="Q236" s="1" cm="1">
        <f t="array" ref="Q236">_xlfn.SWITCH($A$2,"average", AVERAGE(Instances!Q236:Instances!Q236),"median", MEDIAN(Instances!Q236:Instances!Q236),"min", MIN(Instances!Q236:Instances!Q236),"max", MAX(Instances!Q236:Instances!Q236),"diff", MAX(Instances!Q236:Instances!Q236)-MIN(Instances!Q236:Instances!Q236))</f>
        <v>0</v>
      </c>
      <c r="R236" s="1">
        <f>MIN($B236,$D236,$F236,$H236,$J236,$L236,$N236,$P236)</f>
        <v>0</v>
      </c>
      <c r="S236" s="1">
        <f>MIN($C236,$E236,$G236,$I236,$K236,$M236,$O236,$Q236)</f>
        <v>0</v>
      </c>
      <c r="T236" s="1">
        <f>MEDIAN($B236,$D236,$F236,$H236,$J236,$L236,$N236,$P236)</f>
        <v>0</v>
      </c>
      <c r="U236" s="1">
        <f>MEDIAN($C236,$E236,$G236,$I236,$K236,$M236,$O236,$Q236)</f>
        <v>0</v>
      </c>
      <c r="V236" s="1">
        <f>MAX($B236,$D236,$F236,$H236,$J236,$L236,$N236,$P236)</f>
        <v>0</v>
      </c>
      <c r="W236" s="1">
        <f>MAX($C236,$E236,$G236,$I236,$K236,$M236,$O236,$Q236)</f>
        <v>0</v>
      </c>
    </row>
    <row r="237" spans="1:23">
      <c r="A237" s="1" t="s">
        <v>234</v>
      </c>
      <c r="B237" s="1"/>
      <c r="C237" s="1"/>
      <c r="D237" s="1" cm="1">
        <f t="array" ref="D237">_xlfn.SWITCH($A$2,"average", AVERAGE(Instances!D237:Instances!D237),"median", MEDIAN(Instances!D237:Instances!D237),"min", MIN(Instances!D237:Instances!D237),"max", MAX(Instances!D237:Instances!D237),"diff", MAX(Instances!D237:Instances!D237)-MIN(Instances!D237:Instances!D237))</f>
        <v>0</v>
      </c>
      <c r="E237" s="1" cm="1">
        <f t="array" ref="E237">_xlfn.SWITCH($A$2,"average", AVERAGE(Instances!E237:Instances!E237),"median", MEDIAN(Instances!E237:Instances!E237),"min", MIN(Instances!E237:Instances!E237),"max", MAX(Instances!E237:Instances!E237),"diff", MAX(Instances!E237:Instances!E237)-MIN(Instances!E237:Instances!E237))</f>
        <v>0</v>
      </c>
      <c r="F237" s="1" cm="1">
        <f t="array" ref="F237">_xlfn.SWITCH($A$2,"average", AVERAGE(Instances!F237:Instances!F237),"median", MEDIAN(Instances!F237:Instances!F237),"min", MIN(Instances!F237:Instances!F237),"max", MAX(Instances!F237:Instances!F237),"diff", MAX(Instances!F237:Instances!F237)-MIN(Instances!F237:Instances!F237))</f>
        <v>0</v>
      </c>
      <c r="G237" s="1" cm="1">
        <f t="array" ref="G237">_xlfn.SWITCH($A$2,"average", AVERAGE(Instances!G237:Instances!G237),"median", MEDIAN(Instances!G237:Instances!G237),"min", MIN(Instances!G237:Instances!G237),"max", MAX(Instances!G237:Instances!G237),"diff", MAX(Instances!G237:Instances!G237)-MIN(Instances!G237:Instances!G237))</f>
        <v>0</v>
      </c>
      <c r="H237" s="1"/>
      <c r="I237" s="1"/>
      <c r="J237" s="1" cm="1">
        <f t="array" ref="J237">_xlfn.SWITCH($A$2,"average", AVERAGE(Instances!J237:Instances!J237),"median", MEDIAN(Instances!J237:Instances!J237),"min", MIN(Instances!J237:Instances!J237),"max", MAX(Instances!J237:Instances!J237),"diff", MAX(Instances!J237:Instances!J237)-MIN(Instances!J237:Instances!J237))</f>
        <v>0</v>
      </c>
      <c r="K237" s="1" cm="1">
        <f t="array" ref="K237">_xlfn.SWITCH($A$2,"average", AVERAGE(Instances!K237:Instances!K237),"median", MEDIAN(Instances!K237:Instances!K237),"min", MIN(Instances!K237:Instances!K237),"max", MAX(Instances!K237:Instances!K237),"diff", MAX(Instances!K237:Instances!K237)-MIN(Instances!K237:Instances!K237))</f>
        <v>0</v>
      </c>
      <c r="L237" s="1" cm="1">
        <f t="array" ref="L237">_xlfn.SWITCH($A$2,"average", AVERAGE(Instances!L237:Instances!L237),"median", MEDIAN(Instances!L237:Instances!L237),"min", MIN(Instances!L237:Instances!L237),"max", MAX(Instances!L237:Instances!L237),"diff", MAX(Instances!L237:Instances!L237)-MIN(Instances!L237:Instances!L237))</f>
        <v>0</v>
      </c>
      <c r="M237" s="1" cm="1">
        <f t="array" ref="M237">_xlfn.SWITCH($A$2,"average", AVERAGE(Instances!M237:Instances!M237),"median", MEDIAN(Instances!M237:Instances!M237),"min", MIN(Instances!M237:Instances!M237),"max", MAX(Instances!M237:Instances!M237),"diff", MAX(Instances!M237:Instances!M237)-MIN(Instances!M237:Instances!M237))</f>
        <v>0</v>
      </c>
      <c r="N237" s="1" cm="1">
        <f t="array" ref="N237">_xlfn.SWITCH($A$2,"average", AVERAGE(Instances!N237:Instances!N237),"median", MEDIAN(Instances!N237:Instances!N237),"min", MIN(Instances!N237:Instances!N237),"max", MAX(Instances!N237:Instances!N237),"diff", MAX(Instances!N237:Instances!N237)-MIN(Instances!N237:Instances!N237))</f>
        <v>0</v>
      </c>
      <c r="O237" s="1" cm="1">
        <f t="array" ref="O237">_xlfn.SWITCH($A$2,"average", AVERAGE(Instances!O237:Instances!O237),"median", MEDIAN(Instances!O237:Instances!O237),"min", MIN(Instances!O237:Instances!O237),"max", MAX(Instances!O237:Instances!O237),"diff", MAX(Instances!O237:Instances!O237)-MIN(Instances!O237:Instances!O237))</f>
        <v>0</v>
      </c>
      <c r="P237" s="1" cm="1">
        <f t="array" ref="P237">_xlfn.SWITCH($A$2,"average", AVERAGE(Instances!P237:Instances!P237),"median", MEDIAN(Instances!P237:Instances!P237),"min", MIN(Instances!P237:Instances!P237),"max", MAX(Instances!P237:Instances!P237),"diff", MAX(Instances!P237:Instances!P237)-MIN(Instances!P237:Instances!P237))</f>
        <v>0</v>
      </c>
      <c r="Q237" s="1" cm="1">
        <f t="array" ref="Q237">_xlfn.SWITCH($A$2,"average", AVERAGE(Instances!Q237:Instances!Q237),"median", MEDIAN(Instances!Q237:Instances!Q237),"min", MIN(Instances!Q237:Instances!Q237),"max", MAX(Instances!Q237:Instances!Q237),"diff", MAX(Instances!Q237:Instances!Q237)-MIN(Instances!Q237:Instances!Q237))</f>
        <v>0</v>
      </c>
      <c r="R237" s="1">
        <f>MIN($B237,$D237,$F237,$H237,$J237,$L237,$N237,$P237)</f>
        <v>0</v>
      </c>
      <c r="S237" s="1">
        <f>MIN($C237,$E237,$G237,$I237,$K237,$M237,$O237,$Q237)</f>
        <v>0</v>
      </c>
      <c r="T237" s="1">
        <f>MEDIAN($B237,$D237,$F237,$H237,$J237,$L237,$N237,$P237)</f>
        <v>0</v>
      </c>
      <c r="U237" s="1">
        <f>MEDIAN($C237,$E237,$G237,$I237,$K237,$M237,$O237,$Q237)</f>
        <v>0</v>
      </c>
      <c r="V237" s="1">
        <f>MAX($B237,$D237,$F237,$H237,$J237,$L237,$N237,$P237)</f>
        <v>0</v>
      </c>
      <c r="W237" s="1">
        <f>MAX($C237,$E237,$G237,$I237,$K237,$M237,$O237,$Q237)</f>
        <v>0</v>
      </c>
    </row>
    <row r="238" spans="1:23">
      <c r="A238" s="1" t="s">
        <v>235</v>
      </c>
      <c r="B238" s="1"/>
      <c r="C238" s="1"/>
      <c r="D238" s="1" cm="1">
        <f t="array" ref="D238">_xlfn.SWITCH($A$2,"average", AVERAGE(Instances!D238:Instances!D238),"median", MEDIAN(Instances!D238:Instances!D238),"min", MIN(Instances!D238:Instances!D238),"max", MAX(Instances!D238:Instances!D238),"diff", MAX(Instances!D238:Instances!D238)-MIN(Instances!D238:Instances!D238))</f>
        <v>0</v>
      </c>
      <c r="E238" s="1" cm="1">
        <f t="array" ref="E238">_xlfn.SWITCH($A$2,"average", AVERAGE(Instances!E238:Instances!E238),"median", MEDIAN(Instances!E238:Instances!E238),"min", MIN(Instances!E238:Instances!E238),"max", MAX(Instances!E238:Instances!E238),"diff", MAX(Instances!E238:Instances!E238)-MIN(Instances!E238:Instances!E238))</f>
        <v>0</v>
      </c>
      <c r="F238" s="1" cm="1">
        <f t="array" ref="F238">_xlfn.SWITCH($A$2,"average", AVERAGE(Instances!F238:Instances!F238),"median", MEDIAN(Instances!F238:Instances!F238),"min", MIN(Instances!F238:Instances!F238),"max", MAX(Instances!F238:Instances!F238),"diff", MAX(Instances!F238:Instances!F238)-MIN(Instances!F238:Instances!F238))</f>
        <v>0</v>
      </c>
      <c r="G238" s="1" cm="1">
        <f t="array" ref="G238">_xlfn.SWITCH($A$2,"average", AVERAGE(Instances!G238:Instances!G238),"median", MEDIAN(Instances!G238:Instances!G238),"min", MIN(Instances!G238:Instances!G238),"max", MAX(Instances!G238:Instances!G238),"diff", MAX(Instances!G238:Instances!G238)-MIN(Instances!G238:Instances!G238))</f>
        <v>0</v>
      </c>
      <c r="H238" s="1"/>
      <c r="I238" s="1"/>
      <c r="J238" s="1" cm="1">
        <f t="array" ref="J238">_xlfn.SWITCH($A$2,"average", AVERAGE(Instances!J238:Instances!J238),"median", MEDIAN(Instances!J238:Instances!J238),"min", MIN(Instances!J238:Instances!J238),"max", MAX(Instances!J238:Instances!J238),"diff", MAX(Instances!J238:Instances!J238)-MIN(Instances!J238:Instances!J238))</f>
        <v>0</v>
      </c>
      <c r="K238" s="1" cm="1">
        <f t="array" ref="K238">_xlfn.SWITCH($A$2,"average", AVERAGE(Instances!K238:Instances!K238),"median", MEDIAN(Instances!K238:Instances!K238),"min", MIN(Instances!K238:Instances!K238),"max", MAX(Instances!K238:Instances!K238),"diff", MAX(Instances!K238:Instances!K238)-MIN(Instances!K238:Instances!K238))</f>
        <v>0</v>
      </c>
      <c r="L238" s="1" cm="1">
        <f t="array" ref="L238">_xlfn.SWITCH($A$2,"average", AVERAGE(Instances!L238:Instances!L238),"median", MEDIAN(Instances!L238:Instances!L238),"min", MIN(Instances!L238:Instances!L238),"max", MAX(Instances!L238:Instances!L238),"diff", MAX(Instances!L238:Instances!L238)-MIN(Instances!L238:Instances!L238))</f>
        <v>0</v>
      </c>
      <c r="M238" s="1" cm="1">
        <f t="array" ref="M238">_xlfn.SWITCH($A$2,"average", AVERAGE(Instances!M238:Instances!M238),"median", MEDIAN(Instances!M238:Instances!M238),"min", MIN(Instances!M238:Instances!M238),"max", MAX(Instances!M238:Instances!M238),"diff", MAX(Instances!M238:Instances!M238)-MIN(Instances!M238:Instances!M238))</f>
        <v>0</v>
      </c>
      <c r="N238" s="1" cm="1">
        <f t="array" ref="N238">_xlfn.SWITCH($A$2,"average", AVERAGE(Instances!N238:Instances!N238),"median", MEDIAN(Instances!N238:Instances!N238),"min", MIN(Instances!N238:Instances!N238),"max", MAX(Instances!N238:Instances!N238),"diff", MAX(Instances!N238:Instances!N238)-MIN(Instances!N238:Instances!N238))</f>
        <v>0</v>
      </c>
      <c r="O238" s="1" cm="1">
        <f t="array" ref="O238">_xlfn.SWITCH($A$2,"average", AVERAGE(Instances!O238:Instances!O238),"median", MEDIAN(Instances!O238:Instances!O238),"min", MIN(Instances!O238:Instances!O238),"max", MAX(Instances!O238:Instances!O238),"diff", MAX(Instances!O238:Instances!O238)-MIN(Instances!O238:Instances!O238))</f>
        <v>0</v>
      </c>
      <c r="P238" s="1" cm="1">
        <f t="array" ref="P238">_xlfn.SWITCH($A$2,"average", AVERAGE(Instances!P238:Instances!P238),"median", MEDIAN(Instances!P238:Instances!P238),"min", MIN(Instances!P238:Instances!P238),"max", MAX(Instances!P238:Instances!P238),"diff", MAX(Instances!P238:Instances!P238)-MIN(Instances!P238:Instances!P238))</f>
        <v>0</v>
      </c>
      <c r="Q238" s="1" cm="1">
        <f t="array" ref="Q238">_xlfn.SWITCH($A$2,"average", AVERAGE(Instances!Q238:Instances!Q238),"median", MEDIAN(Instances!Q238:Instances!Q238),"min", MIN(Instances!Q238:Instances!Q238),"max", MAX(Instances!Q238:Instances!Q238),"diff", MAX(Instances!Q238:Instances!Q238)-MIN(Instances!Q238:Instances!Q238))</f>
        <v>0</v>
      </c>
      <c r="R238" s="1">
        <f>MIN($B238,$D238,$F238,$H238,$J238,$L238,$N238,$P238)</f>
        <v>0</v>
      </c>
      <c r="S238" s="1">
        <f>MIN($C238,$E238,$G238,$I238,$K238,$M238,$O238,$Q238)</f>
        <v>0</v>
      </c>
      <c r="T238" s="1">
        <f>MEDIAN($B238,$D238,$F238,$H238,$J238,$L238,$N238,$P238)</f>
        <v>0</v>
      </c>
      <c r="U238" s="1">
        <f>MEDIAN($C238,$E238,$G238,$I238,$K238,$M238,$O238,$Q238)</f>
        <v>0</v>
      </c>
      <c r="V238" s="1">
        <f>MAX($B238,$D238,$F238,$H238,$J238,$L238,$N238,$P238)</f>
        <v>0</v>
      </c>
      <c r="W238" s="1">
        <f>MAX($C238,$E238,$G238,$I238,$K238,$M238,$O238,$Q238)</f>
        <v>0</v>
      </c>
    </row>
    <row r="239" spans="1:23">
      <c r="A239" s="1" t="s">
        <v>236</v>
      </c>
      <c r="B239" s="1"/>
      <c r="C239" s="1"/>
      <c r="D239" s="1" cm="1">
        <f t="array" ref="D239">_xlfn.SWITCH($A$2,"average", AVERAGE(Instances!D239:Instances!D239),"median", MEDIAN(Instances!D239:Instances!D239),"min", MIN(Instances!D239:Instances!D239),"max", MAX(Instances!D239:Instances!D239),"diff", MAX(Instances!D239:Instances!D239)-MIN(Instances!D239:Instances!D239))</f>
        <v>0</v>
      </c>
      <c r="E239" s="1" cm="1">
        <f t="array" ref="E239">_xlfn.SWITCH($A$2,"average", AVERAGE(Instances!E239:Instances!E239),"median", MEDIAN(Instances!E239:Instances!E239),"min", MIN(Instances!E239:Instances!E239),"max", MAX(Instances!E239:Instances!E239),"diff", MAX(Instances!E239:Instances!E239)-MIN(Instances!E239:Instances!E239))</f>
        <v>0</v>
      </c>
      <c r="F239" s="1" cm="1">
        <f t="array" ref="F239">_xlfn.SWITCH($A$2,"average", AVERAGE(Instances!F239:Instances!F239),"median", MEDIAN(Instances!F239:Instances!F239),"min", MIN(Instances!F239:Instances!F239),"max", MAX(Instances!F239:Instances!F239),"diff", MAX(Instances!F239:Instances!F239)-MIN(Instances!F239:Instances!F239))</f>
        <v>0</v>
      </c>
      <c r="G239" s="1" cm="1">
        <f t="array" ref="G239">_xlfn.SWITCH($A$2,"average", AVERAGE(Instances!G239:Instances!G239),"median", MEDIAN(Instances!G239:Instances!G239),"min", MIN(Instances!G239:Instances!G239),"max", MAX(Instances!G239:Instances!G239),"diff", MAX(Instances!G239:Instances!G239)-MIN(Instances!G239:Instances!G239))</f>
        <v>0</v>
      </c>
      <c r="H239" s="1"/>
      <c r="I239" s="1"/>
      <c r="J239" s="1" cm="1">
        <f t="array" ref="J239">_xlfn.SWITCH($A$2,"average", AVERAGE(Instances!J239:Instances!J239),"median", MEDIAN(Instances!J239:Instances!J239),"min", MIN(Instances!J239:Instances!J239),"max", MAX(Instances!J239:Instances!J239),"diff", MAX(Instances!J239:Instances!J239)-MIN(Instances!J239:Instances!J239))</f>
        <v>0</v>
      </c>
      <c r="K239" s="1" cm="1">
        <f t="array" ref="K239">_xlfn.SWITCH($A$2,"average", AVERAGE(Instances!K239:Instances!K239),"median", MEDIAN(Instances!K239:Instances!K239),"min", MIN(Instances!K239:Instances!K239),"max", MAX(Instances!K239:Instances!K239),"diff", MAX(Instances!K239:Instances!K239)-MIN(Instances!K239:Instances!K239))</f>
        <v>0</v>
      </c>
      <c r="L239" s="1" cm="1">
        <f t="array" ref="L239">_xlfn.SWITCH($A$2,"average", AVERAGE(Instances!L239:Instances!L239),"median", MEDIAN(Instances!L239:Instances!L239),"min", MIN(Instances!L239:Instances!L239),"max", MAX(Instances!L239:Instances!L239),"diff", MAX(Instances!L239:Instances!L239)-MIN(Instances!L239:Instances!L239))</f>
        <v>0</v>
      </c>
      <c r="M239" s="1" cm="1">
        <f t="array" ref="M239">_xlfn.SWITCH($A$2,"average", AVERAGE(Instances!M239:Instances!M239),"median", MEDIAN(Instances!M239:Instances!M239),"min", MIN(Instances!M239:Instances!M239),"max", MAX(Instances!M239:Instances!M239),"diff", MAX(Instances!M239:Instances!M239)-MIN(Instances!M239:Instances!M239))</f>
        <v>0</v>
      </c>
      <c r="N239" s="1" cm="1">
        <f t="array" ref="N239">_xlfn.SWITCH($A$2,"average", AVERAGE(Instances!N239:Instances!N239),"median", MEDIAN(Instances!N239:Instances!N239),"min", MIN(Instances!N239:Instances!N239),"max", MAX(Instances!N239:Instances!N239),"diff", MAX(Instances!N239:Instances!N239)-MIN(Instances!N239:Instances!N239))</f>
        <v>0</v>
      </c>
      <c r="O239" s="1" cm="1">
        <f t="array" ref="O239">_xlfn.SWITCH($A$2,"average", AVERAGE(Instances!O239:Instances!O239),"median", MEDIAN(Instances!O239:Instances!O239),"min", MIN(Instances!O239:Instances!O239),"max", MAX(Instances!O239:Instances!O239),"diff", MAX(Instances!O239:Instances!O239)-MIN(Instances!O239:Instances!O239))</f>
        <v>0</v>
      </c>
      <c r="P239" s="1" cm="1">
        <f t="array" ref="P239">_xlfn.SWITCH($A$2,"average", AVERAGE(Instances!P239:Instances!P239),"median", MEDIAN(Instances!P239:Instances!P239),"min", MIN(Instances!P239:Instances!P239),"max", MAX(Instances!P239:Instances!P239),"diff", MAX(Instances!P239:Instances!P239)-MIN(Instances!P239:Instances!P239))</f>
        <v>0</v>
      </c>
      <c r="Q239" s="1" cm="1">
        <f t="array" ref="Q239">_xlfn.SWITCH($A$2,"average", AVERAGE(Instances!Q239:Instances!Q239),"median", MEDIAN(Instances!Q239:Instances!Q239),"min", MIN(Instances!Q239:Instances!Q239),"max", MAX(Instances!Q239:Instances!Q239),"diff", MAX(Instances!Q239:Instances!Q239)-MIN(Instances!Q239:Instances!Q239))</f>
        <v>0</v>
      </c>
      <c r="R239" s="1">
        <f>MIN($B239,$D239,$F239,$H239,$J239,$L239,$N239,$P239)</f>
        <v>0</v>
      </c>
      <c r="S239" s="1">
        <f>MIN($C239,$E239,$G239,$I239,$K239,$M239,$O239,$Q239)</f>
        <v>0</v>
      </c>
      <c r="T239" s="1">
        <f>MEDIAN($B239,$D239,$F239,$H239,$J239,$L239,$N239,$P239)</f>
        <v>0</v>
      </c>
      <c r="U239" s="1">
        <f>MEDIAN($C239,$E239,$G239,$I239,$K239,$M239,$O239,$Q239)</f>
        <v>0</v>
      </c>
      <c r="V239" s="1">
        <f>MAX($B239,$D239,$F239,$H239,$J239,$L239,$N239,$P239)</f>
        <v>0</v>
      </c>
      <c r="W239" s="1">
        <f>MAX($C239,$E239,$G239,$I239,$K239,$M239,$O239,$Q239)</f>
        <v>0</v>
      </c>
    </row>
    <row r="240" spans="1:23">
      <c r="A240" s="1" t="s">
        <v>237</v>
      </c>
      <c r="B240" s="1"/>
      <c r="C240" s="1"/>
      <c r="D240" s="1" cm="1">
        <f t="array" ref="D240">_xlfn.SWITCH($A$2,"average", AVERAGE(Instances!D240:Instances!D240),"median", MEDIAN(Instances!D240:Instances!D240),"min", MIN(Instances!D240:Instances!D240),"max", MAX(Instances!D240:Instances!D240),"diff", MAX(Instances!D240:Instances!D240)-MIN(Instances!D240:Instances!D240))</f>
        <v>0</v>
      </c>
      <c r="E240" s="1" cm="1">
        <f t="array" ref="E240">_xlfn.SWITCH($A$2,"average", AVERAGE(Instances!E240:Instances!E240),"median", MEDIAN(Instances!E240:Instances!E240),"min", MIN(Instances!E240:Instances!E240),"max", MAX(Instances!E240:Instances!E240),"diff", MAX(Instances!E240:Instances!E240)-MIN(Instances!E240:Instances!E240))</f>
        <v>0</v>
      </c>
      <c r="F240" s="1" cm="1">
        <f t="array" ref="F240">_xlfn.SWITCH($A$2,"average", AVERAGE(Instances!F240:Instances!F240),"median", MEDIAN(Instances!F240:Instances!F240),"min", MIN(Instances!F240:Instances!F240),"max", MAX(Instances!F240:Instances!F240),"diff", MAX(Instances!F240:Instances!F240)-MIN(Instances!F240:Instances!F240))</f>
        <v>0</v>
      </c>
      <c r="G240" s="1" cm="1">
        <f t="array" ref="G240">_xlfn.SWITCH($A$2,"average", AVERAGE(Instances!G240:Instances!G240),"median", MEDIAN(Instances!G240:Instances!G240),"min", MIN(Instances!G240:Instances!G240),"max", MAX(Instances!G240:Instances!G240),"diff", MAX(Instances!G240:Instances!G240)-MIN(Instances!G240:Instances!G240))</f>
        <v>0</v>
      </c>
      <c r="H240" s="1"/>
      <c r="I240" s="1"/>
      <c r="J240" s="1" cm="1">
        <f t="array" ref="J240">_xlfn.SWITCH($A$2,"average", AVERAGE(Instances!J240:Instances!J240),"median", MEDIAN(Instances!J240:Instances!J240),"min", MIN(Instances!J240:Instances!J240),"max", MAX(Instances!J240:Instances!J240),"diff", MAX(Instances!J240:Instances!J240)-MIN(Instances!J240:Instances!J240))</f>
        <v>0</v>
      </c>
      <c r="K240" s="1" cm="1">
        <f t="array" ref="K240">_xlfn.SWITCH($A$2,"average", AVERAGE(Instances!K240:Instances!K240),"median", MEDIAN(Instances!K240:Instances!K240),"min", MIN(Instances!K240:Instances!K240),"max", MAX(Instances!K240:Instances!K240),"diff", MAX(Instances!K240:Instances!K240)-MIN(Instances!K240:Instances!K240))</f>
        <v>0</v>
      </c>
      <c r="L240" s="1" cm="1">
        <f t="array" ref="L240">_xlfn.SWITCH($A$2,"average", AVERAGE(Instances!L240:Instances!L240),"median", MEDIAN(Instances!L240:Instances!L240),"min", MIN(Instances!L240:Instances!L240),"max", MAX(Instances!L240:Instances!L240),"diff", MAX(Instances!L240:Instances!L240)-MIN(Instances!L240:Instances!L240))</f>
        <v>0</v>
      </c>
      <c r="M240" s="1" cm="1">
        <f t="array" ref="M240">_xlfn.SWITCH($A$2,"average", AVERAGE(Instances!M240:Instances!M240),"median", MEDIAN(Instances!M240:Instances!M240),"min", MIN(Instances!M240:Instances!M240),"max", MAX(Instances!M240:Instances!M240),"diff", MAX(Instances!M240:Instances!M240)-MIN(Instances!M240:Instances!M240))</f>
        <v>0</v>
      </c>
      <c r="N240" s="1" cm="1">
        <f t="array" ref="N240">_xlfn.SWITCH($A$2,"average", AVERAGE(Instances!N240:Instances!N240),"median", MEDIAN(Instances!N240:Instances!N240),"min", MIN(Instances!N240:Instances!N240),"max", MAX(Instances!N240:Instances!N240),"diff", MAX(Instances!N240:Instances!N240)-MIN(Instances!N240:Instances!N240))</f>
        <v>0</v>
      </c>
      <c r="O240" s="1" cm="1">
        <f t="array" ref="O240">_xlfn.SWITCH($A$2,"average", AVERAGE(Instances!O240:Instances!O240),"median", MEDIAN(Instances!O240:Instances!O240),"min", MIN(Instances!O240:Instances!O240),"max", MAX(Instances!O240:Instances!O240),"diff", MAX(Instances!O240:Instances!O240)-MIN(Instances!O240:Instances!O240))</f>
        <v>0</v>
      </c>
      <c r="P240" s="1" cm="1">
        <f t="array" ref="P240">_xlfn.SWITCH($A$2,"average", AVERAGE(Instances!P240:Instances!P240),"median", MEDIAN(Instances!P240:Instances!P240),"min", MIN(Instances!P240:Instances!P240),"max", MAX(Instances!P240:Instances!P240),"diff", MAX(Instances!P240:Instances!P240)-MIN(Instances!P240:Instances!P240))</f>
        <v>0</v>
      </c>
      <c r="Q240" s="1" cm="1">
        <f t="array" ref="Q240">_xlfn.SWITCH($A$2,"average", AVERAGE(Instances!Q240:Instances!Q240),"median", MEDIAN(Instances!Q240:Instances!Q240),"min", MIN(Instances!Q240:Instances!Q240),"max", MAX(Instances!Q240:Instances!Q240),"diff", MAX(Instances!Q240:Instances!Q240)-MIN(Instances!Q240:Instances!Q240))</f>
        <v>0</v>
      </c>
      <c r="R240" s="1">
        <f>MIN($B240,$D240,$F240,$H240,$J240,$L240,$N240,$P240)</f>
        <v>0</v>
      </c>
      <c r="S240" s="1">
        <f>MIN($C240,$E240,$G240,$I240,$K240,$M240,$O240,$Q240)</f>
        <v>0</v>
      </c>
      <c r="T240" s="1">
        <f>MEDIAN($B240,$D240,$F240,$H240,$J240,$L240,$N240,$P240)</f>
        <v>0</v>
      </c>
      <c r="U240" s="1">
        <f>MEDIAN($C240,$E240,$G240,$I240,$K240,$M240,$O240,$Q240)</f>
        <v>0</v>
      </c>
      <c r="V240" s="1">
        <f>MAX($B240,$D240,$F240,$H240,$J240,$L240,$N240,$P240)</f>
        <v>0</v>
      </c>
      <c r="W240" s="1">
        <f>MAX($C240,$E240,$G240,$I240,$K240,$M240,$O240,$Q240)</f>
        <v>0</v>
      </c>
    </row>
    <row r="241" spans="1:23">
      <c r="A241" s="1" t="s">
        <v>238</v>
      </c>
      <c r="B241" s="1"/>
      <c r="C241" s="1"/>
      <c r="D241" s="1" cm="1">
        <f t="array" ref="D241">_xlfn.SWITCH($A$2,"average", AVERAGE(Instances!D241:Instances!D241),"median", MEDIAN(Instances!D241:Instances!D241),"min", MIN(Instances!D241:Instances!D241),"max", MAX(Instances!D241:Instances!D241),"diff", MAX(Instances!D241:Instances!D241)-MIN(Instances!D241:Instances!D241))</f>
        <v>0</v>
      </c>
      <c r="E241" s="1" cm="1">
        <f t="array" ref="E241">_xlfn.SWITCH($A$2,"average", AVERAGE(Instances!E241:Instances!E241),"median", MEDIAN(Instances!E241:Instances!E241),"min", MIN(Instances!E241:Instances!E241),"max", MAX(Instances!E241:Instances!E241),"diff", MAX(Instances!E241:Instances!E241)-MIN(Instances!E241:Instances!E241))</f>
        <v>0</v>
      </c>
      <c r="F241" s="1" cm="1">
        <f t="array" ref="F241">_xlfn.SWITCH($A$2,"average", AVERAGE(Instances!F241:Instances!F241),"median", MEDIAN(Instances!F241:Instances!F241),"min", MIN(Instances!F241:Instances!F241),"max", MAX(Instances!F241:Instances!F241),"diff", MAX(Instances!F241:Instances!F241)-MIN(Instances!F241:Instances!F241))</f>
        <v>0</v>
      </c>
      <c r="G241" s="1" cm="1">
        <f t="array" ref="G241">_xlfn.SWITCH($A$2,"average", AVERAGE(Instances!G241:Instances!G241),"median", MEDIAN(Instances!G241:Instances!G241),"min", MIN(Instances!G241:Instances!G241),"max", MAX(Instances!G241:Instances!G241),"diff", MAX(Instances!G241:Instances!G241)-MIN(Instances!G241:Instances!G241))</f>
        <v>0</v>
      </c>
      <c r="H241" s="1"/>
      <c r="I241" s="1"/>
      <c r="J241" s="1" cm="1">
        <f t="array" ref="J241">_xlfn.SWITCH($A$2,"average", AVERAGE(Instances!J241:Instances!J241),"median", MEDIAN(Instances!J241:Instances!J241),"min", MIN(Instances!J241:Instances!J241),"max", MAX(Instances!J241:Instances!J241),"diff", MAX(Instances!J241:Instances!J241)-MIN(Instances!J241:Instances!J241))</f>
        <v>0</v>
      </c>
      <c r="K241" s="1" cm="1">
        <f t="array" ref="K241">_xlfn.SWITCH($A$2,"average", AVERAGE(Instances!K241:Instances!K241),"median", MEDIAN(Instances!K241:Instances!K241),"min", MIN(Instances!K241:Instances!K241),"max", MAX(Instances!K241:Instances!K241),"diff", MAX(Instances!K241:Instances!K241)-MIN(Instances!K241:Instances!K241))</f>
        <v>0</v>
      </c>
      <c r="L241" s="1" cm="1">
        <f t="array" ref="L241">_xlfn.SWITCH($A$2,"average", AVERAGE(Instances!L241:Instances!L241),"median", MEDIAN(Instances!L241:Instances!L241),"min", MIN(Instances!L241:Instances!L241),"max", MAX(Instances!L241:Instances!L241),"diff", MAX(Instances!L241:Instances!L241)-MIN(Instances!L241:Instances!L241))</f>
        <v>0</v>
      </c>
      <c r="M241" s="1" cm="1">
        <f t="array" ref="M241">_xlfn.SWITCH($A$2,"average", AVERAGE(Instances!M241:Instances!M241),"median", MEDIAN(Instances!M241:Instances!M241),"min", MIN(Instances!M241:Instances!M241),"max", MAX(Instances!M241:Instances!M241),"diff", MAX(Instances!M241:Instances!M241)-MIN(Instances!M241:Instances!M241))</f>
        <v>0</v>
      </c>
      <c r="N241" s="1" cm="1">
        <f t="array" ref="N241">_xlfn.SWITCH($A$2,"average", AVERAGE(Instances!N241:Instances!N241),"median", MEDIAN(Instances!N241:Instances!N241),"min", MIN(Instances!N241:Instances!N241),"max", MAX(Instances!N241:Instances!N241),"diff", MAX(Instances!N241:Instances!N241)-MIN(Instances!N241:Instances!N241))</f>
        <v>0</v>
      </c>
      <c r="O241" s="1" cm="1">
        <f t="array" ref="O241">_xlfn.SWITCH($A$2,"average", AVERAGE(Instances!O241:Instances!O241),"median", MEDIAN(Instances!O241:Instances!O241),"min", MIN(Instances!O241:Instances!O241),"max", MAX(Instances!O241:Instances!O241),"diff", MAX(Instances!O241:Instances!O241)-MIN(Instances!O241:Instances!O241))</f>
        <v>0</v>
      </c>
      <c r="P241" s="1" cm="1">
        <f t="array" ref="P241">_xlfn.SWITCH($A$2,"average", AVERAGE(Instances!P241:Instances!P241),"median", MEDIAN(Instances!P241:Instances!P241),"min", MIN(Instances!P241:Instances!P241),"max", MAX(Instances!P241:Instances!P241),"diff", MAX(Instances!P241:Instances!P241)-MIN(Instances!P241:Instances!P241))</f>
        <v>0</v>
      </c>
      <c r="Q241" s="1" cm="1">
        <f t="array" ref="Q241">_xlfn.SWITCH($A$2,"average", AVERAGE(Instances!Q241:Instances!Q241),"median", MEDIAN(Instances!Q241:Instances!Q241),"min", MIN(Instances!Q241:Instances!Q241),"max", MAX(Instances!Q241:Instances!Q241),"diff", MAX(Instances!Q241:Instances!Q241)-MIN(Instances!Q241:Instances!Q241))</f>
        <v>0</v>
      </c>
      <c r="R241" s="1">
        <f>MIN($B241,$D241,$F241,$H241,$J241,$L241,$N241,$P241)</f>
        <v>0</v>
      </c>
      <c r="S241" s="1">
        <f>MIN($C241,$E241,$G241,$I241,$K241,$M241,$O241,$Q241)</f>
        <v>0</v>
      </c>
      <c r="T241" s="1">
        <f>MEDIAN($B241,$D241,$F241,$H241,$J241,$L241,$N241,$P241)</f>
        <v>0</v>
      </c>
      <c r="U241" s="1">
        <f>MEDIAN($C241,$E241,$G241,$I241,$K241,$M241,$O241,$Q241)</f>
        <v>0</v>
      </c>
      <c r="V241" s="1">
        <f>MAX($B241,$D241,$F241,$H241,$J241,$L241,$N241,$P241)</f>
        <v>0</v>
      </c>
      <c r="W241" s="1">
        <f>MAX($C241,$E241,$G241,$I241,$K241,$M241,$O241,$Q241)</f>
        <v>0</v>
      </c>
    </row>
    <row r="242" spans="1:23">
      <c r="A242" s="1" t="s">
        <v>239</v>
      </c>
      <c r="B242" s="1"/>
      <c r="C242" s="1"/>
      <c r="D242" s="1" cm="1">
        <f t="array" ref="D242">_xlfn.SWITCH($A$2,"average", AVERAGE(Instances!D242:Instances!D242),"median", MEDIAN(Instances!D242:Instances!D242),"min", MIN(Instances!D242:Instances!D242),"max", MAX(Instances!D242:Instances!D242),"diff", MAX(Instances!D242:Instances!D242)-MIN(Instances!D242:Instances!D242))</f>
        <v>0</v>
      </c>
      <c r="E242" s="1" cm="1">
        <f t="array" ref="E242">_xlfn.SWITCH($A$2,"average", AVERAGE(Instances!E242:Instances!E242),"median", MEDIAN(Instances!E242:Instances!E242),"min", MIN(Instances!E242:Instances!E242),"max", MAX(Instances!E242:Instances!E242),"diff", MAX(Instances!E242:Instances!E242)-MIN(Instances!E242:Instances!E242))</f>
        <v>0</v>
      </c>
      <c r="F242" s="1" cm="1">
        <f t="array" ref="F242">_xlfn.SWITCH($A$2,"average", AVERAGE(Instances!F242:Instances!F242),"median", MEDIAN(Instances!F242:Instances!F242),"min", MIN(Instances!F242:Instances!F242),"max", MAX(Instances!F242:Instances!F242),"diff", MAX(Instances!F242:Instances!F242)-MIN(Instances!F242:Instances!F242))</f>
        <v>0</v>
      </c>
      <c r="G242" s="1" cm="1">
        <f t="array" ref="G242">_xlfn.SWITCH($A$2,"average", AVERAGE(Instances!G242:Instances!G242),"median", MEDIAN(Instances!G242:Instances!G242),"min", MIN(Instances!G242:Instances!G242),"max", MAX(Instances!G242:Instances!G242),"diff", MAX(Instances!G242:Instances!G242)-MIN(Instances!G242:Instances!G242))</f>
        <v>0</v>
      </c>
      <c r="H242" s="1"/>
      <c r="I242" s="1"/>
      <c r="J242" s="1" cm="1">
        <f t="array" ref="J242">_xlfn.SWITCH($A$2,"average", AVERAGE(Instances!J242:Instances!J242),"median", MEDIAN(Instances!J242:Instances!J242),"min", MIN(Instances!J242:Instances!J242),"max", MAX(Instances!J242:Instances!J242),"diff", MAX(Instances!J242:Instances!J242)-MIN(Instances!J242:Instances!J242))</f>
        <v>0</v>
      </c>
      <c r="K242" s="1" cm="1">
        <f t="array" ref="K242">_xlfn.SWITCH($A$2,"average", AVERAGE(Instances!K242:Instances!K242),"median", MEDIAN(Instances!K242:Instances!K242),"min", MIN(Instances!K242:Instances!K242),"max", MAX(Instances!K242:Instances!K242),"diff", MAX(Instances!K242:Instances!K242)-MIN(Instances!K242:Instances!K242))</f>
        <v>0</v>
      </c>
      <c r="L242" s="1" cm="1">
        <f t="array" ref="L242">_xlfn.SWITCH($A$2,"average", AVERAGE(Instances!L242:Instances!L242),"median", MEDIAN(Instances!L242:Instances!L242),"min", MIN(Instances!L242:Instances!L242),"max", MAX(Instances!L242:Instances!L242),"diff", MAX(Instances!L242:Instances!L242)-MIN(Instances!L242:Instances!L242))</f>
        <v>0</v>
      </c>
      <c r="M242" s="1" cm="1">
        <f t="array" ref="M242">_xlfn.SWITCH($A$2,"average", AVERAGE(Instances!M242:Instances!M242),"median", MEDIAN(Instances!M242:Instances!M242),"min", MIN(Instances!M242:Instances!M242),"max", MAX(Instances!M242:Instances!M242),"diff", MAX(Instances!M242:Instances!M242)-MIN(Instances!M242:Instances!M242))</f>
        <v>0</v>
      </c>
      <c r="N242" s="1" cm="1">
        <f t="array" ref="N242">_xlfn.SWITCH($A$2,"average", AVERAGE(Instances!N242:Instances!N242),"median", MEDIAN(Instances!N242:Instances!N242),"min", MIN(Instances!N242:Instances!N242),"max", MAX(Instances!N242:Instances!N242),"diff", MAX(Instances!N242:Instances!N242)-MIN(Instances!N242:Instances!N242))</f>
        <v>0</v>
      </c>
      <c r="O242" s="1" cm="1">
        <f t="array" ref="O242">_xlfn.SWITCH($A$2,"average", AVERAGE(Instances!O242:Instances!O242),"median", MEDIAN(Instances!O242:Instances!O242),"min", MIN(Instances!O242:Instances!O242),"max", MAX(Instances!O242:Instances!O242),"diff", MAX(Instances!O242:Instances!O242)-MIN(Instances!O242:Instances!O242))</f>
        <v>0</v>
      </c>
      <c r="P242" s="1" cm="1">
        <f t="array" ref="P242">_xlfn.SWITCH($A$2,"average", AVERAGE(Instances!P242:Instances!P242),"median", MEDIAN(Instances!P242:Instances!P242),"min", MIN(Instances!P242:Instances!P242),"max", MAX(Instances!P242:Instances!P242),"diff", MAX(Instances!P242:Instances!P242)-MIN(Instances!P242:Instances!P242))</f>
        <v>0</v>
      </c>
      <c r="Q242" s="1" cm="1">
        <f t="array" ref="Q242">_xlfn.SWITCH($A$2,"average", AVERAGE(Instances!Q242:Instances!Q242),"median", MEDIAN(Instances!Q242:Instances!Q242),"min", MIN(Instances!Q242:Instances!Q242),"max", MAX(Instances!Q242:Instances!Q242),"diff", MAX(Instances!Q242:Instances!Q242)-MIN(Instances!Q242:Instances!Q242))</f>
        <v>0</v>
      </c>
      <c r="R242" s="1">
        <f>MIN($B242,$D242,$F242,$H242,$J242,$L242,$N242,$P242)</f>
        <v>0</v>
      </c>
      <c r="S242" s="1">
        <f>MIN($C242,$E242,$G242,$I242,$K242,$M242,$O242,$Q242)</f>
        <v>0</v>
      </c>
      <c r="T242" s="1">
        <f>MEDIAN($B242,$D242,$F242,$H242,$J242,$L242,$N242,$P242)</f>
        <v>0</v>
      </c>
      <c r="U242" s="1">
        <f>MEDIAN($C242,$E242,$G242,$I242,$K242,$M242,$O242,$Q242)</f>
        <v>0</v>
      </c>
      <c r="V242" s="1">
        <f>MAX($B242,$D242,$F242,$H242,$J242,$L242,$N242,$P242)</f>
        <v>0</v>
      </c>
      <c r="W242" s="1">
        <f>MAX($C242,$E242,$G242,$I242,$K242,$M242,$O242,$Q242)</f>
        <v>0</v>
      </c>
    </row>
    <row r="243" spans="1:23">
      <c r="A243" s="1" t="s">
        <v>240</v>
      </c>
      <c r="B243" s="1"/>
      <c r="C243" s="1"/>
      <c r="D243" s="1" cm="1">
        <f t="array" ref="D243">_xlfn.SWITCH($A$2,"average", AVERAGE(Instances!D243:Instances!D243),"median", MEDIAN(Instances!D243:Instances!D243),"min", MIN(Instances!D243:Instances!D243),"max", MAX(Instances!D243:Instances!D243),"diff", MAX(Instances!D243:Instances!D243)-MIN(Instances!D243:Instances!D243))</f>
        <v>0</v>
      </c>
      <c r="E243" s="1" cm="1">
        <f t="array" ref="E243">_xlfn.SWITCH($A$2,"average", AVERAGE(Instances!E243:Instances!E243),"median", MEDIAN(Instances!E243:Instances!E243),"min", MIN(Instances!E243:Instances!E243),"max", MAX(Instances!E243:Instances!E243),"diff", MAX(Instances!E243:Instances!E243)-MIN(Instances!E243:Instances!E243))</f>
        <v>0</v>
      </c>
      <c r="F243" s="1" cm="1">
        <f t="array" ref="F243">_xlfn.SWITCH($A$2,"average", AVERAGE(Instances!F243:Instances!F243),"median", MEDIAN(Instances!F243:Instances!F243),"min", MIN(Instances!F243:Instances!F243),"max", MAX(Instances!F243:Instances!F243),"diff", MAX(Instances!F243:Instances!F243)-MIN(Instances!F243:Instances!F243))</f>
        <v>0</v>
      </c>
      <c r="G243" s="1" cm="1">
        <f t="array" ref="G243">_xlfn.SWITCH($A$2,"average", AVERAGE(Instances!G243:Instances!G243),"median", MEDIAN(Instances!G243:Instances!G243),"min", MIN(Instances!G243:Instances!G243),"max", MAX(Instances!G243:Instances!G243),"diff", MAX(Instances!G243:Instances!G243)-MIN(Instances!G243:Instances!G243))</f>
        <v>0</v>
      </c>
      <c r="H243" s="1"/>
      <c r="I243" s="1"/>
      <c r="J243" s="1" cm="1">
        <f t="array" ref="J243">_xlfn.SWITCH($A$2,"average", AVERAGE(Instances!J243:Instances!J243),"median", MEDIAN(Instances!J243:Instances!J243),"min", MIN(Instances!J243:Instances!J243),"max", MAX(Instances!J243:Instances!J243),"diff", MAX(Instances!J243:Instances!J243)-MIN(Instances!J243:Instances!J243))</f>
        <v>0</v>
      </c>
      <c r="K243" s="1" cm="1">
        <f t="array" ref="K243">_xlfn.SWITCH($A$2,"average", AVERAGE(Instances!K243:Instances!K243),"median", MEDIAN(Instances!K243:Instances!K243),"min", MIN(Instances!K243:Instances!K243),"max", MAX(Instances!K243:Instances!K243),"diff", MAX(Instances!K243:Instances!K243)-MIN(Instances!K243:Instances!K243))</f>
        <v>0</v>
      </c>
      <c r="L243" s="1" cm="1">
        <f t="array" ref="L243">_xlfn.SWITCH($A$2,"average", AVERAGE(Instances!L243:Instances!L243),"median", MEDIAN(Instances!L243:Instances!L243),"min", MIN(Instances!L243:Instances!L243),"max", MAX(Instances!L243:Instances!L243),"diff", MAX(Instances!L243:Instances!L243)-MIN(Instances!L243:Instances!L243))</f>
        <v>0</v>
      </c>
      <c r="M243" s="1" cm="1">
        <f t="array" ref="M243">_xlfn.SWITCH($A$2,"average", AVERAGE(Instances!M243:Instances!M243),"median", MEDIAN(Instances!M243:Instances!M243),"min", MIN(Instances!M243:Instances!M243),"max", MAX(Instances!M243:Instances!M243),"diff", MAX(Instances!M243:Instances!M243)-MIN(Instances!M243:Instances!M243))</f>
        <v>0</v>
      </c>
      <c r="N243" s="1" cm="1">
        <f t="array" ref="N243">_xlfn.SWITCH($A$2,"average", AVERAGE(Instances!N243:Instances!N243),"median", MEDIAN(Instances!N243:Instances!N243),"min", MIN(Instances!N243:Instances!N243),"max", MAX(Instances!N243:Instances!N243),"diff", MAX(Instances!N243:Instances!N243)-MIN(Instances!N243:Instances!N243))</f>
        <v>0</v>
      </c>
      <c r="O243" s="1" cm="1">
        <f t="array" ref="O243">_xlfn.SWITCH($A$2,"average", AVERAGE(Instances!O243:Instances!O243),"median", MEDIAN(Instances!O243:Instances!O243),"min", MIN(Instances!O243:Instances!O243),"max", MAX(Instances!O243:Instances!O243),"diff", MAX(Instances!O243:Instances!O243)-MIN(Instances!O243:Instances!O243))</f>
        <v>0</v>
      </c>
      <c r="P243" s="1" cm="1">
        <f t="array" ref="P243">_xlfn.SWITCH($A$2,"average", AVERAGE(Instances!P243:Instances!P243),"median", MEDIAN(Instances!P243:Instances!P243),"min", MIN(Instances!P243:Instances!P243),"max", MAX(Instances!P243:Instances!P243),"diff", MAX(Instances!P243:Instances!P243)-MIN(Instances!P243:Instances!P243))</f>
        <v>0</v>
      </c>
      <c r="Q243" s="1" cm="1">
        <f t="array" ref="Q243">_xlfn.SWITCH($A$2,"average", AVERAGE(Instances!Q243:Instances!Q243),"median", MEDIAN(Instances!Q243:Instances!Q243),"min", MIN(Instances!Q243:Instances!Q243),"max", MAX(Instances!Q243:Instances!Q243),"diff", MAX(Instances!Q243:Instances!Q243)-MIN(Instances!Q243:Instances!Q243))</f>
        <v>0</v>
      </c>
      <c r="R243" s="1">
        <f>MIN($B243,$D243,$F243,$H243,$J243,$L243,$N243,$P243)</f>
        <v>0</v>
      </c>
      <c r="S243" s="1">
        <f>MIN($C243,$E243,$G243,$I243,$K243,$M243,$O243,$Q243)</f>
        <v>0</v>
      </c>
      <c r="T243" s="1">
        <f>MEDIAN($B243,$D243,$F243,$H243,$J243,$L243,$N243,$P243)</f>
        <v>0</v>
      </c>
      <c r="U243" s="1">
        <f>MEDIAN($C243,$E243,$G243,$I243,$K243,$M243,$O243,$Q243)</f>
        <v>0</v>
      </c>
      <c r="V243" s="1">
        <f>MAX($B243,$D243,$F243,$H243,$J243,$L243,$N243,$P243)</f>
        <v>0</v>
      </c>
      <c r="W243" s="1">
        <f>MAX($C243,$E243,$G243,$I243,$K243,$M243,$O243,$Q243)</f>
        <v>0</v>
      </c>
    </row>
    <row r="244" spans="1:23">
      <c r="A244" s="1" t="s">
        <v>241</v>
      </c>
      <c r="B244" s="1"/>
      <c r="C244" s="1"/>
      <c r="D244" s="1" cm="1">
        <f t="array" ref="D244">_xlfn.SWITCH($A$2,"average", AVERAGE(Instances!D244:Instances!D244),"median", MEDIAN(Instances!D244:Instances!D244),"min", MIN(Instances!D244:Instances!D244),"max", MAX(Instances!D244:Instances!D244),"diff", MAX(Instances!D244:Instances!D244)-MIN(Instances!D244:Instances!D244))</f>
        <v>0</v>
      </c>
      <c r="E244" s="1" cm="1">
        <f t="array" ref="E244">_xlfn.SWITCH($A$2,"average", AVERAGE(Instances!E244:Instances!E244),"median", MEDIAN(Instances!E244:Instances!E244),"min", MIN(Instances!E244:Instances!E244),"max", MAX(Instances!E244:Instances!E244),"diff", MAX(Instances!E244:Instances!E244)-MIN(Instances!E244:Instances!E244))</f>
        <v>0</v>
      </c>
      <c r="F244" s="1" cm="1">
        <f t="array" ref="F244">_xlfn.SWITCH($A$2,"average", AVERAGE(Instances!F244:Instances!F244),"median", MEDIAN(Instances!F244:Instances!F244),"min", MIN(Instances!F244:Instances!F244),"max", MAX(Instances!F244:Instances!F244),"diff", MAX(Instances!F244:Instances!F244)-MIN(Instances!F244:Instances!F244))</f>
        <v>0</v>
      </c>
      <c r="G244" s="1" cm="1">
        <f t="array" ref="G244">_xlfn.SWITCH($A$2,"average", AVERAGE(Instances!G244:Instances!G244),"median", MEDIAN(Instances!G244:Instances!G244),"min", MIN(Instances!G244:Instances!G244),"max", MAX(Instances!G244:Instances!G244),"diff", MAX(Instances!G244:Instances!G244)-MIN(Instances!G244:Instances!G244))</f>
        <v>0</v>
      </c>
      <c r="H244" s="1"/>
      <c r="I244" s="1"/>
      <c r="J244" s="1" cm="1">
        <f t="array" ref="J244">_xlfn.SWITCH($A$2,"average", AVERAGE(Instances!J244:Instances!J244),"median", MEDIAN(Instances!J244:Instances!J244),"min", MIN(Instances!J244:Instances!J244),"max", MAX(Instances!J244:Instances!J244),"diff", MAX(Instances!J244:Instances!J244)-MIN(Instances!J244:Instances!J244))</f>
        <v>0</v>
      </c>
      <c r="K244" s="1" cm="1">
        <f t="array" ref="K244">_xlfn.SWITCH($A$2,"average", AVERAGE(Instances!K244:Instances!K244),"median", MEDIAN(Instances!K244:Instances!K244),"min", MIN(Instances!K244:Instances!K244),"max", MAX(Instances!K244:Instances!K244),"diff", MAX(Instances!K244:Instances!K244)-MIN(Instances!K244:Instances!K244))</f>
        <v>0</v>
      </c>
      <c r="L244" s="1" cm="1">
        <f t="array" ref="L244">_xlfn.SWITCH($A$2,"average", AVERAGE(Instances!L244:Instances!L244),"median", MEDIAN(Instances!L244:Instances!L244),"min", MIN(Instances!L244:Instances!L244),"max", MAX(Instances!L244:Instances!L244),"diff", MAX(Instances!L244:Instances!L244)-MIN(Instances!L244:Instances!L244))</f>
        <v>0</v>
      </c>
      <c r="M244" s="1" cm="1">
        <f t="array" ref="M244">_xlfn.SWITCH($A$2,"average", AVERAGE(Instances!M244:Instances!M244),"median", MEDIAN(Instances!M244:Instances!M244),"min", MIN(Instances!M244:Instances!M244),"max", MAX(Instances!M244:Instances!M244),"diff", MAX(Instances!M244:Instances!M244)-MIN(Instances!M244:Instances!M244))</f>
        <v>0</v>
      </c>
      <c r="N244" s="1" cm="1">
        <f t="array" ref="N244">_xlfn.SWITCH($A$2,"average", AVERAGE(Instances!N244:Instances!N244),"median", MEDIAN(Instances!N244:Instances!N244),"min", MIN(Instances!N244:Instances!N244),"max", MAX(Instances!N244:Instances!N244),"diff", MAX(Instances!N244:Instances!N244)-MIN(Instances!N244:Instances!N244))</f>
        <v>0</v>
      </c>
      <c r="O244" s="1" cm="1">
        <f t="array" ref="O244">_xlfn.SWITCH($A$2,"average", AVERAGE(Instances!O244:Instances!O244),"median", MEDIAN(Instances!O244:Instances!O244),"min", MIN(Instances!O244:Instances!O244),"max", MAX(Instances!O244:Instances!O244),"diff", MAX(Instances!O244:Instances!O244)-MIN(Instances!O244:Instances!O244))</f>
        <v>0</v>
      </c>
      <c r="P244" s="1" cm="1">
        <f t="array" ref="P244">_xlfn.SWITCH($A$2,"average", AVERAGE(Instances!P244:Instances!P244),"median", MEDIAN(Instances!P244:Instances!P244),"min", MIN(Instances!P244:Instances!P244),"max", MAX(Instances!P244:Instances!P244),"diff", MAX(Instances!P244:Instances!P244)-MIN(Instances!P244:Instances!P244))</f>
        <v>0</v>
      </c>
      <c r="Q244" s="1" cm="1">
        <f t="array" ref="Q244">_xlfn.SWITCH($A$2,"average", AVERAGE(Instances!Q244:Instances!Q244),"median", MEDIAN(Instances!Q244:Instances!Q244),"min", MIN(Instances!Q244:Instances!Q244),"max", MAX(Instances!Q244:Instances!Q244),"diff", MAX(Instances!Q244:Instances!Q244)-MIN(Instances!Q244:Instances!Q244))</f>
        <v>0</v>
      </c>
      <c r="R244" s="1">
        <f>MIN($B244,$D244,$F244,$H244,$J244,$L244,$N244,$P244)</f>
        <v>0</v>
      </c>
      <c r="S244" s="1">
        <f>MIN($C244,$E244,$G244,$I244,$K244,$M244,$O244,$Q244)</f>
        <v>0</v>
      </c>
      <c r="T244" s="1">
        <f>MEDIAN($B244,$D244,$F244,$H244,$J244,$L244,$N244,$P244)</f>
        <v>0</v>
      </c>
      <c r="U244" s="1">
        <f>MEDIAN($C244,$E244,$G244,$I244,$K244,$M244,$O244,$Q244)</f>
        <v>0</v>
      </c>
      <c r="V244" s="1">
        <f>MAX($B244,$D244,$F244,$H244,$J244,$L244,$N244,$P244)</f>
        <v>0</v>
      </c>
      <c r="W244" s="1">
        <f>MAX($C244,$E244,$G244,$I244,$K244,$M244,$O244,$Q244)</f>
        <v>0</v>
      </c>
    </row>
    <row r="245" spans="1:23">
      <c r="A245" s="1" t="s">
        <v>242</v>
      </c>
      <c r="B245" s="1"/>
      <c r="C245" s="1"/>
      <c r="D245" s="1" cm="1">
        <f t="array" ref="D245">_xlfn.SWITCH($A$2,"average", AVERAGE(Instances!D245:Instances!D245),"median", MEDIAN(Instances!D245:Instances!D245),"min", MIN(Instances!D245:Instances!D245),"max", MAX(Instances!D245:Instances!D245),"diff", MAX(Instances!D245:Instances!D245)-MIN(Instances!D245:Instances!D245))</f>
        <v>0</v>
      </c>
      <c r="E245" s="1" cm="1">
        <f t="array" ref="E245">_xlfn.SWITCH($A$2,"average", AVERAGE(Instances!E245:Instances!E245),"median", MEDIAN(Instances!E245:Instances!E245),"min", MIN(Instances!E245:Instances!E245),"max", MAX(Instances!E245:Instances!E245),"diff", MAX(Instances!E245:Instances!E245)-MIN(Instances!E245:Instances!E245))</f>
        <v>0</v>
      </c>
      <c r="F245" s="1" cm="1">
        <f t="array" ref="F245">_xlfn.SWITCH($A$2,"average", AVERAGE(Instances!F245:Instances!F245),"median", MEDIAN(Instances!F245:Instances!F245),"min", MIN(Instances!F245:Instances!F245),"max", MAX(Instances!F245:Instances!F245),"diff", MAX(Instances!F245:Instances!F245)-MIN(Instances!F245:Instances!F245))</f>
        <v>0</v>
      </c>
      <c r="G245" s="1" cm="1">
        <f t="array" ref="G245">_xlfn.SWITCH($A$2,"average", AVERAGE(Instances!G245:Instances!G245),"median", MEDIAN(Instances!G245:Instances!G245),"min", MIN(Instances!G245:Instances!G245),"max", MAX(Instances!G245:Instances!G245),"diff", MAX(Instances!G245:Instances!G245)-MIN(Instances!G245:Instances!G245))</f>
        <v>0</v>
      </c>
      <c r="H245" s="1"/>
      <c r="I245" s="1"/>
      <c r="J245" s="1" cm="1">
        <f t="array" ref="J245">_xlfn.SWITCH($A$2,"average", AVERAGE(Instances!J245:Instances!J245),"median", MEDIAN(Instances!J245:Instances!J245),"min", MIN(Instances!J245:Instances!J245),"max", MAX(Instances!J245:Instances!J245),"diff", MAX(Instances!J245:Instances!J245)-MIN(Instances!J245:Instances!J245))</f>
        <v>0</v>
      </c>
      <c r="K245" s="1" cm="1">
        <f t="array" ref="K245">_xlfn.SWITCH($A$2,"average", AVERAGE(Instances!K245:Instances!K245),"median", MEDIAN(Instances!K245:Instances!K245),"min", MIN(Instances!K245:Instances!K245),"max", MAX(Instances!K245:Instances!K245),"diff", MAX(Instances!K245:Instances!K245)-MIN(Instances!K245:Instances!K245))</f>
        <v>0</v>
      </c>
      <c r="L245" s="1" cm="1">
        <f t="array" ref="L245">_xlfn.SWITCH($A$2,"average", AVERAGE(Instances!L245:Instances!L245),"median", MEDIAN(Instances!L245:Instances!L245),"min", MIN(Instances!L245:Instances!L245),"max", MAX(Instances!L245:Instances!L245),"diff", MAX(Instances!L245:Instances!L245)-MIN(Instances!L245:Instances!L245))</f>
        <v>0</v>
      </c>
      <c r="M245" s="1" cm="1">
        <f t="array" ref="M245">_xlfn.SWITCH($A$2,"average", AVERAGE(Instances!M245:Instances!M245),"median", MEDIAN(Instances!M245:Instances!M245),"min", MIN(Instances!M245:Instances!M245),"max", MAX(Instances!M245:Instances!M245),"diff", MAX(Instances!M245:Instances!M245)-MIN(Instances!M245:Instances!M245))</f>
        <v>0</v>
      </c>
      <c r="N245" s="1" cm="1">
        <f t="array" ref="N245">_xlfn.SWITCH($A$2,"average", AVERAGE(Instances!N245:Instances!N245),"median", MEDIAN(Instances!N245:Instances!N245),"min", MIN(Instances!N245:Instances!N245),"max", MAX(Instances!N245:Instances!N245),"diff", MAX(Instances!N245:Instances!N245)-MIN(Instances!N245:Instances!N245))</f>
        <v>0</v>
      </c>
      <c r="O245" s="1" cm="1">
        <f t="array" ref="O245">_xlfn.SWITCH($A$2,"average", AVERAGE(Instances!O245:Instances!O245),"median", MEDIAN(Instances!O245:Instances!O245),"min", MIN(Instances!O245:Instances!O245),"max", MAX(Instances!O245:Instances!O245),"diff", MAX(Instances!O245:Instances!O245)-MIN(Instances!O245:Instances!O245))</f>
        <v>0</v>
      </c>
      <c r="P245" s="1" cm="1">
        <f t="array" ref="P245">_xlfn.SWITCH($A$2,"average", AVERAGE(Instances!P245:Instances!P245),"median", MEDIAN(Instances!P245:Instances!P245),"min", MIN(Instances!P245:Instances!P245),"max", MAX(Instances!P245:Instances!P245),"diff", MAX(Instances!P245:Instances!P245)-MIN(Instances!P245:Instances!P245))</f>
        <v>0</v>
      </c>
      <c r="Q245" s="1" cm="1">
        <f t="array" ref="Q245">_xlfn.SWITCH($A$2,"average", AVERAGE(Instances!Q245:Instances!Q245),"median", MEDIAN(Instances!Q245:Instances!Q245),"min", MIN(Instances!Q245:Instances!Q245),"max", MAX(Instances!Q245:Instances!Q245),"diff", MAX(Instances!Q245:Instances!Q245)-MIN(Instances!Q245:Instances!Q245))</f>
        <v>0</v>
      </c>
      <c r="R245" s="1">
        <f>MIN($B245,$D245,$F245,$H245,$J245,$L245,$N245,$P245)</f>
        <v>0</v>
      </c>
      <c r="S245" s="1">
        <f>MIN($C245,$E245,$G245,$I245,$K245,$M245,$O245,$Q245)</f>
        <v>0</v>
      </c>
      <c r="T245" s="1">
        <f>MEDIAN($B245,$D245,$F245,$H245,$J245,$L245,$N245,$P245)</f>
        <v>0</v>
      </c>
      <c r="U245" s="1">
        <f>MEDIAN($C245,$E245,$G245,$I245,$K245,$M245,$O245,$Q245)</f>
        <v>0</v>
      </c>
      <c r="V245" s="1">
        <f>MAX($B245,$D245,$F245,$H245,$J245,$L245,$N245,$P245)</f>
        <v>0</v>
      </c>
      <c r="W245" s="1">
        <f>MAX($C245,$E245,$G245,$I245,$K245,$M245,$O245,$Q245)</f>
        <v>0</v>
      </c>
    </row>
    <row r="246" spans="1:23">
      <c r="A246" s="1" t="s">
        <v>243</v>
      </c>
      <c r="B246" s="1"/>
      <c r="C246" s="1"/>
      <c r="D246" s="1" cm="1">
        <f t="array" ref="D246">_xlfn.SWITCH($A$2,"average", AVERAGE(Instances!D246:Instances!D246),"median", MEDIAN(Instances!D246:Instances!D246),"min", MIN(Instances!D246:Instances!D246),"max", MAX(Instances!D246:Instances!D246),"diff", MAX(Instances!D246:Instances!D246)-MIN(Instances!D246:Instances!D246))</f>
        <v>0</v>
      </c>
      <c r="E246" s="1" cm="1">
        <f t="array" ref="E246">_xlfn.SWITCH($A$2,"average", AVERAGE(Instances!E246:Instances!E246),"median", MEDIAN(Instances!E246:Instances!E246),"min", MIN(Instances!E246:Instances!E246),"max", MAX(Instances!E246:Instances!E246),"diff", MAX(Instances!E246:Instances!E246)-MIN(Instances!E246:Instances!E246))</f>
        <v>0</v>
      </c>
      <c r="F246" s="1" cm="1">
        <f t="array" ref="F246">_xlfn.SWITCH($A$2,"average", AVERAGE(Instances!F246:Instances!F246),"median", MEDIAN(Instances!F246:Instances!F246),"min", MIN(Instances!F246:Instances!F246),"max", MAX(Instances!F246:Instances!F246),"diff", MAX(Instances!F246:Instances!F246)-MIN(Instances!F246:Instances!F246))</f>
        <v>0</v>
      </c>
      <c r="G246" s="1" cm="1">
        <f t="array" ref="G246">_xlfn.SWITCH($A$2,"average", AVERAGE(Instances!G246:Instances!G246),"median", MEDIAN(Instances!G246:Instances!G246),"min", MIN(Instances!G246:Instances!G246),"max", MAX(Instances!G246:Instances!G246),"diff", MAX(Instances!G246:Instances!G246)-MIN(Instances!G246:Instances!G246))</f>
        <v>0</v>
      </c>
      <c r="H246" s="1"/>
      <c r="I246" s="1"/>
      <c r="J246" s="1" cm="1">
        <f t="array" ref="J246">_xlfn.SWITCH($A$2,"average", AVERAGE(Instances!J246:Instances!J246),"median", MEDIAN(Instances!J246:Instances!J246),"min", MIN(Instances!J246:Instances!J246),"max", MAX(Instances!J246:Instances!J246),"diff", MAX(Instances!J246:Instances!J246)-MIN(Instances!J246:Instances!J246))</f>
        <v>0</v>
      </c>
      <c r="K246" s="1" cm="1">
        <f t="array" ref="K246">_xlfn.SWITCH($A$2,"average", AVERAGE(Instances!K246:Instances!K246),"median", MEDIAN(Instances!K246:Instances!K246),"min", MIN(Instances!K246:Instances!K246),"max", MAX(Instances!K246:Instances!K246),"diff", MAX(Instances!K246:Instances!K246)-MIN(Instances!K246:Instances!K246))</f>
        <v>0</v>
      </c>
      <c r="L246" s="1" cm="1">
        <f t="array" ref="L246">_xlfn.SWITCH($A$2,"average", AVERAGE(Instances!L246:Instances!L246),"median", MEDIAN(Instances!L246:Instances!L246),"min", MIN(Instances!L246:Instances!L246),"max", MAX(Instances!L246:Instances!L246),"diff", MAX(Instances!L246:Instances!L246)-MIN(Instances!L246:Instances!L246))</f>
        <v>0</v>
      </c>
      <c r="M246" s="1" cm="1">
        <f t="array" ref="M246">_xlfn.SWITCH($A$2,"average", AVERAGE(Instances!M246:Instances!M246),"median", MEDIAN(Instances!M246:Instances!M246),"min", MIN(Instances!M246:Instances!M246),"max", MAX(Instances!M246:Instances!M246),"diff", MAX(Instances!M246:Instances!M246)-MIN(Instances!M246:Instances!M246))</f>
        <v>0</v>
      </c>
      <c r="N246" s="1" cm="1">
        <f t="array" ref="N246">_xlfn.SWITCH($A$2,"average", AVERAGE(Instances!N246:Instances!N246),"median", MEDIAN(Instances!N246:Instances!N246),"min", MIN(Instances!N246:Instances!N246),"max", MAX(Instances!N246:Instances!N246),"diff", MAX(Instances!N246:Instances!N246)-MIN(Instances!N246:Instances!N246))</f>
        <v>0</v>
      </c>
      <c r="O246" s="1" cm="1">
        <f t="array" ref="O246">_xlfn.SWITCH($A$2,"average", AVERAGE(Instances!O246:Instances!O246),"median", MEDIAN(Instances!O246:Instances!O246),"min", MIN(Instances!O246:Instances!O246),"max", MAX(Instances!O246:Instances!O246),"diff", MAX(Instances!O246:Instances!O246)-MIN(Instances!O246:Instances!O246))</f>
        <v>0</v>
      </c>
      <c r="P246" s="1" cm="1">
        <f t="array" ref="P246">_xlfn.SWITCH($A$2,"average", AVERAGE(Instances!P246:Instances!P246),"median", MEDIAN(Instances!P246:Instances!P246),"min", MIN(Instances!P246:Instances!P246),"max", MAX(Instances!P246:Instances!P246),"diff", MAX(Instances!P246:Instances!P246)-MIN(Instances!P246:Instances!P246))</f>
        <v>0</v>
      </c>
      <c r="Q246" s="1" cm="1">
        <f t="array" ref="Q246">_xlfn.SWITCH($A$2,"average", AVERAGE(Instances!Q246:Instances!Q246),"median", MEDIAN(Instances!Q246:Instances!Q246),"min", MIN(Instances!Q246:Instances!Q246),"max", MAX(Instances!Q246:Instances!Q246),"diff", MAX(Instances!Q246:Instances!Q246)-MIN(Instances!Q246:Instances!Q246))</f>
        <v>0</v>
      </c>
      <c r="R246" s="1">
        <f>MIN($B246,$D246,$F246,$H246,$J246,$L246,$N246,$P246)</f>
        <v>0</v>
      </c>
      <c r="S246" s="1">
        <f>MIN($C246,$E246,$G246,$I246,$K246,$M246,$O246,$Q246)</f>
        <v>0</v>
      </c>
      <c r="T246" s="1">
        <f>MEDIAN($B246,$D246,$F246,$H246,$J246,$L246,$N246,$P246)</f>
        <v>0</v>
      </c>
      <c r="U246" s="1">
        <f>MEDIAN($C246,$E246,$G246,$I246,$K246,$M246,$O246,$Q246)</f>
        <v>0</v>
      </c>
      <c r="V246" s="1">
        <f>MAX($B246,$D246,$F246,$H246,$J246,$L246,$N246,$P246)</f>
        <v>0</v>
      </c>
      <c r="W246" s="1">
        <f>MAX($C246,$E246,$G246,$I246,$K246,$M246,$O246,$Q246)</f>
        <v>0</v>
      </c>
    </row>
    <row r="247" spans="1:23">
      <c r="A247" s="1" t="s">
        <v>244</v>
      </c>
      <c r="B247" s="1"/>
      <c r="C247" s="1"/>
      <c r="D247" s="1" cm="1">
        <f t="array" ref="D247">_xlfn.SWITCH($A$2,"average", AVERAGE(Instances!D247:Instances!D247),"median", MEDIAN(Instances!D247:Instances!D247),"min", MIN(Instances!D247:Instances!D247),"max", MAX(Instances!D247:Instances!D247),"diff", MAX(Instances!D247:Instances!D247)-MIN(Instances!D247:Instances!D247))</f>
        <v>0</v>
      </c>
      <c r="E247" s="1" cm="1">
        <f t="array" ref="E247">_xlfn.SWITCH($A$2,"average", AVERAGE(Instances!E247:Instances!E247),"median", MEDIAN(Instances!E247:Instances!E247),"min", MIN(Instances!E247:Instances!E247),"max", MAX(Instances!E247:Instances!E247),"diff", MAX(Instances!E247:Instances!E247)-MIN(Instances!E247:Instances!E247))</f>
        <v>0</v>
      </c>
      <c r="F247" s="1" cm="1">
        <f t="array" ref="F247">_xlfn.SWITCH($A$2,"average", AVERAGE(Instances!F247:Instances!F247),"median", MEDIAN(Instances!F247:Instances!F247),"min", MIN(Instances!F247:Instances!F247),"max", MAX(Instances!F247:Instances!F247),"diff", MAX(Instances!F247:Instances!F247)-MIN(Instances!F247:Instances!F247))</f>
        <v>0</v>
      </c>
      <c r="G247" s="1" cm="1">
        <f t="array" ref="G247">_xlfn.SWITCH($A$2,"average", AVERAGE(Instances!G247:Instances!G247),"median", MEDIAN(Instances!G247:Instances!G247),"min", MIN(Instances!G247:Instances!G247),"max", MAX(Instances!G247:Instances!G247),"diff", MAX(Instances!G247:Instances!G247)-MIN(Instances!G247:Instances!G247))</f>
        <v>0</v>
      </c>
      <c r="H247" s="1"/>
      <c r="I247" s="1"/>
      <c r="J247" s="1" cm="1">
        <f t="array" ref="J247">_xlfn.SWITCH($A$2,"average", AVERAGE(Instances!J247:Instances!J247),"median", MEDIAN(Instances!J247:Instances!J247),"min", MIN(Instances!J247:Instances!J247),"max", MAX(Instances!J247:Instances!J247),"diff", MAX(Instances!J247:Instances!J247)-MIN(Instances!J247:Instances!J247))</f>
        <v>0</v>
      </c>
      <c r="K247" s="1" cm="1">
        <f t="array" ref="K247">_xlfn.SWITCH($A$2,"average", AVERAGE(Instances!K247:Instances!K247),"median", MEDIAN(Instances!K247:Instances!K247),"min", MIN(Instances!K247:Instances!K247),"max", MAX(Instances!K247:Instances!K247),"diff", MAX(Instances!K247:Instances!K247)-MIN(Instances!K247:Instances!K247))</f>
        <v>0</v>
      </c>
      <c r="L247" s="1" cm="1">
        <f t="array" ref="L247">_xlfn.SWITCH($A$2,"average", AVERAGE(Instances!L247:Instances!L247),"median", MEDIAN(Instances!L247:Instances!L247),"min", MIN(Instances!L247:Instances!L247),"max", MAX(Instances!L247:Instances!L247),"diff", MAX(Instances!L247:Instances!L247)-MIN(Instances!L247:Instances!L247))</f>
        <v>0</v>
      </c>
      <c r="M247" s="1" cm="1">
        <f t="array" ref="M247">_xlfn.SWITCH($A$2,"average", AVERAGE(Instances!M247:Instances!M247),"median", MEDIAN(Instances!M247:Instances!M247),"min", MIN(Instances!M247:Instances!M247),"max", MAX(Instances!M247:Instances!M247),"diff", MAX(Instances!M247:Instances!M247)-MIN(Instances!M247:Instances!M247))</f>
        <v>0</v>
      </c>
      <c r="N247" s="1" cm="1">
        <f t="array" ref="N247">_xlfn.SWITCH($A$2,"average", AVERAGE(Instances!N247:Instances!N247),"median", MEDIAN(Instances!N247:Instances!N247),"min", MIN(Instances!N247:Instances!N247),"max", MAX(Instances!N247:Instances!N247),"diff", MAX(Instances!N247:Instances!N247)-MIN(Instances!N247:Instances!N247))</f>
        <v>0</v>
      </c>
      <c r="O247" s="1" cm="1">
        <f t="array" ref="O247">_xlfn.SWITCH($A$2,"average", AVERAGE(Instances!O247:Instances!O247),"median", MEDIAN(Instances!O247:Instances!O247),"min", MIN(Instances!O247:Instances!O247),"max", MAX(Instances!O247:Instances!O247),"diff", MAX(Instances!O247:Instances!O247)-MIN(Instances!O247:Instances!O247))</f>
        <v>0</v>
      </c>
      <c r="P247" s="1" cm="1">
        <f t="array" ref="P247">_xlfn.SWITCH($A$2,"average", AVERAGE(Instances!P247:Instances!P247),"median", MEDIAN(Instances!P247:Instances!P247),"min", MIN(Instances!P247:Instances!P247),"max", MAX(Instances!P247:Instances!P247),"diff", MAX(Instances!P247:Instances!P247)-MIN(Instances!P247:Instances!P247))</f>
        <v>0</v>
      </c>
      <c r="Q247" s="1" cm="1">
        <f t="array" ref="Q247">_xlfn.SWITCH($A$2,"average", AVERAGE(Instances!Q247:Instances!Q247),"median", MEDIAN(Instances!Q247:Instances!Q247),"min", MIN(Instances!Q247:Instances!Q247),"max", MAX(Instances!Q247:Instances!Q247),"diff", MAX(Instances!Q247:Instances!Q247)-MIN(Instances!Q247:Instances!Q247))</f>
        <v>0</v>
      </c>
      <c r="R247" s="1">
        <f>MIN($B247,$D247,$F247,$H247,$J247,$L247,$N247,$P247)</f>
        <v>0</v>
      </c>
      <c r="S247" s="1">
        <f>MIN($C247,$E247,$G247,$I247,$K247,$M247,$O247,$Q247)</f>
        <v>0</v>
      </c>
      <c r="T247" s="1">
        <f>MEDIAN($B247,$D247,$F247,$H247,$J247,$L247,$N247,$P247)</f>
        <v>0</v>
      </c>
      <c r="U247" s="1">
        <f>MEDIAN($C247,$E247,$G247,$I247,$K247,$M247,$O247,$Q247)</f>
        <v>0</v>
      </c>
      <c r="V247" s="1">
        <f>MAX($B247,$D247,$F247,$H247,$J247,$L247,$N247,$P247)</f>
        <v>0</v>
      </c>
      <c r="W247" s="1">
        <f>MAX($C247,$E247,$G247,$I247,$K247,$M247,$O247,$Q247)</f>
        <v>0</v>
      </c>
    </row>
    <row r="248" spans="1:23">
      <c r="A248" s="1" t="s">
        <v>245</v>
      </c>
      <c r="B248" s="1"/>
      <c r="C248" s="1"/>
      <c r="D248" s="1" cm="1">
        <f t="array" ref="D248">_xlfn.SWITCH($A$2,"average", AVERAGE(Instances!D248:Instances!D248),"median", MEDIAN(Instances!D248:Instances!D248),"min", MIN(Instances!D248:Instances!D248),"max", MAX(Instances!D248:Instances!D248),"diff", MAX(Instances!D248:Instances!D248)-MIN(Instances!D248:Instances!D248))</f>
        <v>0</v>
      </c>
      <c r="E248" s="1" cm="1">
        <f t="array" ref="E248">_xlfn.SWITCH($A$2,"average", AVERAGE(Instances!E248:Instances!E248),"median", MEDIAN(Instances!E248:Instances!E248),"min", MIN(Instances!E248:Instances!E248),"max", MAX(Instances!E248:Instances!E248),"diff", MAX(Instances!E248:Instances!E248)-MIN(Instances!E248:Instances!E248))</f>
        <v>0</v>
      </c>
      <c r="F248" s="1" cm="1">
        <f t="array" ref="F248">_xlfn.SWITCH($A$2,"average", AVERAGE(Instances!F248:Instances!F248),"median", MEDIAN(Instances!F248:Instances!F248),"min", MIN(Instances!F248:Instances!F248),"max", MAX(Instances!F248:Instances!F248),"diff", MAX(Instances!F248:Instances!F248)-MIN(Instances!F248:Instances!F248))</f>
        <v>0</v>
      </c>
      <c r="G248" s="1" cm="1">
        <f t="array" ref="G248">_xlfn.SWITCH($A$2,"average", AVERAGE(Instances!G248:Instances!G248),"median", MEDIAN(Instances!G248:Instances!G248),"min", MIN(Instances!G248:Instances!G248),"max", MAX(Instances!G248:Instances!G248),"diff", MAX(Instances!G248:Instances!G248)-MIN(Instances!G248:Instances!G248))</f>
        <v>0</v>
      </c>
      <c r="H248" s="1"/>
      <c r="I248" s="1"/>
      <c r="J248" s="1" cm="1">
        <f t="array" ref="J248">_xlfn.SWITCH($A$2,"average", AVERAGE(Instances!J248:Instances!J248),"median", MEDIAN(Instances!J248:Instances!J248),"min", MIN(Instances!J248:Instances!J248),"max", MAX(Instances!J248:Instances!J248),"diff", MAX(Instances!J248:Instances!J248)-MIN(Instances!J248:Instances!J248))</f>
        <v>0</v>
      </c>
      <c r="K248" s="1" cm="1">
        <f t="array" ref="K248">_xlfn.SWITCH($A$2,"average", AVERAGE(Instances!K248:Instances!K248),"median", MEDIAN(Instances!K248:Instances!K248),"min", MIN(Instances!K248:Instances!K248),"max", MAX(Instances!K248:Instances!K248),"diff", MAX(Instances!K248:Instances!K248)-MIN(Instances!K248:Instances!K248))</f>
        <v>0</v>
      </c>
      <c r="L248" s="1" cm="1">
        <f t="array" ref="L248">_xlfn.SWITCH($A$2,"average", AVERAGE(Instances!L248:Instances!L248),"median", MEDIAN(Instances!L248:Instances!L248),"min", MIN(Instances!L248:Instances!L248),"max", MAX(Instances!L248:Instances!L248),"diff", MAX(Instances!L248:Instances!L248)-MIN(Instances!L248:Instances!L248))</f>
        <v>0</v>
      </c>
      <c r="M248" s="1" cm="1">
        <f t="array" ref="M248">_xlfn.SWITCH($A$2,"average", AVERAGE(Instances!M248:Instances!M248),"median", MEDIAN(Instances!M248:Instances!M248),"min", MIN(Instances!M248:Instances!M248),"max", MAX(Instances!M248:Instances!M248),"diff", MAX(Instances!M248:Instances!M248)-MIN(Instances!M248:Instances!M248))</f>
        <v>0</v>
      </c>
      <c r="N248" s="1" cm="1">
        <f t="array" ref="N248">_xlfn.SWITCH($A$2,"average", AVERAGE(Instances!N248:Instances!N248),"median", MEDIAN(Instances!N248:Instances!N248),"min", MIN(Instances!N248:Instances!N248),"max", MAX(Instances!N248:Instances!N248),"diff", MAX(Instances!N248:Instances!N248)-MIN(Instances!N248:Instances!N248))</f>
        <v>0</v>
      </c>
      <c r="O248" s="1" cm="1">
        <f t="array" ref="O248">_xlfn.SWITCH($A$2,"average", AVERAGE(Instances!O248:Instances!O248),"median", MEDIAN(Instances!O248:Instances!O248),"min", MIN(Instances!O248:Instances!O248),"max", MAX(Instances!O248:Instances!O248),"diff", MAX(Instances!O248:Instances!O248)-MIN(Instances!O248:Instances!O248))</f>
        <v>0</v>
      </c>
      <c r="P248" s="1" cm="1">
        <f t="array" ref="P248">_xlfn.SWITCH($A$2,"average", AVERAGE(Instances!P248:Instances!P248),"median", MEDIAN(Instances!P248:Instances!P248),"min", MIN(Instances!P248:Instances!P248),"max", MAX(Instances!P248:Instances!P248),"diff", MAX(Instances!P248:Instances!P248)-MIN(Instances!P248:Instances!P248))</f>
        <v>0</v>
      </c>
      <c r="Q248" s="1" cm="1">
        <f t="array" ref="Q248">_xlfn.SWITCH($A$2,"average", AVERAGE(Instances!Q248:Instances!Q248),"median", MEDIAN(Instances!Q248:Instances!Q248),"min", MIN(Instances!Q248:Instances!Q248),"max", MAX(Instances!Q248:Instances!Q248),"diff", MAX(Instances!Q248:Instances!Q248)-MIN(Instances!Q248:Instances!Q248))</f>
        <v>0</v>
      </c>
      <c r="R248" s="1">
        <f>MIN($B248,$D248,$F248,$H248,$J248,$L248,$N248,$P248)</f>
        <v>0</v>
      </c>
      <c r="S248" s="1">
        <f>MIN($C248,$E248,$G248,$I248,$K248,$M248,$O248,$Q248)</f>
        <v>0</v>
      </c>
      <c r="T248" s="1">
        <f>MEDIAN($B248,$D248,$F248,$H248,$J248,$L248,$N248,$P248)</f>
        <v>0</v>
      </c>
      <c r="U248" s="1">
        <f>MEDIAN($C248,$E248,$G248,$I248,$K248,$M248,$O248,$Q248)</f>
        <v>0</v>
      </c>
      <c r="V248" s="1">
        <f>MAX($B248,$D248,$F248,$H248,$J248,$L248,$N248,$P248)</f>
        <v>0</v>
      </c>
      <c r="W248" s="1">
        <f>MAX($C248,$E248,$G248,$I248,$K248,$M248,$O248,$Q248)</f>
        <v>0</v>
      </c>
    </row>
    <row r="249" spans="1:23">
      <c r="A249" s="1" t="s">
        <v>246</v>
      </c>
      <c r="B249" s="1"/>
      <c r="C249" s="1"/>
      <c r="D249" s="1" cm="1">
        <f t="array" ref="D249">_xlfn.SWITCH($A$2,"average", AVERAGE(Instances!D249:Instances!D249),"median", MEDIAN(Instances!D249:Instances!D249),"min", MIN(Instances!D249:Instances!D249),"max", MAX(Instances!D249:Instances!D249),"diff", MAX(Instances!D249:Instances!D249)-MIN(Instances!D249:Instances!D249))</f>
        <v>0</v>
      </c>
      <c r="E249" s="1" cm="1">
        <f t="array" ref="E249">_xlfn.SWITCH($A$2,"average", AVERAGE(Instances!E249:Instances!E249),"median", MEDIAN(Instances!E249:Instances!E249),"min", MIN(Instances!E249:Instances!E249),"max", MAX(Instances!E249:Instances!E249),"diff", MAX(Instances!E249:Instances!E249)-MIN(Instances!E249:Instances!E249))</f>
        <v>0</v>
      </c>
      <c r="F249" s="1" cm="1">
        <f t="array" ref="F249">_xlfn.SWITCH($A$2,"average", AVERAGE(Instances!F249:Instances!F249),"median", MEDIAN(Instances!F249:Instances!F249),"min", MIN(Instances!F249:Instances!F249),"max", MAX(Instances!F249:Instances!F249),"diff", MAX(Instances!F249:Instances!F249)-MIN(Instances!F249:Instances!F249))</f>
        <v>0</v>
      </c>
      <c r="G249" s="1" cm="1">
        <f t="array" ref="G249">_xlfn.SWITCH($A$2,"average", AVERAGE(Instances!G249:Instances!G249),"median", MEDIAN(Instances!G249:Instances!G249),"min", MIN(Instances!G249:Instances!G249),"max", MAX(Instances!G249:Instances!G249),"diff", MAX(Instances!G249:Instances!G249)-MIN(Instances!G249:Instances!G249))</f>
        <v>0</v>
      </c>
      <c r="H249" s="1"/>
      <c r="I249" s="1"/>
      <c r="J249" s="1" cm="1">
        <f t="array" ref="J249">_xlfn.SWITCH($A$2,"average", AVERAGE(Instances!J249:Instances!J249),"median", MEDIAN(Instances!J249:Instances!J249),"min", MIN(Instances!J249:Instances!J249),"max", MAX(Instances!J249:Instances!J249),"diff", MAX(Instances!J249:Instances!J249)-MIN(Instances!J249:Instances!J249))</f>
        <v>0</v>
      </c>
      <c r="K249" s="1" cm="1">
        <f t="array" ref="K249">_xlfn.SWITCH($A$2,"average", AVERAGE(Instances!K249:Instances!K249),"median", MEDIAN(Instances!K249:Instances!K249),"min", MIN(Instances!K249:Instances!K249),"max", MAX(Instances!K249:Instances!K249),"diff", MAX(Instances!K249:Instances!K249)-MIN(Instances!K249:Instances!K249))</f>
        <v>0</v>
      </c>
      <c r="L249" s="1" cm="1">
        <f t="array" ref="L249">_xlfn.SWITCH($A$2,"average", AVERAGE(Instances!L249:Instances!L249),"median", MEDIAN(Instances!L249:Instances!L249),"min", MIN(Instances!L249:Instances!L249),"max", MAX(Instances!L249:Instances!L249),"diff", MAX(Instances!L249:Instances!L249)-MIN(Instances!L249:Instances!L249))</f>
        <v>0</v>
      </c>
      <c r="M249" s="1" cm="1">
        <f t="array" ref="M249">_xlfn.SWITCH($A$2,"average", AVERAGE(Instances!M249:Instances!M249),"median", MEDIAN(Instances!M249:Instances!M249),"min", MIN(Instances!M249:Instances!M249),"max", MAX(Instances!M249:Instances!M249),"diff", MAX(Instances!M249:Instances!M249)-MIN(Instances!M249:Instances!M249))</f>
        <v>0</v>
      </c>
      <c r="N249" s="1" cm="1">
        <f t="array" ref="N249">_xlfn.SWITCH($A$2,"average", AVERAGE(Instances!N249:Instances!N249),"median", MEDIAN(Instances!N249:Instances!N249),"min", MIN(Instances!N249:Instances!N249),"max", MAX(Instances!N249:Instances!N249),"diff", MAX(Instances!N249:Instances!N249)-MIN(Instances!N249:Instances!N249))</f>
        <v>0</v>
      </c>
      <c r="O249" s="1" cm="1">
        <f t="array" ref="O249">_xlfn.SWITCH($A$2,"average", AVERAGE(Instances!O249:Instances!O249),"median", MEDIAN(Instances!O249:Instances!O249),"min", MIN(Instances!O249:Instances!O249),"max", MAX(Instances!O249:Instances!O249),"diff", MAX(Instances!O249:Instances!O249)-MIN(Instances!O249:Instances!O249))</f>
        <v>0</v>
      </c>
      <c r="P249" s="1" cm="1">
        <f t="array" ref="P249">_xlfn.SWITCH($A$2,"average", AVERAGE(Instances!P249:Instances!P249),"median", MEDIAN(Instances!P249:Instances!P249),"min", MIN(Instances!P249:Instances!P249),"max", MAX(Instances!P249:Instances!P249),"diff", MAX(Instances!P249:Instances!P249)-MIN(Instances!P249:Instances!P249))</f>
        <v>0</v>
      </c>
      <c r="Q249" s="1" cm="1">
        <f t="array" ref="Q249">_xlfn.SWITCH($A$2,"average", AVERAGE(Instances!Q249:Instances!Q249),"median", MEDIAN(Instances!Q249:Instances!Q249),"min", MIN(Instances!Q249:Instances!Q249),"max", MAX(Instances!Q249:Instances!Q249),"diff", MAX(Instances!Q249:Instances!Q249)-MIN(Instances!Q249:Instances!Q249))</f>
        <v>0</v>
      </c>
      <c r="R249" s="1">
        <f>MIN($B249,$D249,$F249,$H249,$J249,$L249,$N249,$P249)</f>
        <v>0</v>
      </c>
      <c r="S249" s="1">
        <f>MIN($C249,$E249,$G249,$I249,$K249,$M249,$O249,$Q249)</f>
        <v>0</v>
      </c>
      <c r="T249" s="1">
        <f>MEDIAN($B249,$D249,$F249,$H249,$J249,$L249,$N249,$P249)</f>
        <v>0</v>
      </c>
      <c r="U249" s="1">
        <f>MEDIAN($C249,$E249,$G249,$I249,$K249,$M249,$O249,$Q249)</f>
        <v>0</v>
      </c>
      <c r="V249" s="1">
        <f>MAX($B249,$D249,$F249,$H249,$J249,$L249,$N249,$P249)</f>
        <v>0</v>
      </c>
      <c r="W249" s="1">
        <f>MAX($C249,$E249,$G249,$I249,$K249,$M249,$O249,$Q249)</f>
        <v>0</v>
      </c>
    </row>
    <row r="250" spans="1:23">
      <c r="A250" s="1" t="s">
        <v>247</v>
      </c>
      <c r="B250" s="1"/>
      <c r="C250" s="1"/>
      <c r="D250" s="1" cm="1">
        <f t="array" ref="D250">_xlfn.SWITCH($A$2,"average", AVERAGE(Instances!D250:Instances!D250),"median", MEDIAN(Instances!D250:Instances!D250),"min", MIN(Instances!D250:Instances!D250),"max", MAX(Instances!D250:Instances!D250),"diff", MAX(Instances!D250:Instances!D250)-MIN(Instances!D250:Instances!D250))</f>
        <v>0</v>
      </c>
      <c r="E250" s="1" cm="1">
        <f t="array" ref="E250">_xlfn.SWITCH($A$2,"average", AVERAGE(Instances!E250:Instances!E250),"median", MEDIAN(Instances!E250:Instances!E250),"min", MIN(Instances!E250:Instances!E250),"max", MAX(Instances!E250:Instances!E250),"diff", MAX(Instances!E250:Instances!E250)-MIN(Instances!E250:Instances!E250))</f>
        <v>0</v>
      </c>
      <c r="F250" s="1" cm="1">
        <f t="array" ref="F250">_xlfn.SWITCH($A$2,"average", AVERAGE(Instances!F250:Instances!F250),"median", MEDIAN(Instances!F250:Instances!F250),"min", MIN(Instances!F250:Instances!F250),"max", MAX(Instances!F250:Instances!F250),"diff", MAX(Instances!F250:Instances!F250)-MIN(Instances!F250:Instances!F250))</f>
        <v>0</v>
      </c>
      <c r="G250" s="1" cm="1">
        <f t="array" ref="G250">_xlfn.SWITCH($A$2,"average", AVERAGE(Instances!G250:Instances!G250),"median", MEDIAN(Instances!G250:Instances!G250),"min", MIN(Instances!G250:Instances!G250),"max", MAX(Instances!G250:Instances!G250),"diff", MAX(Instances!G250:Instances!G250)-MIN(Instances!G250:Instances!G250))</f>
        <v>0</v>
      </c>
      <c r="H250" s="1"/>
      <c r="I250" s="1"/>
      <c r="J250" s="1" cm="1">
        <f t="array" ref="J250">_xlfn.SWITCH($A$2,"average", AVERAGE(Instances!J250:Instances!J250),"median", MEDIAN(Instances!J250:Instances!J250),"min", MIN(Instances!J250:Instances!J250),"max", MAX(Instances!J250:Instances!J250),"diff", MAX(Instances!J250:Instances!J250)-MIN(Instances!J250:Instances!J250))</f>
        <v>0</v>
      </c>
      <c r="K250" s="1" cm="1">
        <f t="array" ref="K250">_xlfn.SWITCH($A$2,"average", AVERAGE(Instances!K250:Instances!K250),"median", MEDIAN(Instances!K250:Instances!K250),"min", MIN(Instances!K250:Instances!K250),"max", MAX(Instances!K250:Instances!K250),"diff", MAX(Instances!K250:Instances!K250)-MIN(Instances!K250:Instances!K250))</f>
        <v>0</v>
      </c>
      <c r="L250" s="1" cm="1">
        <f t="array" ref="L250">_xlfn.SWITCH($A$2,"average", AVERAGE(Instances!L250:Instances!L250),"median", MEDIAN(Instances!L250:Instances!L250),"min", MIN(Instances!L250:Instances!L250),"max", MAX(Instances!L250:Instances!L250),"diff", MAX(Instances!L250:Instances!L250)-MIN(Instances!L250:Instances!L250))</f>
        <v>0</v>
      </c>
      <c r="M250" s="1" cm="1">
        <f t="array" ref="M250">_xlfn.SWITCH($A$2,"average", AVERAGE(Instances!M250:Instances!M250),"median", MEDIAN(Instances!M250:Instances!M250),"min", MIN(Instances!M250:Instances!M250),"max", MAX(Instances!M250:Instances!M250),"diff", MAX(Instances!M250:Instances!M250)-MIN(Instances!M250:Instances!M250))</f>
        <v>0</v>
      </c>
      <c r="N250" s="1" cm="1">
        <f t="array" ref="N250">_xlfn.SWITCH($A$2,"average", AVERAGE(Instances!N250:Instances!N250),"median", MEDIAN(Instances!N250:Instances!N250),"min", MIN(Instances!N250:Instances!N250),"max", MAX(Instances!N250:Instances!N250),"diff", MAX(Instances!N250:Instances!N250)-MIN(Instances!N250:Instances!N250))</f>
        <v>0</v>
      </c>
      <c r="O250" s="1" cm="1">
        <f t="array" ref="O250">_xlfn.SWITCH($A$2,"average", AVERAGE(Instances!O250:Instances!O250),"median", MEDIAN(Instances!O250:Instances!O250),"min", MIN(Instances!O250:Instances!O250),"max", MAX(Instances!O250:Instances!O250),"diff", MAX(Instances!O250:Instances!O250)-MIN(Instances!O250:Instances!O250))</f>
        <v>0</v>
      </c>
      <c r="P250" s="1" cm="1">
        <f t="array" ref="P250">_xlfn.SWITCH($A$2,"average", AVERAGE(Instances!P250:Instances!P250),"median", MEDIAN(Instances!P250:Instances!P250),"min", MIN(Instances!P250:Instances!P250),"max", MAX(Instances!P250:Instances!P250),"diff", MAX(Instances!P250:Instances!P250)-MIN(Instances!P250:Instances!P250))</f>
        <v>0</v>
      </c>
      <c r="Q250" s="1" cm="1">
        <f t="array" ref="Q250">_xlfn.SWITCH($A$2,"average", AVERAGE(Instances!Q250:Instances!Q250),"median", MEDIAN(Instances!Q250:Instances!Q250),"min", MIN(Instances!Q250:Instances!Q250),"max", MAX(Instances!Q250:Instances!Q250),"diff", MAX(Instances!Q250:Instances!Q250)-MIN(Instances!Q250:Instances!Q250))</f>
        <v>0</v>
      </c>
      <c r="R250" s="1">
        <f>MIN($B250,$D250,$F250,$H250,$J250,$L250,$N250,$P250)</f>
        <v>0</v>
      </c>
      <c r="S250" s="1">
        <f>MIN($C250,$E250,$G250,$I250,$K250,$M250,$O250,$Q250)</f>
        <v>0</v>
      </c>
      <c r="T250" s="1">
        <f>MEDIAN($B250,$D250,$F250,$H250,$J250,$L250,$N250,$P250)</f>
        <v>0</v>
      </c>
      <c r="U250" s="1">
        <f>MEDIAN($C250,$E250,$G250,$I250,$K250,$M250,$O250,$Q250)</f>
        <v>0</v>
      </c>
      <c r="V250" s="1">
        <f>MAX($B250,$D250,$F250,$H250,$J250,$L250,$N250,$P250)</f>
        <v>0</v>
      </c>
      <c r="W250" s="1">
        <f>MAX($C250,$E250,$G250,$I250,$K250,$M250,$O250,$Q250)</f>
        <v>0</v>
      </c>
    </row>
    <row r="251" spans="1:23">
      <c r="A251" s="1" t="s">
        <v>248</v>
      </c>
      <c r="B251" s="1"/>
      <c r="C251" s="1"/>
      <c r="D251" s="1" cm="1">
        <f t="array" ref="D251">_xlfn.SWITCH($A$2,"average", AVERAGE(Instances!D251:Instances!D251),"median", MEDIAN(Instances!D251:Instances!D251),"min", MIN(Instances!D251:Instances!D251),"max", MAX(Instances!D251:Instances!D251),"diff", MAX(Instances!D251:Instances!D251)-MIN(Instances!D251:Instances!D251))</f>
        <v>0</v>
      </c>
      <c r="E251" s="1" cm="1">
        <f t="array" ref="E251">_xlfn.SWITCH($A$2,"average", AVERAGE(Instances!E251:Instances!E251),"median", MEDIAN(Instances!E251:Instances!E251),"min", MIN(Instances!E251:Instances!E251),"max", MAX(Instances!E251:Instances!E251),"diff", MAX(Instances!E251:Instances!E251)-MIN(Instances!E251:Instances!E251))</f>
        <v>0</v>
      </c>
      <c r="F251" s="1" cm="1">
        <f t="array" ref="F251">_xlfn.SWITCH($A$2,"average", AVERAGE(Instances!F251:Instances!F251),"median", MEDIAN(Instances!F251:Instances!F251),"min", MIN(Instances!F251:Instances!F251),"max", MAX(Instances!F251:Instances!F251),"diff", MAX(Instances!F251:Instances!F251)-MIN(Instances!F251:Instances!F251))</f>
        <v>0</v>
      </c>
      <c r="G251" s="1" cm="1">
        <f t="array" ref="G251">_xlfn.SWITCH($A$2,"average", AVERAGE(Instances!G251:Instances!G251),"median", MEDIAN(Instances!G251:Instances!G251),"min", MIN(Instances!G251:Instances!G251),"max", MAX(Instances!G251:Instances!G251),"diff", MAX(Instances!G251:Instances!G251)-MIN(Instances!G251:Instances!G251))</f>
        <v>0</v>
      </c>
      <c r="H251" s="1"/>
      <c r="I251" s="1"/>
      <c r="J251" s="1" cm="1">
        <f t="array" ref="J251">_xlfn.SWITCH($A$2,"average", AVERAGE(Instances!J251:Instances!J251),"median", MEDIAN(Instances!J251:Instances!J251),"min", MIN(Instances!J251:Instances!J251),"max", MAX(Instances!J251:Instances!J251),"diff", MAX(Instances!J251:Instances!J251)-MIN(Instances!J251:Instances!J251))</f>
        <v>0</v>
      </c>
      <c r="K251" s="1" cm="1">
        <f t="array" ref="K251">_xlfn.SWITCH($A$2,"average", AVERAGE(Instances!K251:Instances!K251),"median", MEDIAN(Instances!K251:Instances!K251),"min", MIN(Instances!K251:Instances!K251),"max", MAX(Instances!K251:Instances!K251),"diff", MAX(Instances!K251:Instances!K251)-MIN(Instances!K251:Instances!K251))</f>
        <v>0</v>
      </c>
      <c r="L251" s="1" cm="1">
        <f t="array" ref="L251">_xlfn.SWITCH($A$2,"average", AVERAGE(Instances!L251:Instances!L251),"median", MEDIAN(Instances!L251:Instances!L251),"min", MIN(Instances!L251:Instances!L251),"max", MAX(Instances!L251:Instances!L251),"diff", MAX(Instances!L251:Instances!L251)-MIN(Instances!L251:Instances!L251))</f>
        <v>0</v>
      </c>
      <c r="M251" s="1" cm="1">
        <f t="array" ref="M251">_xlfn.SWITCH($A$2,"average", AVERAGE(Instances!M251:Instances!M251),"median", MEDIAN(Instances!M251:Instances!M251),"min", MIN(Instances!M251:Instances!M251),"max", MAX(Instances!M251:Instances!M251),"diff", MAX(Instances!M251:Instances!M251)-MIN(Instances!M251:Instances!M251))</f>
        <v>0</v>
      </c>
      <c r="N251" s="1" cm="1">
        <f t="array" ref="N251">_xlfn.SWITCH($A$2,"average", AVERAGE(Instances!N251:Instances!N251),"median", MEDIAN(Instances!N251:Instances!N251),"min", MIN(Instances!N251:Instances!N251),"max", MAX(Instances!N251:Instances!N251),"diff", MAX(Instances!N251:Instances!N251)-MIN(Instances!N251:Instances!N251))</f>
        <v>0</v>
      </c>
      <c r="O251" s="1" cm="1">
        <f t="array" ref="O251">_xlfn.SWITCH($A$2,"average", AVERAGE(Instances!O251:Instances!O251),"median", MEDIAN(Instances!O251:Instances!O251),"min", MIN(Instances!O251:Instances!O251),"max", MAX(Instances!O251:Instances!O251),"diff", MAX(Instances!O251:Instances!O251)-MIN(Instances!O251:Instances!O251))</f>
        <v>0</v>
      </c>
      <c r="P251" s="1" cm="1">
        <f t="array" ref="P251">_xlfn.SWITCH($A$2,"average", AVERAGE(Instances!P251:Instances!P251),"median", MEDIAN(Instances!P251:Instances!P251),"min", MIN(Instances!P251:Instances!P251),"max", MAX(Instances!P251:Instances!P251),"diff", MAX(Instances!P251:Instances!P251)-MIN(Instances!P251:Instances!P251))</f>
        <v>0</v>
      </c>
      <c r="Q251" s="1" cm="1">
        <f t="array" ref="Q251">_xlfn.SWITCH($A$2,"average", AVERAGE(Instances!Q251:Instances!Q251),"median", MEDIAN(Instances!Q251:Instances!Q251),"min", MIN(Instances!Q251:Instances!Q251),"max", MAX(Instances!Q251:Instances!Q251),"diff", MAX(Instances!Q251:Instances!Q251)-MIN(Instances!Q251:Instances!Q251))</f>
        <v>0</v>
      </c>
      <c r="R251" s="1">
        <f>MIN($B251,$D251,$F251,$H251,$J251,$L251,$N251,$P251)</f>
        <v>0</v>
      </c>
      <c r="S251" s="1">
        <f>MIN($C251,$E251,$G251,$I251,$K251,$M251,$O251,$Q251)</f>
        <v>0</v>
      </c>
      <c r="T251" s="1">
        <f>MEDIAN($B251,$D251,$F251,$H251,$J251,$L251,$N251,$P251)</f>
        <v>0</v>
      </c>
      <c r="U251" s="1">
        <f>MEDIAN($C251,$E251,$G251,$I251,$K251,$M251,$O251,$Q251)</f>
        <v>0</v>
      </c>
      <c r="V251" s="1">
        <f>MAX($B251,$D251,$F251,$H251,$J251,$L251,$N251,$P251)</f>
        <v>0</v>
      </c>
      <c r="W251" s="1">
        <f>MAX($C251,$E251,$G251,$I251,$K251,$M251,$O251,$Q251)</f>
        <v>0</v>
      </c>
    </row>
    <row r="252" spans="1:23">
      <c r="A252" s="1" t="s">
        <v>249</v>
      </c>
      <c r="B252" s="1"/>
      <c r="C252" s="1"/>
      <c r="D252" s="1" cm="1">
        <f t="array" ref="D252">_xlfn.SWITCH($A$2,"average", AVERAGE(Instances!D252:Instances!D252),"median", MEDIAN(Instances!D252:Instances!D252),"min", MIN(Instances!D252:Instances!D252),"max", MAX(Instances!D252:Instances!D252),"diff", MAX(Instances!D252:Instances!D252)-MIN(Instances!D252:Instances!D252))</f>
        <v>0</v>
      </c>
      <c r="E252" s="1" cm="1">
        <f t="array" ref="E252">_xlfn.SWITCH($A$2,"average", AVERAGE(Instances!E252:Instances!E252),"median", MEDIAN(Instances!E252:Instances!E252),"min", MIN(Instances!E252:Instances!E252),"max", MAX(Instances!E252:Instances!E252),"diff", MAX(Instances!E252:Instances!E252)-MIN(Instances!E252:Instances!E252))</f>
        <v>0</v>
      </c>
      <c r="F252" s="1" cm="1">
        <f t="array" ref="F252">_xlfn.SWITCH($A$2,"average", AVERAGE(Instances!F252:Instances!F252),"median", MEDIAN(Instances!F252:Instances!F252),"min", MIN(Instances!F252:Instances!F252),"max", MAX(Instances!F252:Instances!F252),"diff", MAX(Instances!F252:Instances!F252)-MIN(Instances!F252:Instances!F252))</f>
        <v>0</v>
      </c>
      <c r="G252" s="1" cm="1">
        <f t="array" ref="G252">_xlfn.SWITCH($A$2,"average", AVERAGE(Instances!G252:Instances!G252),"median", MEDIAN(Instances!G252:Instances!G252),"min", MIN(Instances!G252:Instances!G252),"max", MAX(Instances!G252:Instances!G252),"diff", MAX(Instances!G252:Instances!G252)-MIN(Instances!G252:Instances!G252))</f>
        <v>0</v>
      </c>
      <c r="H252" s="1"/>
      <c r="I252" s="1"/>
      <c r="J252" s="1" cm="1">
        <f t="array" ref="J252">_xlfn.SWITCH($A$2,"average", AVERAGE(Instances!J252:Instances!J252),"median", MEDIAN(Instances!J252:Instances!J252),"min", MIN(Instances!J252:Instances!J252),"max", MAX(Instances!J252:Instances!J252),"diff", MAX(Instances!J252:Instances!J252)-MIN(Instances!J252:Instances!J252))</f>
        <v>0</v>
      </c>
      <c r="K252" s="1" cm="1">
        <f t="array" ref="K252">_xlfn.SWITCH($A$2,"average", AVERAGE(Instances!K252:Instances!K252),"median", MEDIAN(Instances!K252:Instances!K252),"min", MIN(Instances!K252:Instances!K252),"max", MAX(Instances!K252:Instances!K252),"diff", MAX(Instances!K252:Instances!K252)-MIN(Instances!K252:Instances!K252))</f>
        <v>0</v>
      </c>
      <c r="L252" s="1" cm="1">
        <f t="array" ref="L252">_xlfn.SWITCH($A$2,"average", AVERAGE(Instances!L252:Instances!L252),"median", MEDIAN(Instances!L252:Instances!L252),"min", MIN(Instances!L252:Instances!L252),"max", MAX(Instances!L252:Instances!L252),"diff", MAX(Instances!L252:Instances!L252)-MIN(Instances!L252:Instances!L252))</f>
        <v>0</v>
      </c>
      <c r="M252" s="1" cm="1">
        <f t="array" ref="M252">_xlfn.SWITCH($A$2,"average", AVERAGE(Instances!M252:Instances!M252),"median", MEDIAN(Instances!M252:Instances!M252),"min", MIN(Instances!M252:Instances!M252),"max", MAX(Instances!M252:Instances!M252),"diff", MAX(Instances!M252:Instances!M252)-MIN(Instances!M252:Instances!M252))</f>
        <v>0</v>
      </c>
      <c r="N252" s="1" cm="1">
        <f t="array" ref="N252">_xlfn.SWITCH($A$2,"average", AVERAGE(Instances!N252:Instances!N252),"median", MEDIAN(Instances!N252:Instances!N252),"min", MIN(Instances!N252:Instances!N252),"max", MAX(Instances!N252:Instances!N252),"diff", MAX(Instances!N252:Instances!N252)-MIN(Instances!N252:Instances!N252))</f>
        <v>0</v>
      </c>
      <c r="O252" s="1" cm="1">
        <f t="array" ref="O252">_xlfn.SWITCH($A$2,"average", AVERAGE(Instances!O252:Instances!O252),"median", MEDIAN(Instances!O252:Instances!O252),"min", MIN(Instances!O252:Instances!O252),"max", MAX(Instances!O252:Instances!O252),"diff", MAX(Instances!O252:Instances!O252)-MIN(Instances!O252:Instances!O252))</f>
        <v>0</v>
      </c>
      <c r="P252" s="1" cm="1">
        <f t="array" ref="P252">_xlfn.SWITCH($A$2,"average", AVERAGE(Instances!P252:Instances!P252),"median", MEDIAN(Instances!P252:Instances!P252),"min", MIN(Instances!P252:Instances!P252),"max", MAX(Instances!P252:Instances!P252),"diff", MAX(Instances!P252:Instances!P252)-MIN(Instances!P252:Instances!P252))</f>
        <v>0</v>
      </c>
      <c r="Q252" s="1" cm="1">
        <f t="array" ref="Q252">_xlfn.SWITCH($A$2,"average", AVERAGE(Instances!Q252:Instances!Q252),"median", MEDIAN(Instances!Q252:Instances!Q252),"min", MIN(Instances!Q252:Instances!Q252),"max", MAX(Instances!Q252:Instances!Q252),"diff", MAX(Instances!Q252:Instances!Q252)-MIN(Instances!Q252:Instances!Q252))</f>
        <v>0</v>
      </c>
      <c r="R252" s="1">
        <f>MIN($B252,$D252,$F252,$H252,$J252,$L252,$N252,$P252)</f>
        <v>0</v>
      </c>
      <c r="S252" s="1">
        <f>MIN($C252,$E252,$G252,$I252,$K252,$M252,$O252,$Q252)</f>
        <v>0</v>
      </c>
      <c r="T252" s="1">
        <f>MEDIAN($B252,$D252,$F252,$H252,$J252,$L252,$N252,$P252)</f>
        <v>0</v>
      </c>
      <c r="U252" s="1">
        <f>MEDIAN($C252,$E252,$G252,$I252,$K252,$M252,$O252,$Q252)</f>
        <v>0</v>
      </c>
      <c r="V252" s="1">
        <f>MAX($B252,$D252,$F252,$H252,$J252,$L252,$N252,$P252)</f>
        <v>0</v>
      </c>
      <c r="W252" s="1">
        <f>MAX($C252,$E252,$G252,$I252,$K252,$M252,$O252,$Q252)</f>
        <v>0</v>
      </c>
    </row>
    <row r="253" spans="1:23">
      <c r="A253" s="1" t="s">
        <v>250</v>
      </c>
      <c r="B253" s="1"/>
      <c r="C253" s="1"/>
      <c r="D253" s="1" cm="1">
        <f t="array" ref="D253">_xlfn.SWITCH($A$2,"average", AVERAGE(Instances!D253:Instances!D253),"median", MEDIAN(Instances!D253:Instances!D253),"min", MIN(Instances!D253:Instances!D253),"max", MAX(Instances!D253:Instances!D253),"diff", MAX(Instances!D253:Instances!D253)-MIN(Instances!D253:Instances!D253))</f>
        <v>0</v>
      </c>
      <c r="E253" s="1" cm="1">
        <f t="array" ref="E253">_xlfn.SWITCH($A$2,"average", AVERAGE(Instances!E253:Instances!E253),"median", MEDIAN(Instances!E253:Instances!E253),"min", MIN(Instances!E253:Instances!E253),"max", MAX(Instances!E253:Instances!E253),"diff", MAX(Instances!E253:Instances!E253)-MIN(Instances!E253:Instances!E253))</f>
        <v>0</v>
      </c>
      <c r="F253" s="1" cm="1">
        <f t="array" ref="F253">_xlfn.SWITCH($A$2,"average", AVERAGE(Instances!F253:Instances!F253),"median", MEDIAN(Instances!F253:Instances!F253),"min", MIN(Instances!F253:Instances!F253),"max", MAX(Instances!F253:Instances!F253),"diff", MAX(Instances!F253:Instances!F253)-MIN(Instances!F253:Instances!F253))</f>
        <v>0</v>
      </c>
      <c r="G253" s="1" cm="1">
        <f t="array" ref="G253">_xlfn.SWITCH($A$2,"average", AVERAGE(Instances!G253:Instances!G253),"median", MEDIAN(Instances!G253:Instances!G253),"min", MIN(Instances!G253:Instances!G253),"max", MAX(Instances!G253:Instances!G253),"diff", MAX(Instances!G253:Instances!G253)-MIN(Instances!G253:Instances!G253))</f>
        <v>0</v>
      </c>
      <c r="H253" s="1"/>
      <c r="I253" s="1"/>
      <c r="J253" s="1" cm="1">
        <f t="array" ref="J253">_xlfn.SWITCH($A$2,"average", AVERAGE(Instances!J253:Instances!J253),"median", MEDIAN(Instances!J253:Instances!J253),"min", MIN(Instances!J253:Instances!J253),"max", MAX(Instances!J253:Instances!J253),"diff", MAX(Instances!J253:Instances!J253)-MIN(Instances!J253:Instances!J253))</f>
        <v>0</v>
      </c>
      <c r="K253" s="1" cm="1">
        <f t="array" ref="K253">_xlfn.SWITCH($A$2,"average", AVERAGE(Instances!K253:Instances!K253),"median", MEDIAN(Instances!K253:Instances!K253),"min", MIN(Instances!K253:Instances!K253),"max", MAX(Instances!K253:Instances!K253),"diff", MAX(Instances!K253:Instances!K253)-MIN(Instances!K253:Instances!K253))</f>
        <v>0</v>
      </c>
      <c r="L253" s="1" cm="1">
        <f t="array" ref="L253">_xlfn.SWITCH($A$2,"average", AVERAGE(Instances!L253:Instances!L253),"median", MEDIAN(Instances!L253:Instances!L253),"min", MIN(Instances!L253:Instances!L253),"max", MAX(Instances!L253:Instances!L253),"diff", MAX(Instances!L253:Instances!L253)-MIN(Instances!L253:Instances!L253))</f>
        <v>0</v>
      </c>
      <c r="M253" s="1" cm="1">
        <f t="array" ref="M253">_xlfn.SWITCH($A$2,"average", AVERAGE(Instances!M253:Instances!M253),"median", MEDIAN(Instances!M253:Instances!M253),"min", MIN(Instances!M253:Instances!M253),"max", MAX(Instances!M253:Instances!M253),"diff", MAX(Instances!M253:Instances!M253)-MIN(Instances!M253:Instances!M253))</f>
        <v>0</v>
      </c>
      <c r="N253" s="1" cm="1">
        <f t="array" ref="N253">_xlfn.SWITCH($A$2,"average", AVERAGE(Instances!N253:Instances!N253),"median", MEDIAN(Instances!N253:Instances!N253),"min", MIN(Instances!N253:Instances!N253),"max", MAX(Instances!N253:Instances!N253),"diff", MAX(Instances!N253:Instances!N253)-MIN(Instances!N253:Instances!N253))</f>
        <v>0</v>
      </c>
      <c r="O253" s="1" cm="1">
        <f t="array" ref="O253">_xlfn.SWITCH($A$2,"average", AVERAGE(Instances!O253:Instances!O253),"median", MEDIAN(Instances!O253:Instances!O253),"min", MIN(Instances!O253:Instances!O253),"max", MAX(Instances!O253:Instances!O253),"diff", MAX(Instances!O253:Instances!O253)-MIN(Instances!O253:Instances!O253))</f>
        <v>0</v>
      </c>
      <c r="P253" s="1" cm="1">
        <f t="array" ref="P253">_xlfn.SWITCH($A$2,"average", AVERAGE(Instances!P253:Instances!P253),"median", MEDIAN(Instances!P253:Instances!P253),"min", MIN(Instances!P253:Instances!P253),"max", MAX(Instances!P253:Instances!P253),"diff", MAX(Instances!P253:Instances!P253)-MIN(Instances!P253:Instances!P253))</f>
        <v>0</v>
      </c>
      <c r="Q253" s="1" cm="1">
        <f t="array" ref="Q253">_xlfn.SWITCH($A$2,"average", AVERAGE(Instances!Q253:Instances!Q253),"median", MEDIAN(Instances!Q253:Instances!Q253),"min", MIN(Instances!Q253:Instances!Q253),"max", MAX(Instances!Q253:Instances!Q253),"diff", MAX(Instances!Q253:Instances!Q253)-MIN(Instances!Q253:Instances!Q253))</f>
        <v>0</v>
      </c>
      <c r="R253" s="1">
        <f>MIN($B253,$D253,$F253,$H253,$J253,$L253,$N253,$P253)</f>
        <v>0</v>
      </c>
      <c r="S253" s="1">
        <f>MIN($C253,$E253,$G253,$I253,$K253,$M253,$O253,$Q253)</f>
        <v>0</v>
      </c>
      <c r="T253" s="1">
        <f>MEDIAN($B253,$D253,$F253,$H253,$J253,$L253,$N253,$P253)</f>
        <v>0</v>
      </c>
      <c r="U253" s="1">
        <f>MEDIAN($C253,$E253,$G253,$I253,$K253,$M253,$O253,$Q253)</f>
        <v>0</v>
      </c>
      <c r="V253" s="1">
        <f>MAX($B253,$D253,$F253,$H253,$J253,$L253,$N253,$P253)</f>
        <v>0</v>
      </c>
      <c r="W253" s="1">
        <f>MAX($C253,$E253,$G253,$I253,$K253,$M253,$O253,$Q253)</f>
        <v>0</v>
      </c>
    </row>
    <row r="254" spans="1:23">
      <c r="A254" s="1" t="s">
        <v>251</v>
      </c>
      <c r="B254" s="1"/>
      <c r="C254" s="1"/>
      <c r="D254" s="1" cm="1">
        <f t="array" ref="D254">_xlfn.SWITCH($A$2,"average", AVERAGE(Instances!D254:Instances!D254),"median", MEDIAN(Instances!D254:Instances!D254),"min", MIN(Instances!D254:Instances!D254),"max", MAX(Instances!D254:Instances!D254),"diff", MAX(Instances!D254:Instances!D254)-MIN(Instances!D254:Instances!D254))</f>
        <v>0</v>
      </c>
      <c r="E254" s="1" cm="1">
        <f t="array" ref="E254">_xlfn.SWITCH($A$2,"average", AVERAGE(Instances!E254:Instances!E254),"median", MEDIAN(Instances!E254:Instances!E254),"min", MIN(Instances!E254:Instances!E254),"max", MAX(Instances!E254:Instances!E254),"diff", MAX(Instances!E254:Instances!E254)-MIN(Instances!E254:Instances!E254))</f>
        <v>0</v>
      </c>
      <c r="F254" s="1" cm="1">
        <f t="array" ref="F254">_xlfn.SWITCH($A$2,"average", AVERAGE(Instances!F254:Instances!F254),"median", MEDIAN(Instances!F254:Instances!F254),"min", MIN(Instances!F254:Instances!F254),"max", MAX(Instances!F254:Instances!F254),"diff", MAX(Instances!F254:Instances!F254)-MIN(Instances!F254:Instances!F254))</f>
        <v>0</v>
      </c>
      <c r="G254" s="1" cm="1">
        <f t="array" ref="G254">_xlfn.SWITCH($A$2,"average", AVERAGE(Instances!G254:Instances!G254),"median", MEDIAN(Instances!G254:Instances!G254),"min", MIN(Instances!G254:Instances!G254),"max", MAX(Instances!G254:Instances!G254),"diff", MAX(Instances!G254:Instances!G254)-MIN(Instances!G254:Instances!G254))</f>
        <v>0</v>
      </c>
      <c r="H254" s="1"/>
      <c r="I254" s="1"/>
      <c r="J254" s="1" cm="1">
        <f t="array" ref="J254">_xlfn.SWITCH($A$2,"average", AVERAGE(Instances!J254:Instances!J254),"median", MEDIAN(Instances!J254:Instances!J254),"min", MIN(Instances!J254:Instances!J254),"max", MAX(Instances!J254:Instances!J254),"diff", MAX(Instances!J254:Instances!J254)-MIN(Instances!J254:Instances!J254))</f>
        <v>0</v>
      </c>
      <c r="K254" s="1" cm="1">
        <f t="array" ref="K254">_xlfn.SWITCH($A$2,"average", AVERAGE(Instances!K254:Instances!K254),"median", MEDIAN(Instances!K254:Instances!K254),"min", MIN(Instances!K254:Instances!K254),"max", MAX(Instances!K254:Instances!K254),"diff", MAX(Instances!K254:Instances!K254)-MIN(Instances!K254:Instances!K254))</f>
        <v>0</v>
      </c>
      <c r="L254" s="1" cm="1">
        <f t="array" ref="L254">_xlfn.SWITCH($A$2,"average", AVERAGE(Instances!L254:Instances!L254),"median", MEDIAN(Instances!L254:Instances!L254),"min", MIN(Instances!L254:Instances!L254),"max", MAX(Instances!L254:Instances!L254),"diff", MAX(Instances!L254:Instances!L254)-MIN(Instances!L254:Instances!L254))</f>
        <v>0</v>
      </c>
      <c r="M254" s="1" cm="1">
        <f t="array" ref="M254">_xlfn.SWITCH($A$2,"average", AVERAGE(Instances!M254:Instances!M254),"median", MEDIAN(Instances!M254:Instances!M254),"min", MIN(Instances!M254:Instances!M254),"max", MAX(Instances!M254:Instances!M254),"diff", MAX(Instances!M254:Instances!M254)-MIN(Instances!M254:Instances!M254))</f>
        <v>0</v>
      </c>
      <c r="N254" s="1" cm="1">
        <f t="array" ref="N254">_xlfn.SWITCH($A$2,"average", AVERAGE(Instances!N254:Instances!N254),"median", MEDIAN(Instances!N254:Instances!N254),"min", MIN(Instances!N254:Instances!N254),"max", MAX(Instances!N254:Instances!N254),"diff", MAX(Instances!N254:Instances!N254)-MIN(Instances!N254:Instances!N254))</f>
        <v>0</v>
      </c>
      <c r="O254" s="1" cm="1">
        <f t="array" ref="O254">_xlfn.SWITCH($A$2,"average", AVERAGE(Instances!O254:Instances!O254),"median", MEDIAN(Instances!O254:Instances!O254),"min", MIN(Instances!O254:Instances!O254),"max", MAX(Instances!O254:Instances!O254),"diff", MAX(Instances!O254:Instances!O254)-MIN(Instances!O254:Instances!O254))</f>
        <v>0</v>
      </c>
      <c r="P254" s="1" cm="1">
        <f t="array" ref="P254">_xlfn.SWITCH($A$2,"average", AVERAGE(Instances!P254:Instances!P254),"median", MEDIAN(Instances!P254:Instances!P254),"min", MIN(Instances!P254:Instances!P254),"max", MAX(Instances!P254:Instances!P254),"diff", MAX(Instances!P254:Instances!P254)-MIN(Instances!P254:Instances!P254))</f>
        <v>0</v>
      </c>
      <c r="Q254" s="1" cm="1">
        <f t="array" ref="Q254">_xlfn.SWITCH($A$2,"average", AVERAGE(Instances!Q254:Instances!Q254),"median", MEDIAN(Instances!Q254:Instances!Q254),"min", MIN(Instances!Q254:Instances!Q254),"max", MAX(Instances!Q254:Instances!Q254),"diff", MAX(Instances!Q254:Instances!Q254)-MIN(Instances!Q254:Instances!Q254))</f>
        <v>0</v>
      </c>
      <c r="R254" s="1">
        <f>MIN($B254,$D254,$F254,$H254,$J254,$L254,$N254,$P254)</f>
        <v>0</v>
      </c>
      <c r="S254" s="1">
        <f>MIN($C254,$E254,$G254,$I254,$K254,$M254,$O254,$Q254)</f>
        <v>0</v>
      </c>
      <c r="T254" s="1">
        <f>MEDIAN($B254,$D254,$F254,$H254,$J254,$L254,$N254,$P254)</f>
        <v>0</v>
      </c>
      <c r="U254" s="1">
        <f>MEDIAN($C254,$E254,$G254,$I254,$K254,$M254,$O254,$Q254)</f>
        <v>0</v>
      </c>
      <c r="V254" s="1">
        <f>MAX($B254,$D254,$F254,$H254,$J254,$L254,$N254,$P254)</f>
        <v>0</v>
      </c>
      <c r="W254" s="1">
        <f>MAX($C254,$E254,$G254,$I254,$K254,$M254,$O254,$Q254)</f>
        <v>0</v>
      </c>
    </row>
    <row r="255" spans="1:23">
      <c r="A255" s="1" t="s">
        <v>252</v>
      </c>
      <c r="B255" s="1"/>
      <c r="C255" s="1"/>
      <c r="D255" s="1" cm="1">
        <f t="array" ref="D255">_xlfn.SWITCH($A$2,"average", AVERAGE(Instances!D255:Instances!D255),"median", MEDIAN(Instances!D255:Instances!D255),"min", MIN(Instances!D255:Instances!D255),"max", MAX(Instances!D255:Instances!D255),"diff", MAX(Instances!D255:Instances!D255)-MIN(Instances!D255:Instances!D255))</f>
        <v>0</v>
      </c>
      <c r="E255" s="1" cm="1">
        <f t="array" ref="E255">_xlfn.SWITCH($A$2,"average", AVERAGE(Instances!E255:Instances!E255),"median", MEDIAN(Instances!E255:Instances!E255),"min", MIN(Instances!E255:Instances!E255),"max", MAX(Instances!E255:Instances!E255),"diff", MAX(Instances!E255:Instances!E255)-MIN(Instances!E255:Instances!E255))</f>
        <v>0</v>
      </c>
      <c r="F255" s="1" cm="1">
        <f t="array" ref="F255">_xlfn.SWITCH($A$2,"average", AVERAGE(Instances!F255:Instances!F255),"median", MEDIAN(Instances!F255:Instances!F255),"min", MIN(Instances!F255:Instances!F255),"max", MAX(Instances!F255:Instances!F255),"diff", MAX(Instances!F255:Instances!F255)-MIN(Instances!F255:Instances!F255))</f>
        <v>0</v>
      </c>
      <c r="G255" s="1" cm="1">
        <f t="array" ref="G255">_xlfn.SWITCH($A$2,"average", AVERAGE(Instances!G255:Instances!G255),"median", MEDIAN(Instances!G255:Instances!G255),"min", MIN(Instances!G255:Instances!G255),"max", MAX(Instances!G255:Instances!G255),"diff", MAX(Instances!G255:Instances!G255)-MIN(Instances!G255:Instances!G255))</f>
        <v>0</v>
      </c>
      <c r="H255" s="1"/>
      <c r="I255" s="1"/>
      <c r="J255" s="1" cm="1">
        <f t="array" ref="J255">_xlfn.SWITCH($A$2,"average", AVERAGE(Instances!J255:Instances!J255),"median", MEDIAN(Instances!J255:Instances!J255),"min", MIN(Instances!J255:Instances!J255),"max", MAX(Instances!J255:Instances!J255),"diff", MAX(Instances!J255:Instances!J255)-MIN(Instances!J255:Instances!J255))</f>
        <v>0</v>
      </c>
      <c r="K255" s="1" cm="1">
        <f t="array" ref="K255">_xlfn.SWITCH($A$2,"average", AVERAGE(Instances!K255:Instances!K255),"median", MEDIAN(Instances!K255:Instances!K255),"min", MIN(Instances!K255:Instances!K255),"max", MAX(Instances!K255:Instances!K255),"diff", MAX(Instances!K255:Instances!K255)-MIN(Instances!K255:Instances!K255))</f>
        <v>0</v>
      </c>
      <c r="L255" s="1" cm="1">
        <f t="array" ref="L255">_xlfn.SWITCH($A$2,"average", AVERAGE(Instances!L255:Instances!L255),"median", MEDIAN(Instances!L255:Instances!L255),"min", MIN(Instances!L255:Instances!L255),"max", MAX(Instances!L255:Instances!L255),"diff", MAX(Instances!L255:Instances!L255)-MIN(Instances!L255:Instances!L255))</f>
        <v>0</v>
      </c>
      <c r="M255" s="1" cm="1">
        <f t="array" ref="M255">_xlfn.SWITCH($A$2,"average", AVERAGE(Instances!M255:Instances!M255),"median", MEDIAN(Instances!M255:Instances!M255),"min", MIN(Instances!M255:Instances!M255),"max", MAX(Instances!M255:Instances!M255),"diff", MAX(Instances!M255:Instances!M255)-MIN(Instances!M255:Instances!M255))</f>
        <v>0</v>
      </c>
      <c r="N255" s="1" cm="1">
        <f t="array" ref="N255">_xlfn.SWITCH($A$2,"average", AVERAGE(Instances!N255:Instances!N255),"median", MEDIAN(Instances!N255:Instances!N255),"min", MIN(Instances!N255:Instances!N255),"max", MAX(Instances!N255:Instances!N255),"diff", MAX(Instances!N255:Instances!N255)-MIN(Instances!N255:Instances!N255))</f>
        <v>0</v>
      </c>
      <c r="O255" s="1" cm="1">
        <f t="array" ref="O255">_xlfn.SWITCH($A$2,"average", AVERAGE(Instances!O255:Instances!O255),"median", MEDIAN(Instances!O255:Instances!O255),"min", MIN(Instances!O255:Instances!O255),"max", MAX(Instances!O255:Instances!O255),"diff", MAX(Instances!O255:Instances!O255)-MIN(Instances!O255:Instances!O255))</f>
        <v>0</v>
      </c>
      <c r="P255" s="1" cm="1">
        <f t="array" ref="P255">_xlfn.SWITCH($A$2,"average", AVERAGE(Instances!P255:Instances!P255),"median", MEDIAN(Instances!P255:Instances!P255),"min", MIN(Instances!P255:Instances!P255),"max", MAX(Instances!P255:Instances!P255),"diff", MAX(Instances!P255:Instances!P255)-MIN(Instances!P255:Instances!P255))</f>
        <v>0</v>
      </c>
      <c r="Q255" s="1" cm="1">
        <f t="array" ref="Q255">_xlfn.SWITCH($A$2,"average", AVERAGE(Instances!Q255:Instances!Q255),"median", MEDIAN(Instances!Q255:Instances!Q255),"min", MIN(Instances!Q255:Instances!Q255),"max", MAX(Instances!Q255:Instances!Q255),"diff", MAX(Instances!Q255:Instances!Q255)-MIN(Instances!Q255:Instances!Q255))</f>
        <v>0</v>
      </c>
      <c r="R255" s="1">
        <f>MIN($B255,$D255,$F255,$H255,$J255,$L255,$N255,$P255)</f>
        <v>0</v>
      </c>
      <c r="S255" s="1">
        <f>MIN($C255,$E255,$G255,$I255,$K255,$M255,$O255,$Q255)</f>
        <v>0</v>
      </c>
      <c r="T255" s="1">
        <f>MEDIAN($B255,$D255,$F255,$H255,$J255,$L255,$N255,$P255)</f>
        <v>0</v>
      </c>
      <c r="U255" s="1">
        <f>MEDIAN($C255,$E255,$G255,$I255,$K255,$M255,$O255,$Q255)</f>
        <v>0</v>
      </c>
      <c r="V255" s="1">
        <f>MAX($B255,$D255,$F255,$H255,$J255,$L255,$N255,$P255)</f>
        <v>0</v>
      </c>
      <c r="W255" s="1">
        <f>MAX($C255,$E255,$G255,$I255,$K255,$M255,$O255,$Q255)</f>
        <v>0</v>
      </c>
    </row>
    <row r="256" spans="1:23">
      <c r="A256" s="1" t="s">
        <v>253</v>
      </c>
      <c r="B256" s="1"/>
      <c r="C256" s="1"/>
      <c r="D256" s="1" cm="1">
        <f t="array" ref="D256">_xlfn.SWITCH($A$2,"average", AVERAGE(Instances!D256:Instances!D256),"median", MEDIAN(Instances!D256:Instances!D256),"min", MIN(Instances!D256:Instances!D256),"max", MAX(Instances!D256:Instances!D256),"diff", MAX(Instances!D256:Instances!D256)-MIN(Instances!D256:Instances!D256))</f>
        <v>0</v>
      </c>
      <c r="E256" s="1" cm="1">
        <f t="array" ref="E256">_xlfn.SWITCH($A$2,"average", AVERAGE(Instances!E256:Instances!E256),"median", MEDIAN(Instances!E256:Instances!E256),"min", MIN(Instances!E256:Instances!E256),"max", MAX(Instances!E256:Instances!E256),"diff", MAX(Instances!E256:Instances!E256)-MIN(Instances!E256:Instances!E256))</f>
        <v>0</v>
      </c>
      <c r="F256" s="1" cm="1">
        <f t="array" ref="F256">_xlfn.SWITCH($A$2,"average", AVERAGE(Instances!F256:Instances!F256),"median", MEDIAN(Instances!F256:Instances!F256),"min", MIN(Instances!F256:Instances!F256),"max", MAX(Instances!F256:Instances!F256),"diff", MAX(Instances!F256:Instances!F256)-MIN(Instances!F256:Instances!F256))</f>
        <v>0</v>
      </c>
      <c r="G256" s="1" cm="1">
        <f t="array" ref="G256">_xlfn.SWITCH($A$2,"average", AVERAGE(Instances!G256:Instances!G256),"median", MEDIAN(Instances!G256:Instances!G256),"min", MIN(Instances!G256:Instances!G256),"max", MAX(Instances!G256:Instances!G256),"diff", MAX(Instances!G256:Instances!G256)-MIN(Instances!G256:Instances!G256))</f>
        <v>0</v>
      </c>
      <c r="H256" s="1"/>
      <c r="I256" s="1"/>
      <c r="J256" s="1" cm="1">
        <f t="array" ref="J256">_xlfn.SWITCH($A$2,"average", AVERAGE(Instances!J256:Instances!J256),"median", MEDIAN(Instances!J256:Instances!J256),"min", MIN(Instances!J256:Instances!J256),"max", MAX(Instances!J256:Instances!J256),"diff", MAX(Instances!J256:Instances!J256)-MIN(Instances!J256:Instances!J256))</f>
        <v>0</v>
      </c>
      <c r="K256" s="1" cm="1">
        <f t="array" ref="K256">_xlfn.SWITCH($A$2,"average", AVERAGE(Instances!K256:Instances!K256),"median", MEDIAN(Instances!K256:Instances!K256),"min", MIN(Instances!K256:Instances!K256),"max", MAX(Instances!K256:Instances!K256),"diff", MAX(Instances!K256:Instances!K256)-MIN(Instances!K256:Instances!K256))</f>
        <v>0</v>
      </c>
      <c r="L256" s="1" cm="1">
        <f t="array" ref="L256">_xlfn.SWITCH($A$2,"average", AVERAGE(Instances!L256:Instances!L256),"median", MEDIAN(Instances!L256:Instances!L256),"min", MIN(Instances!L256:Instances!L256),"max", MAX(Instances!L256:Instances!L256),"diff", MAX(Instances!L256:Instances!L256)-MIN(Instances!L256:Instances!L256))</f>
        <v>0</v>
      </c>
      <c r="M256" s="1" cm="1">
        <f t="array" ref="M256">_xlfn.SWITCH($A$2,"average", AVERAGE(Instances!M256:Instances!M256),"median", MEDIAN(Instances!M256:Instances!M256),"min", MIN(Instances!M256:Instances!M256),"max", MAX(Instances!M256:Instances!M256),"diff", MAX(Instances!M256:Instances!M256)-MIN(Instances!M256:Instances!M256))</f>
        <v>0</v>
      </c>
      <c r="N256" s="1" cm="1">
        <f t="array" ref="N256">_xlfn.SWITCH($A$2,"average", AVERAGE(Instances!N256:Instances!N256),"median", MEDIAN(Instances!N256:Instances!N256),"min", MIN(Instances!N256:Instances!N256),"max", MAX(Instances!N256:Instances!N256),"diff", MAX(Instances!N256:Instances!N256)-MIN(Instances!N256:Instances!N256))</f>
        <v>0</v>
      </c>
      <c r="O256" s="1" cm="1">
        <f t="array" ref="O256">_xlfn.SWITCH($A$2,"average", AVERAGE(Instances!O256:Instances!O256),"median", MEDIAN(Instances!O256:Instances!O256),"min", MIN(Instances!O256:Instances!O256),"max", MAX(Instances!O256:Instances!O256),"diff", MAX(Instances!O256:Instances!O256)-MIN(Instances!O256:Instances!O256))</f>
        <v>0</v>
      </c>
      <c r="P256" s="1" cm="1">
        <f t="array" ref="P256">_xlfn.SWITCH($A$2,"average", AVERAGE(Instances!P256:Instances!P256),"median", MEDIAN(Instances!P256:Instances!P256),"min", MIN(Instances!P256:Instances!P256),"max", MAX(Instances!P256:Instances!P256),"diff", MAX(Instances!P256:Instances!P256)-MIN(Instances!P256:Instances!P256))</f>
        <v>0</v>
      </c>
      <c r="Q256" s="1" cm="1">
        <f t="array" ref="Q256">_xlfn.SWITCH($A$2,"average", AVERAGE(Instances!Q256:Instances!Q256),"median", MEDIAN(Instances!Q256:Instances!Q256),"min", MIN(Instances!Q256:Instances!Q256),"max", MAX(Instances!Q256:Instances!Q256),"diff", MAX(Instances!Q256:Instances!Q256)-MIN(Instances!Q256:Instances!Q256))</f>
        <v>0</v>
      </c>
      <c r="R256" s="1">
        <f>MIN($B256,$D256,$F256,$H256,$J256,$L256,$N256,$P256)</f>
        <v>0</v>
      </c>
      <c r="S256" s="1">
        <f>MIN($C256,$E256,$G256,$I256,$K256,$M256,$O256,$Q256)</f>
        <v>0</v>
      </c>
      <c r="T256" s="1">
        <f>MEDIAN($B256,$D256,$F256,$H256,$J256,$L256,$N256,$P256)</f>
        <v>0</v>
      </c>
      <c r="U256" s="1">
        <f>MEDIAN($C256,$E256,$G256,$I256,$K256,$M256,$O256,$Q256)</f>
        <v>0</v>
      </c>
      <c r="V256" s="1">
        <f>MAX($B256,$D256,$F256,$H256,$J256,$L256,$N256,$P256)</f>
        <v>0</v>
      </c>
      <c r="W256" s="1">
        <f>MAX($C256,$E256,$G256,$I256,$K256,$M256,$O256,$Q256)</f>
        <v>0</v>
      </c>
    </row>
    <row r="257" spans="1:23">
      <c r="A257" s="1" t="s">
        <v>254</v>
      </c>
      <c r="B257" s="1"/>
      <c r="C257" s="1"/>
      <c r="D257" s="1" cm="1">
        <f t="array" ref="D257">_xlfn.SWITCH($A$2,"average", AVERAGE(Instances!D257:Instances!D257),"median", MEDIAN(Instances!D257:Instances!D257),"min", MIN(Instances!D257:Instances!D257),"max", MAX(Instances!D257:Instances!D257),"diff", MAX(Instances!D257:Instances!D257)-MIN(Instances!D257:Instances!D257))</f>
        <v>0</v>
      </c>
      <c r="E257" s="1" cm="1">
        <f t="array" ref="E257">_xlfn.SWITCH($A$2,"average", AVERAGE(Instances!E257:Instances!E257),"median", MEDIAN(Instances!E257:Instances!E257),"min", MIN(Instances!E257:Instances!E257),"max", MAX(Instances!E257:Instances!E257),"diff", MAX(Instances!E257:Instances!E257)-MIN(Instances!E257:Instances!E257))</f>
        <v>0</v>
      </c>
      <c r="F257" s="1" cm="1">
        <f t="array" ref="F257">_xlfn.SWITCH($A$2,"average", AVERAGE(Instances!F257:Instances!F257),"median", MEDIAN(Instances!F257:Instances!F257),"min", MIN(Instances!F257:Instances!F257),"max", MAX(Instances!F257:Instances!F257),"diff", MAX(Instances!F257:Instances!F257)-MIN(Instances!F257:Instances!F257))</f>
        <v>0</v>
      </c>
      <c r="G257" s="1" cm="1">
        <f t="array" ref="G257">_xlfn.SWITCH($A$2,"average", AVERAGE(Instances!G257:Instances!G257),"median", MEDIAN(Instances!G257:Instances!G257),"min", MIN(Instances!G257:Instances!G257),"max", MAX(Instances!G257:Instances!G257),"diff", MAX(Instances!G257:Instances!G257)-MIN(Instances!G257:Instances!G257))</f>
        <v>0</v>
      </c>
      <c r="H257" s="1"/>
      <c r="I257" s="1"/>
      <c r="J257" s="1" cm="1">
        <f t="array" ref="J257">_xlfn.SWITCH($A$2,"average", AVERAGE(Instances!J257:Instances!J257),"median", MEDIAN(Instances!J257:Instances!J257),"min", MIN(Instances!J257:Instances!J257),"max", MAX(Instances!J257:Instances!J257),"diff", MAX(Instances!J257:Instances!J257)-MIN(Instances!J257:Instances!J257))</f>
        <v>0</v>
      </c>
      <c r="K257" s="1" cm="1">
        <f t="array" ref="K257">_xlfn.SWITCH($A$2,"average", AVERAGE(Instances!K257:Instances!K257),"median", MEDIAN(Instances!K257:Instances!K257),"min", MIN(Instances!K257:Instances!K257),"max", MAX(Instances!K257:Instances!K257),"diff", MAX(Instances!K257:Instances!K257)-MIN(Instances!K257:Instances!K257))</f>
        <v>0</v>
      </c>
      <c r="L257" s="1" cm="1">
        <f t="array" ref="L257">_xlfn.SWITCH($A$2,"average", AVERAGE(Instances!L257:Instances!L257),"median", MEDIAN(Instances!L257:Instances!L257),"min", MIN(Instances!L257:Instances!L257),"max", MAX(Instances!L257:Instances!L257),"diff", MAX(Instances!L257:Instances!L257)-MIN(Instances!L257:Instances!L257))</f>
        <v>0</v>
      </c>
      <c r="M257" s="1" cm="1">
        <f t="array" ref="M257">_xlfn.SWITCH($A$2,"average", AVERAGE(Instances!M257:Instances!M257),"median", MEDIAN(Instances!M257:Instances!M257),"min", MIN(Instances!M257:Instances!M257),"max", MAX(Instances!M257:Instances!M257),"diff", MAX(Instances!M257:Instances!M257)-MIN(Instances!M257:Instances!M257))</f>
        <v>0</v>
      </c>
      <c r="N257" s="1" cm="1">
        <f t="array" ref="N257">_xlfn.SWITCH($A$2,"average", AVERAGE(Instances!N257:Instances!N257),"median", MEDIAN(Instances!N257:Instances!N257),"min", MIN(Instances!N257:Instances!N257),"max", MAX(Instances!N257:Instances!N257),"diff", MAX(Instances!N257:Instances!N257)-MIN(Instances!N257:Instances!N257))</f>
        <v>0</v>
      </c>
      <c r="O257" s="1" cm="1">
        <f t="array" ref="O257">_xlfn.SWITCH($A$2,"average", AVERAGE(Instances!O257:Instances!O257),"median", MEDIAN(Instances!O257:Instances!O257),"min", MIN(Instances!O257:Instances!O257),"max", MAX(Instances!O257:Instances!O257),"diff", MAX(Instances!O257:Instances!O257)-MIN(Instances!O257:Instances!O257))</f>
        <v>0</v>
      </c>
      <c r="P257" s="1" cm="1">
        <f t="array" ref="P257">_xlfn.SWITCH($A$2,"average", AVERAGE(Instances!P257:Instances!P257),"median", MEDIAN(Instances!P257:Instances!P257),"min", MIN(Instances!P257:Instances!P257),"max", MAX(Instances!P257:Instances!P257),"diff", MAX(Instances!P257:Instances!P257)-MIN(Instances!P257:Instances!P257))</f>
        <v>0</v>
      </c>
      <c r="Q257" s="1" cm="1">
        <f t="array" ref="Q257">_xlfn.SWITCH($A$2,"average", AVERAGE(Instances!Q257:Instances!Q257),"median", MEDIAN(Instances!Q257:Instances!Q257),"min", MIN(Instances!Q257:Instances!Q257),"max", MAX(Instances!Q257:Instances!Q257),"diff", MAX(Instances!Q257:Instances!Q257)-MIN(Instances!Q257:Instances!Q257))</f>
        <v>0</v>
      </c>
      <c r="R257" s="1">
        <f>MIN($B257,$D257,$F257,$H257,$J257,$L257,$N257,$P257)</f>
        <v>0</v>
      </c>
      <c r="S257" s="1">
        <f>MIN($C257,$E257,$G257,$I257,$K257,$M257,$O257,$Q257)</f>
        <v>0</v>
      </c>
      <c r="T257" s="1">
        <f>MEDIAN($B257,$D257,$F257,$H257,$J257,$L257,$N257,$P257)</f>
        <v>0</v>
      </c>
      <c r="U257" s="1">
        <f>MEDIAN($C257,$E257,$G257,$I257,$K257,$M257,$O257,$Q257)</f>
        <v>0</v>
      </c>
      <c r="V257" s="1">
        <f>MAX($B257,$D257,$F257,$H257,$J257,$L257,$N257,$P257)</f>
        <v>0</v>
      </c>
      <c r="W257" s="1">
        <f>MAX($C257,$E257,$G257,$I257,$K257,$M257,$O257,$Q257)</f>
        <v>0</v>
      </c>
    </row>
    <row r="258" spans="1:23">
      <c r="A258" s="1" t="s">
        <v>255</v>
      </c>
      <c r="B258" s="1"/>
      <c r="C258" s="1"/>
      <c r="D258" s="1" cm="1">
        <f t="array" ref="D258">_xlfn.SWITCH($A$2,"average", AVERAGE(Instances!D258:Instances!D258),"median", MEDIAN(Instances!D258:Instances!D258),"min", MIN(Instances!D258:Instances!D258),"max", MAX(Instances!D258:Instances!D258),"diff", MAX(Instances!D258:Instances!D258)-MIN(Instances!D258:Instances!D258))</f>
        <v>0</v>
      </c>
      <c r="E258" s="1" cm="1">
        <f t="array" ref="E258">_xlfn.SWITCH($A$2,"average", AVERAGE(Instances!E258:Instances!E258),"median", MEDIAN(Instances!E258:Instances!E258),"min", MIN(Instances!E258:Instances!E258),"max", MAX(Instances!E258:Instances!E258),"diff", MAX(Instances!E258:Instances!E258)-MIN(Instances!E258:Instances!E258))</f>
        <v>0</v>
      </c>
      <c r="F258" s="1" cm="1">
        <f t="array" ref="F258">_xlfn.SWITCH($A$2,"average", AVERAGE(Instances!F258:Instances!F258),"median", MEDIAN(Instances!F258:Instances!F258),"min", MIN(Instances!F258:Instances!F258),"max", MAX(Instances!F258:Instances!F258),"diff", MAX(Instances!F258:Instances!F258)-MIN(Instances!F258:Instances!F258))</f>
        <v>0</v>
      </c>
      <c r="G258" s="1" cm="1">
        <f t="array" ref="G258">_xlfn.SWITCH($A$2,"average", AVERAGE(Instances!G258:Instances!G258),"median", MEDIAN(Instances!G258:Instances!G258),"min", MIN(Instances!G258:Instances!G258),"max", MAX(Instances!G258:Instances!G258),"diff", MAX(Instances!G258:Instances!G258)-MIN(Instances!G258:Instances!G258))</f>
        <v>0</v>
      </c>
      <c r="H258" s="1"/>
      <c r="I258" s="1"/>
      <c r="J258" s="1" cm="1">
        <f t="array" ref="J258">_xlfn.SWITCH($A$2,"average", AVERAGE(Instances!J258:Instances!J258),"median", MEDIAN(Instances!J258:Instances!J258),"min", MIN(Instances!J258:Instances!J258),"max", MAX(Instances!J258:Instances!J258),"diff", MAX(Instances!J258:Instances!J258)-MIN(Instances!J258:Instances!J258))</f>
        <v>0</v>
      </c>
      <c r="K258" s="1" cm="1">
        <f t="array" ref="K258">_xlfn.SWITCH($A$2,"average", AVERAGE(Instances!K258:Instances!K258),"median", MEDIAN(Instances!K258:Instances!K258),"min", MIN(Instances!K258:Instances!K258),"max", MAX(Instances!K258:Instances!K258),"diff", MAX(Instances!K258:Instances!K258)-MIN(Instances!K258:Instances!K258))</f>
        <v>0</v>
      </c>
      <c r="L258" s="1" cm="1">
        <f t="array" ref="L258">_xlfn.SWITCH($A$2,"average", AVERAGE(Instances!L258:Instances!L258),"median", MEDIAN(Instances!L258:Instances!L258),"min", MIN(Instances!L258:Instances!L258),"max", MAX(Instances!L258:Instances!L258),"diff", MAX(Instances!L258:Instances!L258)-MIN(Instances!L258:Instances!L258))</f>
        <v>0</v>
      </c>
      <c r="M258" s="1" cm="1">
        <f t="array" ref="M258">_xlfn.SWITCH($A$2,"average", AVERAGE(Instances!M258:Instances!M258),"median", MEDIAN(Instances!M258:Instances!M258),"min", MIN(Instances!M258:Instances!M258),"max", MAX(Instances!M258:Instances!M258),"diff", MAX(Instances!M258:Instances!M258)-MIN(Instances!M258:Instances!M258))</f>
        <v>0</v>
      </c>
      <c r="N258" s="1" cm="1">
        <f t="array" ref="N258">_xlfn.SWITCH($A$2,"average", AVERAGE(Instances!N258:Instances!N258),"median", MEDIAN(Instances!N258:Instances!N258),"min", MIN(Instances!N258:Instances!N258),"max", MAX(Instances!N258:Instances!N258),"diff", MAX(Instances!N258:Instances!N258)-MIN(Instances!N258:Instances!N258))</f>
        <v>0</v>
      </c>
      <c r="O258" s="1" cm="1">
        <f t="array" ref="O258">_xlfn.SWITCH($A$2,"average", AVERAGE(Instances!O258:Instances!O258),"median", MEDIAN(Instances!O258:Instances!O258),"min", MIN(Instances!O258:Instances!O258),"max", MAX(Instances!O258:Instances!O258),"diff", MAX(Instances!O258:Instances!O258)-MIN(Instances!O258:Instances!O258))</f>
        <v>0</v>
      </c>
      <c r="P258" s="1" cm="1">
        <f t="array" ref="P258">_xlfn.SWITCH($A$2,"average", AVERAGE(Instances!P258:Instances!P258),"median", MEDIAN(Instances!P258:Instances!P258),"min", MIN(Instances!P258:Instances!P258),"max", MAX(Instances!P258:Instances!P258),"diff", MAX(Instances!P258:Instances!P258)-MIN(Instances!P258:Instances!P258))</f>
        <v>0</v>
      </c>
      <c r="Q258" s="1" cm="1">
        <f t="array" ref="Q258">_xlfn.SWITCH($A$2,"average", AVERAGE(Instances!Q258:Instances!Q258),"median", MEDIAN(Instances!Q258:Instances!Q258),"min", MIN(Instances!Q258:Instances!Q258),"max", MAX(Instances!Q258:Instances!Q258),"diff", MAX(Instances!Q258:Instances!Q258)-MIN(Instances!Q258:Instances!Q258))</f>
        <v>0</v>
      </c>
      <c r="R258" s="1">
        <f>MIN($B258,$D258,$F258,$H258,$J258,$L258,$N258,$P258)</f>
        <v>0</v>
      </c>
      <c r="S258" s="1">
        <f>MIN($C258,$E258,$G258,$I258,$K258,$M258,$O258,$Q258)</f>
        <v>0</v>
      </c>
      <c r="T258" s="1">
        <f>MEDIAN($B258,$D258,$F258,$H258,$J258,$L258,$N258,$P258)</f>
        <v>0</v>
      </c>
      <c r="U258" s="1">
        <f>MEDIAN($C258,$E258,$G258,$I258,$K258,$M258,$O258,$Q258)</f>
        <v>0</v>
      </c>
      <c r="V258" s="1">
        <f>MAX($B258,$D258,$F258,$H258,$J258,$L258,$N258,$P258)</f>
        <v>0</v>
      </c>
      <c r="W258" s="1">
        <f>MAX($C258,$E258,$G258,$I258,$K258,$M258,$O258,$Q258)</f>
        <v>0</v>
      </c>
    </row>
    <row r="259" spans="1:23">
      <c r="A259" s="1" t="s">
        <v>256</v>
      </c>
      <c r="B259" s="1"/>
      <c r="C259" s="1"/>
      <c r="D259" s="1" cm="1">
        <f t="array" ref="D259">_xlfn.SWITCH($A$2,"average", AVERAGE(Instances!D259:Instances!D259),"median", MEDIAN(Instances!D259:Instances!D259),"min", MIN(Instances!D259:Instances!D259),"max", MAX(Instances!D259:Instances!D259),"diff", MAX(Instances!D259:Instances!D259)-MIN(Instances!D259:Instances!D259))</f>
        <v>0</v>
      </c>
      <c r="E259" s="1" cm="1">
        <f t="array" ref="E259">_xlfn.SWITCH($A$2,"average", AVERAGE(Instances!E259:Instances!E259),"median", MEDIAN(Instances!E259:Instances!E259),"min", MIN(Instances!E259:Instances!E259),"max", MAX(Instances!E259:Instances!E259),"diff", MAX(Instances!E259:Instances!E259)-MIN(Instances!E259:Instances!E259))</f>
        <v>0</v>
      </c>
      <c r="F259" s="1" cm="1">
        <f t="array" ref="F259">_xlfn.SWITCH($A$2,"average", AVERAGE(Instances!F259:Instances!F259),"median", MEDIAN(Instances!F259:Instances!F259),"min", MIN(Instances!F259:Instances!F259),"max", MAX(Instances!F259:Instances!F259),"diff", MAX(Instances!F259:Instances!F259)-MIN(Instances!F259:Instances!F259))</f>
        <v>0</v>
      </c>
      <c r="G259" s="1" cm="1">
        <f t="array" ref="G259">_xlfn.SWITCH($A$2,"average", AVERAGE(Instances!G259:Instances!G259),"median", MEDIAN(Instances!G259:Instances!G259),"min", MIN(Instances!G259:Instances!G259),"max", MAX(Instances!G259:Instances!G259),"diff", MAX(Instances!G259:Instances!G259)-MIN(Instances!G259:Instances!G259))</f>
        <v>0</v>
      </c>
      <c r="H259" s="1"/>
      <c r="I259" s="1"/>
      <c r="J259" s="1" cm="1">
        <f t="array" ref="J259">_xlfn.SWITCH($A$2,"average", AVERAGE(Instances!J259:Instances!J259),"median", MEDIAN(Instances!J259:Instances!J259),"min", MIN(Instances!J259:Instances!J259),"max", MAX(Instances!J259:Instances!J259),"diff", MAX(Instances!J259:Instances!J259)-MIN(Instances!J259:Instances!J259))</f>
        <v>0</v>
      </c>
      <c r="K259" s="1" cm="1">
        <f t="array" ref="K259">_xlfn.SWITCH($A$2,"average", AVERAGE(Instances!K259:Instances!K259),"median", MEDIAN(Instances!K259:Instances!K259),"min", MIN(Instances!K259:Instances!K259),"max", MAX(Instances!K259:Instances!K259),"diff", MAX(Instances!K259:Instances!K259)-MIN(Instances!K259:Instances!K259))</f>
        <v>0</v>
      </c>
      <c r="L259" s="1" cm="1">
        <f t="array" ref="L259">_xlfn.SWITCH($A$2,"average", AVERAGE(Instances!L259:Instances!L259),"median", MEDIAN(Instances!L259:Instances!L259),"min", MIN(Instances!L259:Instances!L259),"max", MAX(Instances!L259:Instances!L259),"diff", MAX(Instances!L259:Instances!L259)-MIN(Instances!L259:Instances!L259))</f>
        <v>0</v>
      </c>
      <c r="M259" s="1" cm="1">
        <f t="array" ref="M259">_xlfn.SWITCH($A$2,"average", AVERAGE(Instances!M259:Instances!M259),"median", MEDIAN(Instances!M259:Instances!M259),"min", MIN(Instances!M259:Instances!M259),"max", MAX(Instances!M259:Instances!M259),"diff", MAX(Instances!M259:Instances!M259)-MIN(Instances!M259:Instances!M259))</f>
        <v>0</v>
      </c>
      <c r="N259" s="1" cm="1">
        <f t="array" ref="N259">_xlfn.SWITCH($A$2,"average", AVERAGE(Instances!N259:Instances!N259),"median", MEDIAN(Instances!N259:Instances!N259),"min", MIN(Instances!N259:Instances!N259),"max", MAX(Instances!N259:Instances!N259),"diff", MAX(Instances!N259:Instances!N259)-MIN(Instances!N259:Instances!N259))</f>
        <v>0</v>
      </c>
      <c r="O259" s="1" cm="1">
        <f t="array" ref="O259">_xlfn.SWITCH($A$2,"average", AVERAGE(Instances!O259:Instances!O259),"median", MEDIAN(Instances!O259:Instances!O259),"min", MIN(Instances!O259:Instances!O259),"max", MAX(Instances!O259:Instances!O259),"diff", MAX(Instances!O259:Instances!O259)-MIN(Instances!O259:Instances!O259))</f>
        <v>0</v>
      </c>
      <c r="P259" s="1" cm="1">
        <f t="array" ref="P259">_xlfn.SWITCH($A$2,"average", AVERAGE(Instances!P259:Instances!P259),"median", MEDIAN(Instances!P259:Instances!P259),"min", MIN(Instances!P259:Instances!P259),"max", MAX(Instances!P259:Instances!P259),"diff", MAX(Instances!P259:Instances!P259)-MIN(Instances!P259:Instances!P259))</f>
        <v>0</v>
      </c>
      <c r="Q259" s="1" cm="1">
        <f t="array" ref="Q259">_xlfn.SWITCH($A$2,"average", AVERAGE(Instances!Q259:Instances!Q259),"median", MEDIAN(Instances!Q259:Instances!Q259),"min", MIN(Instances!Q259:Instances!Q259),"max", MAX(Instances!Q259:Instances!Q259),"diff", MAX(Instances!Q259:Instances!Q259)-MIN(Instances!Q259:Instances!Q259))</f>
        <v>0</v>
      </c>
      <c r="R259" s="1">
        <f>MIN($B259,$D259,$F259,$H259,$J259,$L259,$N259,$P259)</f>
        <v>0</v>
      </c>
      <c r="S259" s="1">
        <f>MIN($C259,$E259,$G259,$I259,$K259,$M259,$O259,$Q259)</f>
        <v>0</v>
      </c>
      <c r="T259" s="1">
        <f>MEDIAN($B259,$D259,$F259,$H259,$J259,$L259,$N259,$P259)</f>
        <v>0</v>
      </c>
      <c r="U259" s="1">
        <f>MEDIAN($C259,$E259,$G259,$I259,$K259,$M259,$O259,$Q259)</f>
        <v>0</v>
      </c>
      <c r="V259" s="1">
        <f>MAX($B259,$D259,$F259,$H259,$J259,$L259,$N259,$P259)</f>
        <v>0</v>
      </c>
      <c r="W259" s="1">
        <f>MAX($C259,$E259,$G259,$I259,$K259,$M259,$O259,$Q259)</f>
        <v>0</v>
      </c>
    </row>
    <row r="260" spans="1:23">
      <c r="A260" s="1" t="s">
        <v>257</v>
      </c>
      <c r="B260" s="1"/>
      <c r="C260" s="1"/>
      <c r="D260" s="1" cm="1">
        <f t="array" ref="D260">_xlfn.SWITCH($A$2,"average", AVERAGE(Instances!D260:Instances!D260),"median", MEDIAN(Instances!D260:Instances!D260),"min", MIN(Instances!D260:Instances!D260),"max", MAX(Instances!D260:Instances!D260),"diff", MAX(Instances!D260:Instances!D260)-MIN(Instances!D260:Instances!D260))</f>
        <v>0</v>
      </c>
      <c r="E260" s="1" cm="1">
        <f t="array" ref="E260">_xlfn.SWITCH($A$2,"average", AVERAGE(Instances!E260:Instances!E260),"median", MEDIAN(Instances!E260:Instances!E260),"min", MIN(Instances!E260:Instances!E260),"max", MAX(Instances!E260:Instances!E260),"diff", MAX(Instances!E260:Instances!E260)-MIN(Instances!E260:Instances!E260))</f>
        <v>0</v>
      </c>
      <c r="F260" s="1" cm="1">
        <f t="array" ref="F260">_xlfn.SWITCH($A$2,"average", AVERAGE(Instances!F260:Instances!F260),"median", MEDIAN(Instances!F260:Instances!F260),"min", MIN(Instances!F260:Instances!F260),"max", MAX(Instances!F260:Instances!F260),"diff", MAX(Instances!F260:Instances!F260)-MIN(Instances!F260:Instances!F260))</f>
        <v>0</v>
      </c>
      <c r="G260" s="1" cm="1">
        <f t="array" ref="G260">_xlfn.SWITCH($A$2,"average", AVERAGE(Instances!G260:Instances!G260),"median", MEDIAN(Instances!G260:Instances!G260),"min", MIN(Instances!G260:Instances!G260),"max", MAX(Instances!G260:Instances!G260),"diff", MAX(Instances!G260:Instances!G260)-MIN(Instances!G260:Instances!G260))</f>
        <v>0</v>
      </c>
      <c r="H260" s="1"/>
      <c r="I260" s="1"/>
      <c r="J260" s="1" cm="1">
        <f t="array" ref="J260">_xlfn.SWITCH($A$2,"average", AVERAGE(Instances!J260:Instances!J260),"median", MEDIAN(Instances!J260:Instances!J260),"min", MIN(Instances!J260:Instances!J260),"max", MAX(Instances!J260:Instances!J260),"diff", MAX(Instances!J260:Instances!J260)-MIN(Instances!J260:Instances!J260))</f>
        <v>0</v>
      </c>
      <c r="K260" s="1" cm="1">
        <f t="array" ref="K260">_xlfn.SWITCH($A$2,"average", AVERAGE(Instances!K260:Instances!K260),"median", MEDIAN(Instances!K260:Instances!K260),"min", MIN(Instances!K260:Instances!K260),"max", MAX(Instances!K260:Instances!K260),"diff", MAX(Instances!K260:Instances!K260)-MIN(Instances!K260:Instances!K260))</f>
        <v>0</v>
      </c>
      <c r="L260" s="1" cm="1">
        <f t="array" ref="L260">_xlfn.SWITCH($A$2,"average", AVERAGE(Instances!L260:Instances!L260),"median", MEDIAN(Instances!L260:Instances!L260),"min", MIN(Instances!L260:Instances!L260),"max", MAX(Instances!L260:Instances!L260),"diff", MAX(Instances!L260:Instances!L260)-MIN(Instances!L260:Instances!L260))</f>
        <v>0</v>
      </c>
      <c r="M260" s="1" cm="1">
        <f t="array" ref="M260">_xlfn.SWITCH($A$2,"average", AVERAGE(Instances!M260:Instances!M260),"median", MEDIAN(Instances!M260:Instances!M260),"min", MIN(Instances!M260:Instances!M260),"max", MAX(Instances!M260:Instances!M260),"diff", MAX(Instances!M260:Instances!M260)-MIN(Instances!M260:Instances!M260))</f>
        <v>0</v>
      </c>
      <c r="N260" s="1" cm="1">
        <f t="array" ref="N260">_xlfn.SWITCH($A$2,"average", AVERAGE(Instances!N260:Instances!N260),"median", MEDIAN(Instances!N260:Instances!N260),"min", MIN(Instances!N260:Instances!N260),"max", MAX(Instances!N260:Instances!N260),"diff", MAX(Instances!N260:Instances!N260)-MIN(Instances!N260:Instances!N260))</f>
        <v>0</v>
      </c>
      <c r="O260" s="1" cm="1">
        <f t="array" ref="O260">_xlfn.SWITCH($A$2,"average", AVERAGE(Instances!O260:Instances!O260),"median", MEDIAN(Instances!O260:Instances!O260),"min", MIN(Instances!O260:Instances!O260),"max", MAX(Instances!O260:Instances!O260),"diff", MAX(Instances!O260:Instances!O260)-MIN(Instances!O260:Instances!O260))</f>
        <v>0</v>
      </c>
      <c r="P260" s="1" cm="1">
        <f t="array" ref="P260">_xlfn.SWITCH($A$2,"average", AVERAGE(Instances!P260:Instances!P260),"median", MEDIAN(Instances!P260:Instances!P260),"min", MIN(Instances!P260:Instances!P260),"max", MAX(Instances!P260:Instances!P260),"diff", MAX(Instances!P260:Instances!P260)-MIN(Instances!P260:Instances!P260))</f>
        <v>0</v>
      </c>
      <c r="Q260" s="1" cm="1">
        <f t="array" ref="Q260">_xlfn.SWITCH($A$2,"average", AVERAGE(Instances!Q260:Instances!Q260),"median", MEDIAN(Instances!Q260:Instances!Q260),"min", MIN(Instances!Q260:Instances!Q260),"max", MAX(Instances!Q260:Instances!Q260),"diff", MAX(Instances!Q260:Instances!Q260)-MIN(Instances!Q260:Instances!Q260))</f>
        <v>0</v>
      </c>
      <c r="R260" s="1">
        <f>MIN($B260,$D260,$F260,$H260,$J260,$L260,$N260,$P260)</f>
        <v>0</v>
      </c>
      <c r="S260" s="1">
        <f>MIN($C260,$E260,$G260,$I260,$K260,$M260,$O260,$Q260)</f>
        <v>0</v>
      </c>
      <c r="T260" s="1">
        <f>MEDIAN($B260,$D260,$F260,$H260,$J260,$L260,$N260,$P260)</f>
        <v>0</v>
      </c>
      <c r="U260" s="1">
        <f>MEDIAN($C260,$E260,$G260,$I260,$K260,$M260,$O260,$Q260)</f>
        <v>0</v>
      </c>
      <c r="V260" s="1">
        <f>MAX($B260,$D260,$F260,$H260,$J260,$L260,$N260,$P260)</f>
        <v>0</v>
      </c>
      <c r="W260" s="1">
        <f>MAX($C260,$E260,$G260,$I260,$K260,$M260,$O260,$Q260)</f>
        <v>0</v>
      </c>
    </row>
    <row r="261" spans="1:23">
      <c r="A261" s="1" t="s">
        <v>258</v>
      </c>
      <c r="B261" s="1"/>
      <c r="C261" s="1"/>
      <c r="D261" s="1" cm="1">
        <f t="array" ref="D261">_xlfn.SWITCH($A$2,"average", AVERAGE(Instances!D261:Instances!D261),"median", MEDIAN(Instances!D261:Instances!D261),"min", MIN(Instances!D261:Instances!D261),"max", MAX(Instances!D261:Instances!D261),"diff", MAX(Instances!D261:Instances!D261)-MIN(Instances!D261:Instances!D261))</f>
        <v>0</v>
      </c>
      <c r="E261" s="1" cm="1">
        <f t="array" ref="E261">_xlfn.SWITCH($A$2,"average", AVERAGE(Instances!E261:Instances!E261),"median", MEDIAN(Instances!E261:Instances!E261),"min", MIN(Instances!E261:Instances!E261),"max", MAX(Instances!E261:Instances!E261),"diff", MAX(Instances!E261:Instances!E261)-MIN(Instances!E261:Instances!E261))</f>
        <v>0</v>
      </c>
      <c r="F261" s="1" cm="1">
        <f t="array" ref="F261">_xlfn.SWITCH($A$2,"average", AVERAGE(Instances!F261:Instances!F261),"median", MEDIAN(Instances!F261:Instances!F261),"min", MIN(Instances!F261:Instances!F261),"max", MAX(Instances!F261:Instances!F261),"diff", MAX(Instances!F261:Instances!F261)-MIN(Instances!F261:Instances!F261))</f>
        <v>0</v>
      </c>
      <c r="G261" s="1" cm="1">
        <f t="array" ref="G261">_xlfn.SWITCH($A$2,"average", AVERAGE(Instances!G261:Instances!G261),"median", MEDIAN(Instances!G261:Instances!G261),"min", MIN(Instances!G261:Instances!G261),"max", MAX(Instances!G261:Instances!G261),"diff", MAX(Instances!G261:Instances!G261)-MIN(Instances!G261:Instances!G261))</f>
        <v>0</v>
      </c>
      <c r="H261" s="1"/>
      <c r="I261" s="1"/>
      <c r="J261" s="1" cm="1">
        <f t="array" ref="J261">_xlfn.SWITCH($A$2,"average", AVERAGE(Instances!J261:Instances!J261),"median", MEDIAN(Instances!J261:Instances!J261),"min", MIN(Instances!J261:Instances!J261),"max", MAX(Instances!J261:Instances!J261),"diff", MAX(Instances!J261:Instances!J261)-MIN(Instances!J261:Instances!J261))</f>
        <v>0</v>
      </c>
      <c r="K261" s="1" cm="1">
        <f t="array" ref="K261">_xlfn.SWITCH($A$2,"average", AVERAGE(Instances!K261:Instances!K261),"median", MEDIAN(Instances!K261:Instances!K261),"min", MIN(Instances!K261:Instances!K261),"max", MAX(Instances!K261:Instances!K261),"diff", MAX(Instances!K261:Instances!K261)-MIN(Instances!K261:Instances!K261))</f>
        <v>0</v>
      </c>
      <c r="L261" s="1" cm="1">
        <f t="array" ref="L261">_xlfn.SWITCH($A$2,"average", AVERAGE(Instances!L261:Instances!L261),"median", MEDIAN(Instances!L261:Instances!L261),"min", MIN(Instances!L261:Instances!L261),"max", MAX(Instances!L261:Instances!L261),"diff", MAX(Instances!L261:Instances!L261)-MIN(Instances!L261:Instances!L261))</f>
        <v>0</v>
      </c>
      <c r="M261" s="1" cm="1">
        <f t="array" ref="M261">_xlfn.SWITCH($A$2,"average", AVERAGE(Instances!M261:Instances!M261),"median", MEDIAN(Instances!M261:Instances!M261),"min", MIN(Instances!M261:Instances!M261),"max", MAX(Instances!M261:Instances!M261),"diff", MAX(Instances!M261:Instances!M261)-MIN(Instances!M261:Instances!M261))</f>
        <v>0</v>
      </c>
      <c r="N261" s="1" cm="1">
        <f t="array" ref="N261">_xlfn.SWITCH($A$2,"average", AVERAGE(Instances!N261:Instances!N261),"median", MEDIAN(Instances!N261:Instances!N261),"min", MIN(Instances!N261:Instances!N261),"max", MAX(Instances!N261:Instances!N261),"diff", MAX(Instances!N261:Instances!N261)-MIN(Instances!N261:Instances!N261))</f>
        <v>0</v>
      </c>
      <c r="O261" s="1" cm="1">
        <f t="array" ref="O261">_xlfn.SWITCH($A$2,"average", AVERAGE(Instances!O261:Instances!O261),"median", MEDIAN(Instances!O261:Instances!O261),"min", MIN(Instances!O261:Instances!O261),"max", MAX(Instances!O261:Instances!O261),"diff", MAX(Instances!O261:Instances!O261)-MIN(Instances!O261:Instances!O261))</f>
        <v>0</v>
      </c>
      <c r="P261" s="1" cm="1">
        <f t="array" ref="P261">_xlfn.SWITCH($A$2,"average", AVERAGE(Instances!P261:Instances!P261),"median", MEDIAN(Instances!P261:Instances!P261),"min", MIN(Instances!P261:Instances!P261),"max", MAX(Instances!P261:Instances!P261),"diff", MAX(Instances!P261:Instances!P261)-MIN(Instances!P261:Instances!P261))</f>
        <v>0</v>
      </c>
      <c r="Q261" s="1" cm="1">
        <f t="array" ref="Q261">_xlfn.SWITCH($A$2,"average", AVERAGE(Instances!Q261:Instances!Q261),"median", MEDIAN(Instances!Q261:Instances!Q261),"min", MIN(Instances!Q261:Instances!Q261),"max", MAX(Instances!Q261:Instances!Q261),"diff", MAX(Instances!Q261:Instances!Q261)-MIN(Instances!Q261:Instances!Q261))</f>
        <v>0</v>
      </c>
      <c r="R261" s="1">
        <f>MIN($B261,$D261,$F261,$H261,$J261,$L261,$N261,$P261)</f>
        <v>0</v>
      </c>
      <c r="S261" s="1">
        <f>MIN($C261,$E261,$G261,$I261,$K261,$M261,$O261,$Q261)</f>
        <v>0</v>
      </c>
      <c r="T261" s="1">
        <f>MEDIAN($B261,$D261,$F261,$H261,$J261,$L261,$N261,$P261)</f>
        <v>0</v>
      </c>
      <c r="U261" s="1">
        <f>MEDIAN($C261,$E261,$G261,$I261,$K261,$M261,$O261,$Q261)</f>
        <v>0</v>
      </c>
      <c r="V261" s="1">
        <f>MAX($B261,$D261,$F261,$H261,$J261,$L261,$N261,$P261)</f>
        <v>0</v>
      </c>
      <c r="W261" s="1">
        <f>MAX($C261,$E261,$G261,$I261,$K261,$M261,$O261,$Q261)</f>
        <v>0</v>
      </c>
    </row>
    <row r="262" spans="1:23">
      <c r="A262" s="1" t="s">
        <v>259</v>
      </c>
      <c r="B262" s="1"/>
      <c r="C262" s="1"/>
      <c r="D262" s="1" cm="1">
        <f t="array" ref="D262">_xlfn.SWITCH($A$2,"average", AVERAGE(Instances!D262:Instances!D262),"median", MEDIAN(Instances!D262:Instances!D262),"min", MIN(Instances!D262:Instances!D262),"max", MAX(Instances!D262:Instances!D262),"diff", MAX(Instances!D262:Instances!D262)-MIN(Instances!D262:Instances!D262))</f>
        <v>0</v>
      </c>
      <c r="E262" s="1" cm="1">
        <f t="array" ref="E262">_xlfn.SWITCH($A$2,"average", AVERAGE(Instances!E262:Instances!E262),"median", MEDIAN(Instances!E262:Instances!E262),"min", MIN(Instances!E262:Instances!E262),"max", MAX(Instances!E262:Instances!E262),"diff", MAX(Instances!E262:Instances!E262)-MIN(Instances!E262:Instances!E262))</f>
        <v>0</v>
      </c>
      <c r="F262" s="1" cm="1">
        <f t="array" ref="F262">_xlfn.SWITCH($A$2,"average", AVERAGE(Instances!F262:Instances!F262),"median", MEDIAN(Instances!F262:Instances!F262),"min", MIN(Instances!F262:Instances!F262),"max", MAX(Instances!F262:Instances!F262),"diff", MAX(Instances!F262:Instances!F262)-MIN(Instances!F262:Instances!F262))</f>
        <v>0</v>
      </c>
      <c r="G262" s="1" cm="1">
        <f t="array" ref="G262">_xlfn.SWITCH($A$2,"average", AVERAGE(Instances!G262:Instances!G262),"median", MEDIAN(Instances!G262:Instances!G262),"min", MIN(Instances!G262:Instances!G262),"max", MAX(Instances!G262:Instances!G262),"diff", MAX(Instances!G262:Instances!G262)-MIN(Instances!G262:Instances!G262))</f>
        <v>0</v>
      </c>
      <c r="H262" s="1"/>
      <c r="I262" s="1"/>
      <c r="J262" s="1" cm="1">
        <f t="array" ref="J262">_xlfn.SWITCH($A$2,"average", AVERAGE(Instances!J262:Instances!J262),"median", MEDIAN(Instances!J262:Instances!J262),"min", MIN(Instances!J262:Instances!J262),"max", MAX(Instances!J262:Instances!J262),"diff", MAX(Instances!J262:Instances!J262)-MIN(Instances!J262:Instances!J262))</f>
        <v>0</v>
      </c>
      <c r="K262" s="1" cm="1">
        <f t="array" ref="K262">_xlfn.SWITCH($A$2,"average", AVERAGE(Instances!K262:Instances!K262),"median", MEDIAN(Instances!K262:Instances!K262),"min", MIN(Instances!K262:Instances!K262),"max", MAX(Instances!K262:Instances!K262),"diff", MAX(Instances!K262:Instances!K262)-MIN(Instances!K262:Instances!K262))</f>
        <v>0</v>
      </c>
      <c r="L262" s="1" cm="1">
        <f t="array" ref="L262">_xlfn.SWITCH($A$2,"average", AVERAGE(Instances!L262:Instances!L262),"median", MEDIAN(Instances!L262:Instances!L262),"min", MIN(Instances!L262:Instances!L262),"max", MAX(Instances!L262:Instances!L262),"diff", MAX(Instances!L262:Instances!L262)-MIN(Instances!L262:Instances!L262))</f>
        <v>0</v>
      </c>
      <c r="M262" s="1" cm="1">
        <f t="array" ref="M262">_xlfn.SWITCH($A$2,"average", AVERAGE(Instances!M262:Instances!M262),"median", MEDIAN(Instances!M262:Instances!M262),"min", MIN(Instances!M262:Instances!M262),"max", MAX(Instances!M262:Instances!M262),"diff", MAX(Instances!M262:Instances!M262)-MIN(Instances!M262:Instances!M262))</f>
        <v>0</v>
      </c>
      <c r="N262" s="1" cm="1">
        <f t="array" ref="N262">_xlfn.SWITCH($A$2,"average", AVERAGE(Instances!N262:Instances!N262),"median", MEDIAN(Instances!N262:Instances!N262),"min", MIN(Instances!N262:Instances!N262),"max", MAX(Instances!N262:Instances!N262),"diff", MAX(Instances!N262:Instances!N262)-MIN(Instances!N262:Instances!N262))</f>
        <v>0</v>
      </c>
      <c r="O262" s="1" cm="1">
        <f t="array" ref="O262">_xlfn.SWITCH($A$2,"average", AVERAGE(Instances!O262:Instances!O262),"median", MEDIAN(Instances!O262:Instances!O262),"min", MIN(Instances!O262:Instances!O262),"max", MAX(Instances!O262:Instances!O262),"diff", MAX(Instances!O262:Instances!O262)-MIN(Instances!O262:Instances!O262))</f>
        <v>0</v>
      </c>
      <c r="P262" s="1" cm="1">
        <f t="array" ref="P262">_xlfn.SWITCH($A$2,"average", AVERAGE(Instances!P262:Instances!P262),"median", MEDIAN(Instances!P262:Instances!P262),"min", MIN(Instances!P262:Instances!P262),"max", MAX(Instances!P262:Instances!P262),"diff", MAX(Instances!P262:Instances!P262)-MIN(Instances!P262:Instances!P262))</f>
        <v>0</v>
      </c>
      <c r="Q262" s="1" cm="1">
        <f t="array" ref="Q262">_xlfn.SWITCH($A$2,"average", AVERAGE(Instances!Q262:Instances!Q262),"median", MEDIAN(Instances!Q262:Instances!Q262),"min", MIN(Instances!Q262:Instances!Q262),"max", MAX(Instances!Q262:Instances!Q262),"diff", MAX(Instances!Q262:Instances!Q262)-MIN(Instances!Q262:Instances!Q262))</f>
        <v>0</v>
      </c>
      <c r="R262" s="1">
        <f>MIN($B262,$D262,$F262,$H262,$J262,$L262,$N262,$P262)</f>
        <v>0</v>
      </c>
      <c r="S262" s="1">
        <f>MIN($C262,$E262,$G262,$I262,$K262,$M262,$O262,$Q262)</f>
        <v>0</v>
      </c>
      <c r="T262" s="1">
        <f>MEDIAN($B262,$D262,$F262,$H262,$J262,$L262,$N262,$P262)</f>
        <v>0</v>
      </c>
      <c r="U262" s="1">
        <f>MEDIAN($C262,$E262,$G262,$I262,$K262,$M262,$O262,$Q262)</f>
        <v>0</v>
      </c>
      <c r="V262" s="1">
        <f>MAX($B262,$D262,$F262,$H262,$J262,$L262,$N262,$P262)</f>
        <v>0</v>
      </c>
      <c r="W262" s="1">
        <f>MAX($C262,$E262,$G262,$I262,$K262,$M262,$O262,$Q262)</f>
        <v>0</v>
      </c>
    </row>
    <row r="263" spans="1:23">
      <c r="A263" s="1" t="s">
        <v>260</v>
      </c>
      <c r="B263" s="1"/>
      <c r="C263" s="1"/>
      <c r="D263" s="1" cm="1">
        <f t="array" ref="D263">_xlfn.SWITCH($A$2,"average", AVERAGE(Instances!D263:Instances!D263),"median", MEDIAN(Instances!D263:Instances!D263),"min", MIN(Instances!D263:Instances!D263),"max", MAX(Instances!D263:Instances!D263),"diff", MAX(Instances!D263:Instances!D263)-MIN(Instances!D263:Instances!D263))</f>
        <v>0</v>
      </c>
      <c r="E263" s="1" cm="1">
        <f t="array" ref="E263">_xlfn.SWITCH($A$2,"average", AVERAGE(Instances!E263:Instances!E263),"median", MEDIAN(Instances!E263:Instances!E263),"min", MIN(Instances!E263:Instances!E263),"max", MAX(Instances!E263:Instances!E263),"diff", MAX(Instances!E263:Instances!E263)-MIN(Instances!E263:Instances!E263))</f>
        <v>0</v>
      </c>
      <c r="F263" s="1" cm="1">
        <f t="array" ref="F263">_xlfn.SWITCH($A$2,"average", AVERAGE(Instances!F263:Instances!F263),"median", MEDIAN(Instances!F263:Instances!F263),"min", MIN(Instances!F263:Instances!F263),"max", MAX(Instances!F263:Instances!F263),"diff", MAX(Instances!F263:Instances!F263)-MIN(Instances!F263:Instances!F263))</f>
        <v>0</v>
      </c>
      <c r="G263" s="1" cm="1">
        <f t="array" ref="G263">_xlfn.SWITCH($A$2,"average", AVERAGE(Instances!G263:Instances!G263),"median", MEDIAN(Instances!G263:Instances!G263),"min", MIN(Instances!G263:Instances!G263),"max", MAX(Instances!G263:Instances!G263),"diff", MAX(Instances!G263:Instances!G263)-MIN(Instances!G263:Instances!G263))</f>
        <v>0</v>
      </c>
      <c r="H263" s="1"/>
      <c r="I263" s="1"/>
      <c r="J263" s="1" cm="1">
        <f t="array" ref="J263">_xlfn.SWITCH($A$2,"average", AVERAGE(Instances!J263:Instances!J263),"median", MEDIAN(Instances!J263:Instances!J263),"min", MIN(Instances!J263:Instances!J263),"max", MAX(Instances!J263:Instances!J263),"diff", MAX(Instances!J263:Instances!J263)-MIN(Instances!J263:Instances!J263))</f>
        <v>0</v>
      </c>
      <c r="K263" s="1" cm="1">
        <f t="array" ref="K263">_xlfn.SWITCH($A$2,"average", AVERAGE(Instances!K263:Instances!K263),"median", MEDIAN(Instances!K263:Instances!K263),"min", MIN(Instances!K263:Instances!K263),"max", MAX(Instances!K263:Instances!K263),"diff", MAX(Instances!K263:Instances!K263)-MIN(Instances!K263:Instances!K263))</f>
        <v>0</v>
      </c>
      <c r="L263" s="1" cm="1">
        <f t="array" ref="L263">_xlfn.SWITCH($A$2,"average", AVERAGE(Instances!L263:Instances!L263),"median", MEDIAN(Instances!L263:Instances!L263),"min", MIN(Instances!L263:Instances!L263),"max", MAX(Instances!L263:Instances!L263),"diff", MAX(Instances!L263:Instances!L263)-MIN(Instances!L263:Instances!L263))</f>
        <v>0</v>
      </c>
      <c r="M263" s="1" cm="1">
        <f t="array" ref="M263">_xlfn.SWITCH($A$2,"average", AVERAGE(Instances!M263:Instances!M263),"median", MEDIAN(Instances!M263:Instances!M263),"min", MIN(Instances!M263:Instances!M263),"max", MAX(Instances!M263:Instances!M263),"diff", MAX(Instances!M263:Instances!M263)-MIN(Instances!M263:Instances!M263))</f>
        <v>0</v>
      </c>
      <c r="N263" s="1" cm="1">
        <f t="array" ref="N263">_xlfn.SWITCH($A$2,"average", AVERAGE(Instances!N263:Instances!N263),"median", MEDIAN(Instances!N263:Instances!N263),"min", MIN(Instances!N263:Instances!N263),"max", MAX(Instances!N263:Instances!N263),"diff", MAX(Instances!N263:Instances!N263)-MIN(Instances!N263:Instances!N263))</f>
        <v>0</v>
      </c>
      <c r="O263" s="1" cm="1">
        <f t="array" ref="O263">_xlfn.SWITCH($A$2,"average", AVERAGE(Instances!O263:Instances!O263),"median", MEDIAN(Instances!O263:Instances!O263),"min", MIN(Instances!O263:Instances!O263),"max", MAX(Instances!O263:Instances!O263),"diff", MAX(Instances!O263:Instances!O263)-MIN(Instances!O263:Instances!O263))</f>
        <v>0</v>
      </c>
      <c r="P263" s="1" cm="1">
        <f t="array" ref="P263">_xlfn.SWITCH($A$2,"average", AVERAGE(Instances!P263:Instances!P263),"median", MEDIAN(Instances!P263:Instances!P263),"min", MIN(Instances!P263:Instances!P263),"max", MAX(Instances!P263:Instances!P263),"diff", MAX(Instances!P263:Instances!P263)-MIN(Instances!P263:Instances!P263))</f>
        <v>0</v>
      </c>
      <c r="Q263" s="1" cm="1">
        <f t="array" ref="Q263">_xlfn.SWITCH($A$2,"average", AVERAGE(Instances!Q263:Instances!Q263),"median", MEDIAN(Instances!Q263:Instances!Q263),"min", MIN(Instances!Q263:Instances!Q263),"max", MAX(Instances!Q263:Instances!Q263),"diff", MAX(Instances!Q263:Instances!Q263)-MIN(Instances!Q263:Instances!Q263))</f>
        <v>0</v>
      </c>
      <c r="R263" s="1">
        <f>MIN($B263,$D263,$F263,$H263,$J263,$L263,$N263,$P263)</f>
        <v>0</v>
      </c>
      <c r="S263" s="1">
        <f>MIN($C263,$E263,$G263,$I263,$K263,$M263,$O263,$Q263)</f>
        <v>0</v>
      </c>
      <c r="T263" s="1">
        <f>MEDIAN($B263,$D263,$F263,$H263,$J263,$L263,$N263,$P263)</f>
        <v>0</v>
      </c>
      <c r="U263" s="1">
        <f>MEDIAN($C263,$E263,$G263,$I263,$K263,$M263,$O263,$Q263)</f>
        <v>0</v>
      </c>
      <c r="V263" s="1">
        <f>MAX($B263,$D263,$F263,$H263,$J263,$L263,$N263,$P263)</f>
        <v>0</v>
      </c>
      <c r="W263" s="1">
        <f>MAX($C263,$E263,$G263,$I263,$K263,$M263,$O263,$Q263)</f>
        <v>0</v>
      </c>
    </row>
    <row r="264" spans="1:23">
      <c r="A264" s="1" t="s">
        <v>261</v>
      </c>
      <c r="B264" s="1"/>
      <c r="C264" s="1"/>
      <c r="D264" s="1" cm="1">
        <f t="array" ref="D264">_xlfn.SWITCH($A$2,"average", AVERAGE(Instances!D264:Instances!D264),"median", MEDIAN(Instances!D264:Instances!D264),"min", MIN(Instances!D264:Instances!D264),"max", MAX(Instances!D264:Instances!D264),"diff", MAX(Instances!D264:Instances!D264)-MIN(Instances!D264:Instances!D264))</f>
        <v>0</v>
      </c>
      <c r="E264" s="1" cm="1">
        <f t="array" ref="E264">_xlfn.SWITCH($A$2,"average", AVERAGE(Instances!E264:Instances!E264),"median", MEDIAN(Instances!E264:Instances!E264),"min", MIN(Instances!E264:Instances!E264),"max", MAX(Instances!E264:Instances!E264),"diff", MAX(Instances!E264:Instances!E264)-MIN(Instances!E264:Instances!E264))</f>
        <v>0</v>
      </c>
      <c r="F264" s="1" cm="1">
        <f t="array" ref="F264">_xlfn.SWITCH($A$2,"average", AVERAGE(Instances!F264:Instances!F264),"median", MEDIAN(Instances!F264:Instances!F264),"min", MIN(Instances!F264:Instances!F264),"max", MAX(Instances!F264:Instances!F264),"diff", MAX(Instances!F264:Instances!F264)-MIN(Instances!F264:Instances!F264))</f>
        <v>0</v>
      </c>
      <c r="G264" s="1" cm="1">
        <f t="array" ref="G264">_xlfn.SWITCH($A$2,"average", AVERAGE(Instances!G264:Instances!G264),"median", MEDIAN(Instances!G264:Instances!G264),"min", MIN(Instances!G264:Instances!G264),"max", MAX(Instances!G264:Instances!G264),"diff", MAX(Instances!G264:Instances!G264)-MIN(Instances!G264:Instances!G264))</f>
        <v>0</v>
      </c>
      <c r="H264" s="1"/>
      <c r="I264" s="1"/>
      <c r="J264" s="1" cm="1">
        <f t="array" ref="J264">_xlfn.SWITCH($A$2,"average", AVERAGE(Instances!J264:Instances!J264),"median", MEDIAN(Instances!J264:Instances!J264),"min", MIN(Instances!J264:Instances!J264),"max", MAX(Instances!J264:Instances!J264),"diff", MAX(Instances!J264:Instances!J264)-MIN(Instances!J264:Instances!J264))</f>
        <v>0</v>
      </c>
      <c r="K264" s="1" cm="1">
        <f t="array" ref="K264">_xlfn.SWITCH($A$2,"average", AVERAGE(Instances!K264:Instances!K264),"median", MEDIAN(Instances!K264:Instances!K264),"min", MIN(Instances!K264:Instances!K264),"max", MAX(Instances!K264:Instances!K264),"diff", MAX(Instances!K264:Instances!K264)-MIN(Instances!K264:Instances!K264))</f>
        <v>0</v>
      </c>
      <c r="L264" s="1" cm="1">
        <f t="array" ref="L264">_xlfn.SWITCH($A$2,"average", AVERAGE(Instances!L264:Instances!L264),"median", MEDIAN(Instances!L264:Instances!L264),"min", MIN(Instances!L264:Instances!L264),"max", MAX(Instances!L264:Instances!L264),"diff", MAX(Instances!L264:Instances!L264)-MIN(Instances!L264:Instances!L264))</f>
        <v>0</v>
      </c>
      <c r="M264" s="1" cm="1">
        <f t="array" ref="M264">_xlfn.SWITCH($A$2,"average", AVERAGE(Instances!M264:Instances!M264),"median", MEDIAN(Instances!M264:Instances!M264),"min", MIN(Instances!M264:Instances!M264),"max", MAX(Instances!M264:Instances!M264),"diff", MAX(Instances!M264:Instances!M264)-MIN(Instances!M264:Instances!M264))</f>
        <v>0</v>
      </c>
      <c r="N264" s="1" cm="1">
        <f t="array" ref="N264">_xlfn.SWITCH($A$2,"average", AVERAGE(Instances!N264:Instances!N264),"median", MEDIAN(Instances!N264:Instances!N264),"min", MIN(Instances!N264:Instances!N264),"max", MAX(Instances!N264:Instances!N264),"diff", MAX(Instances!N264:Instances!N264)-MIN(Instances!N264:Instances!N264))</f>
        <v>0</v>
      </c>
      <c r="O264" s="1" cm="1">
        <f t="array" ref="O264">_xlfn.SWITCH($A$2,"average", AVERAGE(Instances!O264:Instances!O264),"median", MEDIAN(Instances!O264:Instances!O264),"min", MIN(Instances!O264:Instances!O264),"max", MAX(Instances!O264:Instances!O264),"diff", MAX(Instances!O264:Instances!O264)-MIN(Instances!O264:Instances!O264))</f>
        <v>0</v>
      </c>
      <c r="P264" s="1" cm="1">
        <f t="array" ref="P264">_xlfn.SWITCH($A$2,"average", AVERAGE(Instances!P264:Instances!P264),"median", MEDIAN(Instances!P264:Instances!P264),"min", MIN(Instances!P264:Instances!P264),"max", MAX(Instances!P264:Instances!P264),"diff", MAX(Instances!P264:Instances!P264)-MIN(Instances!P264:Instances!P264))</f>
        <v>0</v>
      </c>
      <c r="Q264" s="1" cm="1">
        <f t="array" ref="Q264">_xlfn.SWITCH($A$2,"average", AVERAGE(Instances!Q264:Instances!Q264),"median", MEDIAN(Instances!Q264:Instances!Q264),"min", MIN(Instances!Q264:Instances!Q264),"max", MAX(Instances!Q264:Instances!Q264),"diff", MAX(Instances!Q264:Instances!Q264)-MIN(Instances!Q264:Instances!Q264))</f>
        <v>0</v>
      </c>
      <c r="R264" s="1">
        <f>MIN($B264,$D264,$F264,$H264,$J264,$L264,$N264,$P264)</f>
        <v>0</v>
      </c>
      <c r="S264" s="1">
        <f>MIN($C264,$E264,$G264,$I264,$K264,$M264,$O264,$Q264)</f>
        <v>0</v>
      </c>
      <c r="T264" s="1">
        <f>MEDIAN($B264,$D264,$F264,$H264,$J264,$L264,$N264,$P264)</f>
        <v>0</v>
      </c>
      <c r="U264" s="1">
        <f>MEDIAN($C264,$E264,$G264,$I264,$K264,$M264,$O264,$Q264)</f>
        <v>0</v>
      </c>
      <c r="V264" s="1">
        <f>MAX($B264,$D264,$F264,$H264,$J264,$L264,$N264,$P264)</f>
        <v>0</v>
      </c>
      <c r="W264" s="1">
        <f>MAX($C264,$E264,$G264,$I264,$K264,$M264,$O264,$Q264)</f>
        <v>0</v>
      </c>
    </row>
    <row r="265" spans="1:23">
      <c r="A265" s="1" t="s">
        <v>262</v>
      </c>
      <c r="B265" s="1"/>
      <c r="C265" s="1"/>
      <c r="D265" s="1" cm="1">
        <f t="array" ref="D265">_xlfn.SWITCH($A$2,"average", AVERAGE(Instances!D265:Instances!D265),"median", MEDIAN(Instances!D265:Instances!D265),"min", MIN(Instances!D265:Instances!D265),"max", MAX(Instances!D265:Instances!D265),"diff", MAX(Instances!D265:Instances!D265)-MIN(Instances!D265:Instances!D265))</f>
        <v>0</v>
      </c>
      <c r="E265" s="1" cm="1">
        <f t="array" ref="E265">_xlfn.SWITCH($A$2,"average", AVERAGE(Instances!E265:Instances!E265),"median", MEDIAN(Instances!E265:Instances!E265),"min", MIN(Instances!E265:Instances!E265),"max", MAX(Instances!E265:Instances!E265),"diff", MAX(Instances!E265:Instances!E265)-MIN(Instances!E265:Instances!E265))</f>
        <v>0</v>
      </c>
      <c r="F265" s="1" cm="1">
        <f t="array" ref="F265">_xlfn.SWITCH($A$2,"average", AVERAGE(Instances!F265:Instances!F265),"median", MEDIAN(Instances!F265:Instances!F265),"min", MIN(Instances!F265:Instances!F265),"max", MAX(Instances!F265:Instances!F265),"diff", MAX(Instances!F265:Instances!F265)-MIN(Instances!F265:Instances!F265))</f>
        <v>0</v>
      </c>
      <c r="G265" s="1" cm="1">
        <f t="array" ref="G265">_xlfn.SWITCH($A$2,"average", AVERAGE(Instances!G265:Instances!G265),"median", MEDIAN(Instances!G265:Instances!G265),"min", MIN(Instances!G265:Instances!G265),"max", MAX(Instances!G265:Instances!G265),"diff", MAX(Instances!G265:Instances!G265)-MIN(Instances!G265:Instances!G265))</f>
        <v>0</v>
      </c>
      <c r="H265" s="1"/>
      <c r="I265" s="1"/>
      <c r="J265" s="1" cm="1">
        <f t="array" ref="J265">_xlfn.SWITCH($A$2,"average", AVERAGE(Instances!J265:Instances!J265),"median", MEDIAN(Instances!J265:Instances!J265),"min", MIN(Instances!J265:Instances!J265),"max", MAX(Instances!J265:Instances!J265),"diff", MAX(Instances!J265:Instances!J265)-MIN(Instances!J265:Instances!J265))</f>
        <v>0</v>
      </c>
      <c r="K265" s="1" cm="1">
        <f t="array" ref="K265">_xlfn.SWITCH($A$2,"average", AVERAGE(Instances!K265:Instances!K265),"median", MEDIAN(Instances!K265:Instances!K265),"min", MIN(Instances!K265:Instances!K265),"max", MAX(Instances!K265:Instances!K265),"diff", MAX(Instances!K265:Instances!K265)-MIN(Instances!K265:Instances!K265))</f>
        <v>0</v>
      </c>
      <c r="L265" s="1" cm="1">
        <f t="array" ref="L265">_xlfn.SWITCH($A$2,"average", AVERAGE(Instances!L265:Instances!L265),"median", MEDIAN(Instances!L265:Instances!L265),"min", MIN(Instances!L265:Instances!L265),"max", MAX(Instances!L265:Instances!L265),"diff", MAX(Instances!L265:Instances!L265)-MIN(Instances!L265:Instances!L265))</f>
        <v>0</v>
      </c>
      <c r="M265" s="1" cm="1">
        <f t="array" ref="M265">_xlfn.SWITCH($A$2,"average", AVERAGE(Instances!M265:Instances!M265),"median", MEDIAN(Instances!M265:Instances!M265),"min", MIN(Instances!M265:Instances!M265),"max", MAX(Instances!M265:Instances!M265),"diff", MAX(Instances!M265:Instances!M265)-MIN(Instances!M265:Instances!M265))</f>
        <v>0</v>
      </c>
      <c r="N265" s="1" cm="1">
        <f t="array" ref="N265">_xlfn.SWITCH($A$2,"average", AVERAGE(Instances!N265:Instances!N265),"median", MEDIAN(Instances!N265:Instances!N265),"min", MIN(Instances!N265:Instances!N265),"max", MAX(Instances!N265:Instances!N265),"diff", MAX(Instances!N265:Instances!N265)-MIN(Instances!N265:Instances!N265))</f>
        <v>0</v>
      </c>
      <c r="O265" s="1" cm="1">
        <f t="array" ref="O265">_xlfn.SWITCH($A$2,"average", AVERAGE(Instances!O265:Instances!O265),"median", MEDIAN(Instances!O265:Instances!O265),"min", MIN(Instances!O265:Instances!O265),"max", MAX(Instances!O265:Instances!O265),"diff", MAX(Instances!O265:Instances!O265)-MIN(Instances!O265:Instances!O265))</f>
        <v>0</v>
      </c>
      <c r="P265" s="1" cm="1">
        <f t="array" ref="P265">_xlfn.SWITCH($A$2,"average", AVERAGE(Instances!P265:Instances!P265),"median", MEDIAN(Instances!P265:Instances!P265),"min", MIN(Instances!P265:Instances!P265),"max", MAX(Instances!P265:Instances!P265),"diff", MAX(Instances!P265:Instances!P265)-MIN(Instances!P265:Instances!P265))</f>
        <v>0</v>
      </c>
      <c r="Q265" s="1" cm="1">
        <f t="array" ref="Q265">_xlfn.SWITCH($A$2,"average", AVERAGE(Instances!Q265:Instances!Q265),"median", MEDIAN(Instances!Q265:Instances!Q265),"min", MIN(Instances!Q265:Instances!Q265),"max", MAX(Instances!Q265:Instances!Q265),"diff", MAX(Instances!Q265:Instances!Q265)-MIN(Instances!Q265:Instances!Q265))</f>
        <v>0</v>
      </c>
      <c r="R265" s="1">
        <f>MIN($B265,$D265,$F265,$H265,$J265,$L265,$N265,$P265)</f>
        <v>0</v>
      </c>
      <c r="S265" s="1">
        <f>MIN($C265,$E265,$G265,$I265,$K265,$M265,$O265,$Q265)</f>
        <v>0</v>
      </c>
      <c r="T265" s="1">
        <f>MEDIAN($B265,$D265,$F265,$H265,$J265,$L265,$N265,$P265)</f>
        <v>0</v>
      </c>
      <c r="U265" s="1">
        <f>MEDIAN($C265,$E265,$G265,$I265,$K265,$M265,$O265,$Q265)</f>
        <v>0</v>
      </c>
      <c r="V265" s="1">
        <f>MAX($B265,$D265,$F265,$H265,$J265,$L265,$N265,$P265)</f>
        <v>0</v>
      </c>
      <c r="W265" s="1">
        <f>MAX($C265,$E265,$G265,$I265,$K265,$M265,$O265,$Q265)</f>
        <v>0</v>
      </c>
    </row>
    <row r="266" spans="1:23">
      <c r="A266" s="1" t="s">
        <v>263</v>
      </c>
      <c r="B266" s="1"/>
      <c r="C266" s="1"/>
      <c r="D266" s="1" cm="1">
        <f t="array" ref="D266">_xlfn.SWITCH($A$2,"average", AVERAGE(Instances!D266:Instances!D266),"median", MEDIAN(Instances!D266:Instances!D266),"min", MIN(Instances!D266:Instances!D266),"max", MAX(Instances!D266:Instances!D266),"diff", MAX(Instances!D266:Instances!D266)-MIN(Instances!D266:Instances!D266))</f>
        <v>0</v>
      </c>
      <c r="E266" s="1" cm="1">
        <f t="array" ref="E266">_xlfn.SWITCH($A$2,"average", AVERAGE(Instances!E266:Instances!E266),"median", MEDIAN(Instances!E266:Instances!E266),"min", MIN(Instances!E266:Instances!E266),"max", MAX(Instances!E266:Instances!E266),"diff", MAX(Instances!E266:Instances!E266)-MIN(Instances!E266:Instances!E266))</f>
        <v>0</v>
      </c>
      <c r="F266" s="1" cm="1">
        <f t="array" ref="F266">_xlfn.SWITCH($A$2,"average", AVERAGE(Instances!F266:Instances!F266),"median", MEDIAN(Instances!F266:Instances!F266),"min", MIN(Instances!F266:Instances!F266),"max", MAX(Instances!F266:Instances!F266),"diff", MAX(Instances!F266:Instances!F266)-MIN(Instances!F266:Instances!F266))</f>
        <v>0</v>
      </c>
      <c r="G266" s="1" cm="1">
        <f t="array" ref="G266">_xlfn.SWITCH($A$2,"average", AVERAGE(Instances!G266:Instances!G266),"median", MEDIAN(Instances!G266:Instances!G266),"min", MIN(Instances!G266:Instances!G266),"max", MAX(Instances!G266:Instances!G266),"diff", MAX(Instances!G266:Instances!G266)-MIN(Instances!G266:Instances!G266))</f>
        <v>0</v>
      </c>
      <c r="H266" s="1"/>
      <c r="I266" s="1"/>
      <c r="J266" s="1" cm="1">
        <f t="array" ref="J266">_xlfn.SWITCH($A$2,"average", AVERAGE(Instances!J266:Instances!J266),"median", MEDIAN(Instances!J266:Instances!J266),"min", MIN(Instances!J266:Instances!J266),"max", MAX(Instances!J266:Instances!J266),"diff", MAX(Instances!J266:Instances!J266)-MIN(Instances!J266:Instances!J266))</f>
        <v>0</v>
      </c>
      <c r="K266" s="1" cm="1">
        <f t="array" ref="K266">_xlfn.SWITCH($A$2,"average", AVERAGE(Instances!K266:Instances!K266),"median", MEDIAN(Instances!K266:Instances!K266),"min", MIN(Instances!K266:Instances!K266),"max", MAX(Instances!K266:Instances!K266),"diff", MAX(Instances!K266:Instances!K266)-MIN(Instances!K266:Instances!K266))</f>
        <v>0</v>
      </c>
      <c r="L266" s="1" cm="1">
        <f t="array" ref="L266">_xlfn.SWITCH($A$2,"average", AVERAGE(Instances!L266:Instances!L266),"median", MEDIAN(Instances!L266:Instances!L266),"min", MIN(Instances!L266:Instances!L266),"max", MAX(Instances!L266:Instances!L266),"diff", MAX(Instances!L266:Instances!L266)-MIN(Instances!L266:Instances!L266))</f>
        <v>0</v>
      </c>
      <c r="M266" s="1" cm="1">
        <f t="array" ref="M266">_xlfn.SWITCH($A$2,"average", AVERAGE(Instances!M266:Instances!M266),"median", MEDIAN(Instances!M266:Instances!M266),"min", MIN(Instances!M266:Instances!M266),"max", MAX(Instances!M266:Instances!M266),"diff", MAX(Instances!M266:Instances!M266)-MIN(Instances!M266:Instances!M266))</f>
        <v>0</v>
      </c>
      <c r="N266" s="1" cm="1">
        <f t="array" ref="N266">_xlfn.SWITCH($A$2,"average", AVERAGE(Instances!N266:Instances!N266),"median", MEDIAN(Instances!N266:Instances!N266),"min", MIN(Instances!N266:Instances!N266),"max", MAX(Instances!N266:Instances!N266),"diff", MAX(Instances!N266:Instances!N266)-MIN(Instances!N266:Instances!N266))</f>
        <v>0</v>
      </c>
      <c r="O266" s="1" cm="1">
        <f t="array" ref="O266">_xlfn.SWITCH($A$2,"average", AVERAGE(Instances!O266:Instances!O266),"median", MEDIAN(Instances!O266:Instances!O266),"min", MIN(Instances!O266:Instances!O266),"max", MAX(Instances!O266:Instances!O266),"diff", MAX(Instances!O266:Instances!O266)-MIN(Instances!O266:Instances!O266))</f>
        <v>0</v>
      </c>
      <c r="P266" s="1" cm="1">
        <f t="array" ref="P266">_xlfn.SWITCH($A$2,"average", AVERAGE(Instances!P266:Instances!P266),"median", MEDIAN(Instances!P266:Instances!P266),"min", MIN(Instances!P266:Instances!P266),"max", MAX(Instances!P266:Instances!P266),"diff", MAX(Instances!P266:Instances!P266)-MIN(Instances!P266:Instances!P266))</f>
        <v>0</v>
      </c>
      <c r="Q266" s="1" cm="1">
        <f t="array" ref="Q266">_xlfn.SWITCH($A$2,"average", AVERAGE(Instances!Q266:Instances!Q266),"median", MEDIAN(Instances!Q266:Instances!Q266),"min", MIN(Instances!Q266:Instances!Q266),"max", MAX(Instances!Q266:Instances!Q266),"diff", MAX(Instances!Q266:Instances!Q266)-MIN(Instances!Q266:Instances!Q266))</f>
        <v>0</v>
      </c>
      <c r="R266" s="1">
        <f>MIN($B266,$D266,$F266,$H266,$J266,$L266,$N266,$P266)</f>
        <v>0</v>
      </c>
      <c r="S266" s="1">
        <f>MIN($C266,$E266,$G266,$I266,$K266,$M266,$O266,$Q266)</f>
        <v>0</v>
      </c>
      <c r="T266" s="1">
        <f>MEDIAN($B266,$D266,$F266,$H266,$J266,$L266,$N266,$P266)</f>
        <v>0</v>
      </c>
      <c r="U266" s="1">
        <f>MEDIAN($C266,$E266,$G266,$I266,$K266,$M266,$O266,$Q266)</f>
        <v>0</v>
      </c>
      <c r="V266" s="1">
        <f>MAX($B266,$D266,$F266,$H266,$J266,$L266,$N266,$P266)</f>
        <v>0</v>
      </c>
      <c r="W266" s="1">
        <f>MAX($C266,$E266,$G266,$I266,$K266,$M266,$O266,$Q266)</f>
        <v>0</v>
      </c>
    </row>
    <row r="267" spans="1:23">
      <c r="A267" s="1" t="s">
        <v>264</v>
      </c>
      <c r="B267" s="1"/>
      <c r="C267" s="1"/>
      <c r="D267" s="1" cm="1">
        <f t="array" ref="D267">_xlfn.SWITCH($A$2,"average", AVERAGE(Instances!D267:Instances!D267),"median", MEDIAN(Instances!D267:Instances!D267),"min", MIN(Instances!D267:Instances!D267),"max", MAX(Instances!D267:Instances!D267),"diff", MAX(Instances!D267:Instances!D267)-MIN(Instances!D267:Instances!D267))</f>
        <v>0</v>
      </c>
      <c r="E267" s="1" cm="1">
        <f t="array" ref="E267">_xlfn.SWITCH($A$2,"average", AVERAGE(Instances!E267:Instances!E267),"median", MEDIAN(Instances!E267:Instances!E267),"min", MIN(Instances!E267:Instances!E267),"max", MAX(Instances!E267:Instances!E267),"diff", MAX(Instances!E267:Instances!E267)-MIN(Instances!E267:Instances!E267))</f>
        <v>0</v>
      </c>
      <c r="F267" s="1" cm="1">
        <f t="array" ref="F267">_xlfn.SWITCH($A$2,"average", AVERAGE(Instances!F267:Instances!F267),"median", MEDIAN(Instances!F267:Instances!F267),"min", MIN(Instances!F267:Instances!F267),"max", MAX(Instances!F267:Instances!F267),"diff", MAX(Instances!F267:Instances!F267)-MIN(Instances!F267:Instances!F267))</f>
        <v>0</v>
      </c>
      <c r="G267" s="1" cm="1">
        <f t="array" ref="G267">_xlfn.SWITCH($A$2,"average", AVERAGE(Instances!G267:Instances!G267),"median", MEDIAN(Instances!G267:Instances!G267),"min", MIN(Instances!G267:Instances!G267),"max", MAX(Instances!G267:Instances!G267),"diff", MAX(Instances!G267:Instances!G267)-MIN(Instances!G267:Instances!G267))</f>
        <v>0</v>
      </c>
      <c r="H267" s="1"/>
      <c r="I267" s="1"/>
      <c r="J267" s="1" cm="1">
        <f t="array" ref="J267">_xlfn.SWITCH($A$2,"average", AVERAGE(Instances!J267:Instances!J267),"median", MEDIAN(Instances!J267:Instances!J267),"min", MIN(Instances!J267:Instances!J267),"max", MAX(Instances!J267:Instances!J267),"diff", MAX(Instances!J267:Instances!J267)-MIN(Instances!J267:Instances!J267))</f>
        <v>0</v>
      </c>
      <c r="K267" s="1" cm="1">
        <f t="array" ref="K267">_xlfn.SWITCH($A$2,"average", AVERAGE(Instances!K267:Instances!K267),"median", MEDIAN(Instances!K267:Instances!K267),"min", MIN(Instances!K267:Instances!K267),"max", MAX(Instances!K267:Instances!K267),"diff", MAX(Instances!K267:Instances!K267)-MIN(Instances!K267:Instances!K267))</f>
        <v>0</v>
      </c>
      <c r="L267" s="1" cm="1">
        <f t="array" ref="L267">_xlfn.SWITCH($A$2,"average", AVERAGE(Instances!L267:Instances!L267),"median", MEDIAN(Instances!L267:Instances!L267),"min", MIN(Instances!L267:Instances!L267),"max", MAX(Instances!L267:Instances!L267),"diff", MAX(Instances!L267:Instances!L267)-MIN(Instances!L267:Instances!L267))</f>
        <v>0</v>
      </c>
      <c r="M267" s="1" cm="1">
        <f t="array" ref="M267">_xlfn.SWITCH($A$2,"average", AVERAGE(Instances!M267:Instances!M267),"median", MEDIAN(Instances!M267:Instances!M267),"min", MIN(Instances!M267:Instances!M267),"max", MAX(Instances!M267:Instances!M267),"diff", MAX(Instances!M267:Instances!M267)-MIN(Instances!M267:Instances!M267))</f>
        <v>0</v>
      </c>
      <c r="N267" s="1" cm="1">
        <f t="array" ref="N267">_xlfn.SWITCH($A$2,"average", AVERAGE(Instances!N267:Instances!N267),"median", MEDIAN(Instances!N267:Instances!N267),"min", MIN(Instances!N267:Instances!N267),"max", MAX(Instances!N267:Instances!N267),"diff", MAX(Instances!N267:Instances!N267)-MIN(Instances!N267:Instances!N267))</f>
        <v>0</v>
      </c>
      <c r="O267" s="1" cm="1">
        <f t="array" ref="O267">_xlfn.SWITCH($A$2,"average", AVERAGE(Instances!O267:Instances!O267),"median", MEDIAN(Instances!O267:Instances!O267),"min", MIN(Instances!O267:Instances!O267),"max", MAX(Instances!O267:Instances!O267),"diff", MAX(Instances!O267:Instances!O267)-MIN(Instances!O267:Instances!O267))</f>
        <v>0</v>
      </c>
      <c r="P267" s="1" cm="1">
        <f t="array" ref="P267">_xlfn.SWITCH($A$2,"average", AVERAGE(Instances!P267:Instances!P267),"median", MEDIAN(Instances!P267:Instances!P267),"min", MIN(Instances!P267:Instances!P267),"max", MAX(Instances!P267:Instances!P267),"diff", MAX(Instances!P267:Instances!P267)-MIN(Instances!P267:Instances!P267))</f>
        <v>0</v>
      </c>
      <c r="Q267" s="1" cm="1">
        <f t="array" ref="Q267">_xlfn.SWITCH($A$2,"average", AVERAGE(Instances!Q267:Instances!Q267),"median", MEDIAN(Instances!Q267:Instances!Q267),"min", MIN(Instances!Q267:Instances!Q267),"max", MAX(Instances!Q267:Instances!Q267),"diff", MAX(Instances!Q267:Instances!Q267)-MIN(Instances!Q267:Instances!Q267))</f>
        <v>0</v>
      </c>
      <c r="R267" s="1">
        <f>MIN($B267,$D267,$F267,$H267,$J267,$L267,$N267,$P267)</f>
        <v>0</v>
      </c>
      <c r="S267" s="1">
        <f>MIN($C267,$E267,$G267,$I267,$K267,$M267,$O267,$Q267)</f>
        <v>0</v>
      </c>
      <c r="T267" s="1">
        <f>MEDIAN($B267,$D267,$F267,$H267,$J267,$L267,$N267,$P267)</f>
        <v>0</v>
      </c>
      <c r="U267" s="1">
        <f>MEDIAN($C267,$E267,$G267,$I267,$K267,$M267,$O267,$Q267)</f>
        <v>0</v>
      </c>
      <c r="V267" s="1">
        <f>MAX($B267,$D267,$F267,$H267,$J267,$L267,$N267,$P267)</f>
        <v>0</v>
      </c>
      <c r="W267" s="1">
        <f>MAX($C267,$E267,$G267,$I267,$K267,$M267,$O267,$Q267)</f>
        <v>0</v>
      </c>
    </row>
    <row r="268" spans="1:23">
      <c r="A268" s="1" t="s">
        <v>265</v>
      </c>
      <c r="B268" s="1"/>
      <c r="C268" s="1"/>
      <c r="D268" s="1" cm="1">
        <f t="array" ref="D268">_xlfn.SWITCH($A$2,"average", AVERAGE(Instances!D268:Instances!D268),"median", MEDIAN(Instances!D268:Instances!D268),"min", MIN(Instances!D268:Instances!D268),"max", MAX(Instances!D268:Instances!D268),"diff", MAX(Instances!D268:Instances!D268)-MIN(Instances!D268:Instances!D268))</f>
        <v>0</v>
      </c>
      <c r="E268" s="1" cm="1">
        <f t="array" ref="E268">_xlfn.SWITCH($A$2,"average", AVERAGE(Instances!E268:Instances!E268),"median", MEDIAN(Instances!E268:Instances!E268),"min", MIN(Instances!E268:Instances!E268),"max", MAX(Instances!E268:Instances!E268),"diff", MAX(Instances!E268:Instances!E268)-MIN(Instances!E268:Instances!E268))</f>
        <v>0</v>
      </c>
      <c r="F268" s="1" cm="1">
        <f t="array" ref="F268">_xlfn.SWITCH($A$2,"average", AVERAGE(Instances!F268:Instances!F268),"median", MEDIAN(Instances!F268:Instances!F268),"min", MIN(Instances!F268:Instances!F268),"max", MAX(Instances!F268:Instances!F268),"diff", MAX(Instances!F268:Instances!F268)-MIN(Instances!F268:Instances!F268))</f>
        <v>0</v>
      </c>
      <c r="G268" s="1" cm="1">
        <f t="array" ref="G268">_xlfn.SWITCH($A$2,"average", AVERAGE(Instances!G268:Instances!G268),"median", MEDIAN(Instances!G268:Instances!G268),"min", MIN(Instances!G268:Instances!G268),"max", MAX(Instances!G268:Instances!G268),"diff", MAX(Instances!G268:Instances!G268)-MIN(Instances!G268:Instances!G268))</f>
        <v>0</v>
      </c>
      <c r="H268" s="1"/>
      <c r="I268" s="1"/>
      <c r="J268" s="1" cm="1">
        <f t="array" ref="J268">_xlfn.SWITCH($A$2,"average", AVERAGE(Instances!J268:Instances!J268),"median", MEDIAN(Instances!J268:Instances!J268),"min", MIN(Instances!J268:Instances!J268),"max", MAX(Instances!J268:Instances!J268),"diff", MAX(Instances!J268:Instances!J268)-MIN(Instances!J268:Instances!J268))</f>
        <v>0</v>
      </c>
      <c r="K268" s="1" cm="1">
        <f t="array" ref="K268">_xlfn.SWITCH($A$2,"average", AVERAGE(Instances!K268:Instances!K268),"median", MEDIAN(Instances!K268:Instances!K268),"min", MIN(Instances!K268:Instances!K268),"max", MAX(Instances!K268:Instances!K268),"diff", MAX(Instances!K268:Instances!K268)-MIN(Instances!K268:Instances!K268))</f>
        <v>0</v>
      </c>
      <c r="L268" s="1" cm="1">
        <f t="array" ref="L268">_xlfn.SWITCH($A$2,"average", AVERAGE(Instances!L268:Instances!L268),"median", MEDIAN(Instances!L268:Instances!L268),"min", MIN(Instances!L268:Instances!L268),"max", MAX(Instances!L268:Instances!L268),"diff", MAX(Instances!L268:Instances!L268)-MIN(Instances!L268:Instances!L268))</f>
        <v>0</v>
      </c>
      <c r="M268" s="1" cm="1">
        <f t="array" ref="M268">_xlfn.SWITCH($A$2,"average", AVERAGE(Instances!M268:Instances!M268),"median", MEDIAN(Instances!M268:Instances!M268),"min", MIN(Instances!M268:Instances!M268),"max", MAX(Instances!M268:Instances!M268),"diff", MAX(Instances!M268:Instances!M268)-MIN(Instances!M268:Instances!M268))</f>
        <v>0</v>
      </c>
      <c r="N268" s="1" cm="1">
        <f t="array" ref="N268">_xlfn.SWITCH($A$2,"average", AVERAGE(Instances!N268:Instances!N268),"median", MEDIAN(Instances!N268:Instances!N268),"min", MIN(Instances!N268:Instances!N268),"max", MAX(Instances!N268:Instances!N268),"diff", MAX(Instances!N268:Instances!N268)-MIN(Instances!N268:Instances!N268))</f>
        <v>0</v>
      </c>
      <c r="O268" s="1" cm="1">
        <f t="array" ref="O268">_xlfn.SWITCH($A$2,"average", AVERAGE(Instances!O268:Instances!O268),"median", MEDIAN(Instances!O268:Instances!O268),"min", MIN(Instances!O268:Instances!O268),"max", MAX(Instances!O268:Instances!O268),"diff", MAX(Instances!O268:Instances!O268)-MIN(Instances!O268:Instances!O268))</f>
        <v>0</v>
      </c>
      <c r="P268" s="1" cm="1">
        <f t="array" ref="P268">_xlfn.SWITCH($A$2,"average", AVERAGE(Instances!P268:Instances!P268),"median", MEDIAN(Instances!P268:Instances!P268),"min", MIN(Instances!P268:Instances!P268),"max", MAX(Instances!P268:Instances!P268),"diff", MAX(Instances!P268:Instances!P268)-MIN(Instances!P268:Instances!P268))</f>
        <v>0</v>
      </c>
      <c r="Q268" s="1" cm="1">
        <f t="array" ref="Q268">_xlfn.SWITCH($A$2,"average", AVERAGE(Instances!Q268:Instances!Q268),"median", MEDIAN(Instances!Q268:Instances!Q268),"min", MIN(Instances!Q268:Instances!Q268),"max", MAX(Instances!Q268:Instances!Q268),"diff", MAX(Instances!Q268:Instances!Q268)-MIN(Instances!Q268:Instances!Q268))</f>
        <v>0</v>
      </c>
      <c r="R268" s="1">
        <f>MIN($B268,$D268,$F268,$H268,$J268,$L268,$N268,$P268)</f>
        <v>0</v>
      </c>
      <c r="S268" s="1">
        <f>MIN($C268,$E268,$G268,$I268,$K268,$M268,$O268,$Q268)</f>
        <v>0</v>
      </c>
      <c r="T268" s="1">
        <f>MEDIAN($B268,$D268,$F268,$H268,$J268,$L268,$N268,$P268)</f>
        <v>0</v>
      </c>
      <c r="U268" s="1">
        <f>MEDIAN($C268,$E268,$G268,$I268,$K268,$M268,$O268,$Q268)</f>
        <v>0</v>
      </c>
      <c r="V268" s="1">
        <f>MAX($B268,$D268,$F268,$H268,$J268,$L268,$N268,$P268)</f>
        <v>0</v>
      </c>
      <c r="W268" s="1">
        <f>MAX($C268,$E268,$G268,$I268,$K268,$M268,$O268,$Q268)</f>
        <v>0</v>
      </c>
    </row>
    <row r="269" spans="1:23">
      <c r="A269" s="1" t="s">
        <v>266</v>
      </c>
      <c r="B269" s="1"/>
      <c r="C269" s="1"/>
      <c r="D269" s="1" cm="1">
        <f t="array" ref="D269">_xlfn.SWITCH($A$2,"average", AVERAGE(Instances!D269:Instances!D269),"median", MEDIAN(Instances!D269:Instances!D269),"min", MIN(Instances!D269:Instances!D269),"max", MAX(Instances!D269:Instances!D269),"diff", MAX(Instances!D269:Instances!D269)-MIN(Instances!D269:Instances!D269))</f>
        <v>0</v>
      </c>
      <c r="E269" s="1" cm="1">
        <f t="array" ref="E269">_xlfn.SWITCH($A$2,"average", AVERAGE(Instances!E269:Instances!E269),"median", MEDIAN(Instances!E269:Instances!E269),"min", MIN(Instances!E269:Instances!E269),"max", MAX(Instances!E269:Instances!E269),"diff", MAX(Instances!E269:Instances!E269)-MIN(Instances!E269:Instances!E269))</f>
        <v>0</v>
      </c>
      <c r="F269" s="1" cm="1">
        <f t="array" ref="F269">_xlfn.SWITCH($A$2,"average", AVERAGE(Instances!F269:Instances!F269),"median", MEDIAN(Instances!F269:Instances!F269),"min", MIN(Instances!F269:Instances!F269),"max", MAX(Instances!F269:Instances!F269),"diff", MAX(Instances!F269:Instances!F269)-MIN(Instances!F269:Instances!F269))</f>
        <v>0</v>
      </c>
      <c r="G269" s="1" cm="1">
        <f t="array" ref="G269">_xlfn.SWITCH($A$2,"average", AVERAGE(Instances!G269:Instances!G269),"median", MEDIAN(Instances!G269:Instances!G269),"min", MIN(Instances!G269:Instances!G269),"max", MAX(Instances!G269:Instances!G269),"diff", MAX(Instances!G269:Instances!G269)-MIN(Instances!G269:Instances!G269))</f>
        <v>0</v>
      </c>
      <c r="H269" s="1"/>
      <c r="I269" s="1"/>
      <c r="J269" s="1" cm="1">
        <f t="array" ref="J269">_xlfn.SWITCH($A$2,"average", AVERAGE(Instances!J269:Instances!J269),"median", MEDIAN(Instances!J269:Instances!J269),"min", MIN(Instances!J269:Instances!J269),"max", MAX(Instances!J269:Instances!J269),"diff", MAX(Instances!J269:Instances!J269)-MIN(Instances!J269:Instances!J269))</f>
        <v>0</v>
      </c>
      <c r="K269" s="1" cm="1">
        <f t="array" ref="K269">_xlfn.SWITCH($A$2,"average", AVERAGE(Instances!K269:Instances!K269),"median", MEDIAN(Instances!K269:Instances!K269),"min", MIN(Instances!K269:Instances!K269),"max", MAX(Instances!K269:Instances!K269),"diff", MAX(Instances!K269:Instances!K269)-MIN(Instances!K269:Instances!K269))</f>
        <v>0</v>
      </c>
      <c r="L269" s="1" cm="1">
        <f t="array" ref="L269">_xlfn.SWITCH($A$2,"average", AVERAGE(Instances!L269:Instances!L269),"median", MEDIAN(Instances!L269:Instances!L269),"min", MIN(Instances!L269:Instances!L269),"max", MAX(Instances!L269:Instances!L269),"diff", MAX(Instances!L269:Instances!L269)-MIN(Instances!L269:Instances!L269))</f>
        <v>0</v>
      </c>
      <c r="M269" s="1" cm="1">
        <f t="array" ref="M269">_xlfn.SWITCH($A$2,"average", AVERAGE(Instances!M269:Instances!M269),"median", MEDIAN(Instances!M269:Instances!M269),"min", MIN(Instances!M269:Instances!M269),"max", MAX(Instances!M269:Instances!M269),"diff", MAX(Instances!M269:Instances!M269)-MIN(Instances!M269:Instances!M269))</f>
        <v>0</v>
      </c>
      <c r="N269" s="1" cm="1">
        <f t="array" ref="N269">_xlfn.SWITCH($A$2,"average", AVERAGE(Instances!N269:Instances!N269),"median", MEDIAN(Instances!N269:Instances!N269),"min", MIN(Instances!N269:Instances!N269),"max", MAX(Instances!N269:Instances!N269),"diff", MAX(Instances!N269:Instances!N269)-MIN(Instances!N269:Instances!N269))</f>
        <v>0</v>
      </c>
      <c r="O269" s="1" cm="1">
        <f t="array" ref="O269">_xlfn.SWITCH($A$2,"average", AVERAGE(Instances!O269:Instances!O269),"median", MEDIAN(Instances!O269:Instances!O269),"min", MIN(Instances!O269:Instances!O269),"max", MAX(Instances!O269:Instances!O269),"diff", MAX(Instances!O269:Instances!O269)-MIN(Instances!O269:Instances!O269))</f>
        <v>0</v>
      </c>
      <c r="P269" s="1" cm="1">
        <f t="array" ref="P269">_xlfn.SWITCH($A$2,"average", AVERAGE(Instances!P269:Instances!P269),"median", MEDIAN(Instances!P269:Instances!P269),"min", MIN(Instances!P269:Instances!P269),"max", MAX(Instances!P269:Instances!P269),"diff", MAX(Instances!P269:Instances!P269)-MIN(Instances!P269:Instances!P269))</f>
        <v>0</v>
      </c>
      <c r="Q269" s="1" cm="1">
        <f t="array" ref="Q269">_xlfn.SWITCH($A$2,"average", AVERAGE(Instances!Q269:Instances!Q269),"median", MEDIAN(Instances!Q269:Instances!Q269),"min", MIN(Instances!Q269:Instances!Q269),"max", MAX(Instances!Q269:Instances!Q269),"diff", MAX(Instances!Q269:Instances!Q269)-MIN(Instances!Q269:Instances!Q269))</f>
        <v>0</v>
      </c>
      <c r="R269" s="1">
        <f>MIN($B269,$D269,$F269,$H269,$J269,$L269,$N269,$P269)</f>
        <v>0</v>
      </c>
      <c r="S269" s="1">
        <f>MIN($C269,$E269,$G269,$I269,$K269,$M269,$O269,$Q269)</f>
        <v>0</v>
      </c>
      <c r="T269" s="1">
        <f>MEDIAN($B269,$D269,$F269,$H269,$J269,$L269,$N269,$P269)</f>
        <v>0</v>
      </c>
      <c r="U269" s="1">
        <f>MEDIAN($C269,$E269,$G269,$I269,$K269,$M269,$O269,$Q269)</f>
        <v>0</v>
      </c>
      <c r="V269" s="1">
        <f>MAX($B269,$D269,$F269,$H269,$J269,$L269,$N269,$P269)</f>
        <v>0</v>
      </c>
      <c r="W269" s="1">
        <f>MAX($C269,$E269,$G269,$I269,$K269,$M269,$O269,$Q269)</f>
        <v>0</v>
      </c>
    </row>
    <row r="270" spans="1:23">
      <c r="A270" s="1" t="s">
        <v>267</v>
      </c>
      <c r="B270" s="1"/>
      <c r="C270" s="1"/>
      <c r="D270" s="1" cm="1">
        <f t="array" ref="D270">_xlfn.SWITCH($A$2,"average", AVERAGE(Instances!D270:Instances!D270),"median", MEDIAN(Instances!D270:Instances!D270),"min", MIN(Instances!D270:Instances!D270),"max", MAX(Instances!D270:Instances!D270),"diff", MAX(Instances!D270:Instances!D270)-MIN(Instances!D270:Instances!D270))</f>
        <v>0</v>
      </c>
      <c r="E270" s="1" cm="1">
        <f t="array" ref="E270">_xlfn.SWITCH($A$2,"average", AVERAGE(Instances!E270:Instances!E270),"median", MEDIAN(Instances!E270:Instances!E270),"min", MIN(Instances!E270:Instances!E270),"max", MAX(Instances!E270:Instances!E270),"diff", MAX(Instances!E270:Instances!E270)-MIN(Instances!E270:Instances!E270))</f>
        <v>0</v>
      </c>
      <c r="F270" s="1" cm="1">
        <f t="array" ref="F270">_xlfn.SWITCH($A$2,"average", AVERAGE(Instances!F270:Instances!F270),"median", MEDIAN(Instances!F270:Instances!F270),"min", MIN(Instances!F270:Instances!F270),"max", MAX(Instances!F270:Instances!F270),"diff", MAX(Instances!F270:Instances!F270)-MIN(Instances!F270:Instances!F270))</f>
        <v>0</v>
      </c>
      <c r="G270" s="1" cm="1">
        <f t="array" ref="G270">_xlfn.SWITCH($A$2,"average", AVERAGE(Instances!G270:Instances!G270),"median", MEDIAN(Instances!G270:Instances!G270),"min", MIN(Instances!G270:Instances!G270),"max", MAX(Instances!G270:Instances!G270),"diff", MAX(Instances!G270:Instances!G270)-MIN(Instances!G270:Instances!G270))</f>
        <v>0</v>
      </c>
      <c r="H270" s="1"/>
      <c r="I270" s="1"/>
      <c r="J270" s="1" cm="1">
        <f t="array" ref="J270">_xlfn.SWITCH($A$2,"average", AVERAGE(Instances!J270:Instances!J270),"median", MEDIAN(Instances!J270:Instances!J270),"min", MIN(Instances!J270:Instances!J270),"max", MAX(Instances!J270:Instances!J270),"diff", MAX(Instances!J270:Instances!J270)-MIN(Instances!J270:Instances!J270))</f>
        <v>0</v>
      </c>
      <c r="K270" s="1" cm="1">
        <f t="array" ref="K270">_xlfn.SWITCH($A$2,"average", AVERAGE(Instances!K270:Instances!K270),"median", MEDIAN(Instances!K270:Instances!K270),"min", MIN(Instances!K270:Instances!K270),"max", MAX(Instances!K270:Instances!K270),"diff", MAX(Instances!K270:Instances!K270)-MIN(Instances!K270:Instances!K270))</f>
        <v>0</v>
      </c>
      <c r="L270" s="1" cm="1">
        <f t="array" ref="L270">_xlfn.SWITCH($A$2,"average", AVERAGE(Instances!L270:Instances!L270),"median", MEDIAN(Instances!L270:Instances!L270),"min", MIN(Instances!L270:Instances!L270),"max", MAX(Instances!L270:Instances!L270),"diff", MAX(Instances!L270:Instances!L270)-MIN(Instances!L270:Instances!L270))</f>
        <v>0</v>
      </c>
      <c r="M270" s="1" cm="1">
        <f t="array" ref="M270">_xlfn.SWITCH($A$2,"average", AVERAGE(Instances!M270:Instances!M270),"median", MEDIAN(Instances!M270:Instances!M270),"min", MIN(Instances!M270:Instances!M270),"max", MAX(Instances!M270:Instances!M270),"diff", MAX(Instances!M270:Instances!M270)-MIN(Instances!M270:Instances!M270))</f>
        <v>0</v>
      </c>
      <c r="N270" s="1" cm="1">
        <f t="array" ref="N270">_xlfn.SWITCH($A$2,"average", AVERAGE(Instances!N270:Instances!N270),"median", MEDIAN(Instances!N270:Instances!N270),"min", MIN(Instances!N270:Instances!N270),"max", MAX(Instances!N270:Instances!N270),"diff", MAX(Instances!N270:Instances!N270)-MIN(Instances!N270:Instances!N270))</f>
        <v>0</v>
      </c>
      <c r="O270" s="1" cm="1">
        <f t="array" ref="O270">_xlfn.SWITCH($A$2,"average", AVERAGE(Instances!O270:Instances!O270),"median", MEDIAN(Instances!O270:Instances!O270),"min", MIN(Instances!O270:Instances!O270),"max", MAX(Instances!O270:Instances!O270),"diff", MAX(Instances!O270:Instances!O270)-MIN(Instances!O270:Instances!O270))</f>
        <v>0</v>
      </c>
      <c r="P270" s="1" cm="1">
        <f t="array" ref="P270">_xlfn.SWITCH($A$2,"average", AVERAGE(Instances!P270:Instances!P270),"median", MEDIAN(Instances!P270:Instances!P270),"min", MIN(Instances!P270:Instances!P270),"max", MAX(Instances!P270:Instances!P270),"diff", MAX(Instances!P270:Instances!P270)-MIN(Instances!P270:Instances!P270))</f>
        <v>0</v>
      </c>
      <c r="Q270" s="1" cm="1">
        <f t="array" ref="Q270">_xlfn.SWITCH($A$2,"average", AVERAGE(Instances!Q270:Instances!Q270),"median", MEDIAN(Instances!Q270:Instances!Q270),"min", MIN(Instances!Q270:Instances!Q270),"max", MAX(Instances!Q270:Instances!Q270),"diff", MAX(Instances!Q270:Instances!Q270)-MIN(Instances!Q270:Instances!Q270))</f>
        <v>0</v>
      </c>
      <c r="R270" s="1">
        <f>MIN($B270,$D270,$F270,$H270,$J270,$L270,$N270,$P270)</f>
        <v>0</v>
      </c>
      <c r="S270" s="1">
        <f>MIN($C270,$E270,$G270,$I270,$K270,$M270,$O270,$Q270)</f>
        <v>0</v>
      </c>
      <c r="T270" s="1">
        <f>MEDIAN($B270,$D270,$F270,$H270,$J270,$L270,$N270,$P270)</f>
        <v>0</v>
      </c>
      <c r="U270" s="1">
        <f>MEDIAN($C270,$E270,$G270,$I270,$K270,$M270,$O270,$Q270)</f>
        <v>0</v>
      </c>
      <c r="V270" s="1">
        <f>MAX($B270,$D270,$F270,$H270,$J270,$L270,$N270,$P270)</f>
        <v>0</v>
      </c>
      <c r="W270" s="1">
        <f>MAX($C270,$E270,$G270,$I270,$K270,$M270,$O270,$Q270)</f>
        <v>0</v>
      </c>
    </row>
    <row r="271" spans="1:23">
      <c r="A271" s="1" t="s">
        <v>268</v>
      </c>
      <c r="B271" s="1"/>
      <c r="C271" s="1"/>
      <c r="D271" s="1" cm="1">
        <f t="array" ref="D271">_xlfn.SWITCH($A$2,"average", AVERAGE(Instances!D271:Instances!D271),"median", MEDIAN(Instances!D271:Instances!D271),"min", MIN(Instances!D271:Instances!D271),"max", MAX(Instances!D271:Instances!D271),"diff", MAX(Instances!D271:Instances!D271)-MIN(Instances!D271:Instances!D271))</f>
        <v>0</v>
      </c>
      <c r="E271" s="1" cm="1">
        <f t="array" ref="E271">_xlfn.SWITCH($A$2,"average", AVERAGE(Instances!E271:Instances!E271),"median", MEDIAN(Instances!E271:Instances!E271),"min", MIN(Instances!E271:Instances!E271),"max", MAX(Instances!E271:Instances!E271),"diff", MAX(Instances!E271:Instances!E271)-MIN(Instances!E271:Instances!E271))</f>
        <v>0</v>
      </c>
      <c r="F271" s="1" cm="1">
        <f t="array" ref="F271">_xlfn.SWITCH($A$2,"average", AVERAGE(Instances!F271:Instances!F271),"median", MEDIAN(Instances!F271:Instances!F271),"min", MIN(Instances!F271:Instances!F271),"max", MAX(Instances!F271:Instances!F271),"diff", MAX(Instances!F271:Instances!F271)-MIN(Instances!F271:Instances!F271))</f>
        <v>0</v>
      </c>
      <c r="G271" s="1" cm="1">
        <f t="array" ref="G271">_xlfn.SWITCH($A$2,"average", AVERAGE(Instances!G271:Instances!G271),"median", MEDIAN(Instances!G271:Instances!G271),"min", MIN(Instances!G271:Instances!G271),"max", MAX(Instances!G271:Instances!G271),"diff", MAX(Instances!G271:Instances!G271)-MIN(Instances!G271:Instances!G271))</f>
        <v>0</v>
      </c>
      <c r="H271" s="1"/>
      <c r="I271" s="1"/>
      <c r="J271" s="1" cm="1">
        <f t="array" ref="J271">_xlfn.SWITCH($A$2,"average", AVERAGE(Instances!J271:Instances!J271),"median", MEDIAN(Instances!J271:Instances!J271),"min", MIN(Instances!J271:Instances!J271),"max", MAX(Instances!J271:Instances!J271),"diff", MAX(Instances!J271:Instances!J271)-MIN(Instances!J271:Instances!J271))</f>
        <v>0</v>
      </c>
      <c r="K271" s="1" cm="1">
        <f t="array" ref="K271">_xlfn.SWITCH($A$2,"average", AVERAGE(Instances!K271:Instances!K271),"median", MEDIAN(Instances!K271:Instances!K271),"min", MIN(Instances!K271:Instances!K271),"max", MAX(Instances!K271:Instances!K271),"diff", MAX(Instances!K271:Instances!K271)-MIN(Instances!K271:Instances!K271))</f>
        <v>0</v>
      </c>
      <c r="L271" s="1" cm="1">
        <f t="array" ref="L271">_xlfn.SWITCH($A$2,"average", AVERAGE(Instances!L271:Instances!L271),"median", MEDIAN(Instances!L271:Instances!L271),"min", MIN(Instances!L271:Instances!L271),"max", MAX(Instances!L271:Instances!L271),"diff", MAX(Instances!L271:Instances!L271)-MIN(Instances!L271:Instances!L271))</f>
        <v>0</v>
      </c>
      <c r="M271" s="1" cm="1">
        <f t="array" ref="M271">_xlfn.SWITCH($A$2,"average", AVERAGE(Instances!M271:Instances!M271),"median", MEDIAN(Instances!M271:Instances!M271),"min", MIN(Instances!M271:Instances!M271),"max", MAX(Instances!M271:Instances!M271),"diff", MAX(Instances!M271:Instances!M271)-MIN(Instances!M271:Instances!M271))</f>
        <v>0</v>
      </c>
      <c r="N271" s="1" cm="1">
        <f t="array" ref="N271">_xlfn.SWITCH($A$2,"average", AVERAGE(Instances!N271:Instances!N271),"median", MEDIAN(Instances!N271:Instances!N271),"min", MIN(Instances!N271:Instances!N271),"max", MAX(Instances!N271:Instances!N271),"diff", MAX(Instances!N271:Instances!N271)-MIN(Instances!N271:Instances!N271))</f>
        <v>0</v>
      </c>
      <c r="O271" s="1" cm="1">
        <f t="array" ref="O271">_xlfn.SWITCH($A$2,"average", AVERAGE(Instances!O271:Instances!O271),"median", MEDIAN(Instances!O271:Instances!O271),"min", MIN(Instances!O271:Instances!O271),"max", MAX(Instances!O271:Instances!O271),"diff", MAX(Instances!O271:Instances!O271)-MIN(Instances!O271:Instances!O271))</f>
        <v>0</v>
      </c>
      <c r="P271" s="1" cm="1">
        <f t="array" ref="P271">_xlfn.SWITCH($A$2,"average", AVERAGE(Instances!P271:Instances!P271),"median", MEDIAN(Instances!P271:Instances!P271),"min", MIN(Instances!P271:Instances!P271),"max", MAX(Instances!P271:Instances!P271),"diff", MAX(Instances!P271:Instances!P271)-MIN(Instances!P271:Instances!P271))</f>
        <v>0</v>
      </c>
      <c r="Q271" s="1" cm="1">
        <f t="array" ref="Q271">_xlfn.SWITCH($A$2,"average", AVERAGE(Instances!Q271:Instances!Q271),"median", MEDIAN(Instances!Q271:Instances!Q271),"min", MIN(Instances!Q271:Instances!Q271),"max", MAX(Instances!Q271:Instances!Q271),"diff", MAX(Instances!Q271:Instances!Q271)-MIN(Instances!Q271:Instances!Q271))</f>
        <v>0</v>
      </c>
      <c r="R271" s="1">
        <f>MIN($B271,$D271,$F271,$H271,$J271,$L271,$N271,$P271)</f>
        <v>0</v>
      </c>
      <c r="S271" s="1">
        <f>MIN($C271,$E271,$G271,$I271,$K271,$M271,$O271,$Q271)</f>
        <v>0</v>
      </c>
      <c r="T271" s="1">
        <f>MEDIAN($B271,$D271,$F271,$H271,$J271,$L271,$N271,$P271)</f>
        <v>0</v>
      </c>
      <c r="U271" s="1">
        <f>MEDIAN($C271,$E271,$G271,$I271,$K271,$M271,$O271,$Q271)</f>
        <v>0</v>
      </c>
      <c r="V271" s="1">
        <f>MAX($B271,$D271,$F271,$H271,$J271,$L271,$N271,$P271)</f>
        <v>0</v>
      </c>
      <c r="W271" s="1">
        <f>MAX($C271,$E271,$G271,$I271,$K271,$M271,$O271,$Q271)</f>
        <v>0</v>
      </c>
    </row>
    <row r="272" spans="1:23">
      <c r="A272" s="1" t="s">
        <v>269</v>
      </c>
      <c r="B272" s="1"/>
      <c r="C272" s="1"/>
      <c r="D272" s="1" cm="1">
        <f t="array" ref="D272">_xlfn.SWITCH($A$2,"average", AVERAGE(Instances!D272:Instances!D272),"median", MEDIAN(Instances!D272:Instances!D272),"min", MIN(Instances!D272:Instances!D272),"max", MAX(Instances!D272:Instances!D272),"diff", MAX(Instances!D272:Instances!D272)-MIN(Instances!D272:Instances!D272))</f>
        <v>0</v>
      </c>
      <c r="E272" s="1" cm="1">
        <f t="array" ref="E272">_xlfn.SWITCH($A$2,"average", AVERAGE(Instances!E272:Instances!E272),"median", MEDIAN(Instances!E272:Instances!E272),"min", MIN(Instances!E272:Instances!E272),"max", MAX(Instances!E272:Instances!E272),"diff", MAX(Instances!E272:Instances!E272)-MIN(Instances!E272:Instances!E272))</f>
        <v>0</v>
      </c>
      <c r="F272" s="1" cm="1">
        <f t="array" ref="F272">_xlfn.SWITCH($A$2,"average", AVERAGE(Instances!F272:Instances!F272),"median", MEDIAN(Instances!F272:Instances!F272),"min", MIN(Instances!F272:Instances!F272),"max", MAX(Instances!F272:Instances!F272),"diff", MAX(Instances!F272:Instances!F272)-MIN(Instances!F272:Instances!F272))</f>
        <v>0</v>
      </c>
      <c r="G272" s="1" cm="1">
        <f t="array" ref="G272">_xlfn.SWITCH($A$2,"average", AVERAGE(Instances!G272:Instances!G272),"median", MEDIAN(Instances!G272:Instances!G272),"min", MIN(Instances!G272:Instances!G272),"max", MAX(Instances!G272:Instances!G272),"diff", MAX(Instances!G272:Instances!G272)-MIN(Instances!G272:Instances!G272))</f>
        <v>0</v>
      </c>
      <c r="H272" s="1"/>
      <c r="I272" s="1"/>
      <c r="J272" s="1" cm="1">
        <f t="array" ref="J272">_xlfn.SWITCH($A$2,"average", AVERAGE(Instances!J272:Instances!J272),"median", MEDIAN(Instances!J272:Instances!J272),"min", MIN(Instances!J272:Instances!J272),"max", MAX(Instances!J272:Instances!J272),"diff", MAX(Instances!J272:Instances!J272)-MIN(Instances!J272:Instances!J272))</f>
        <v>0</v>
      </c>
      <c r="K272" s="1" cm="1">
        <f t="array" ref="K272">_xlfn.SWITCH($A$2,"average", AVERAGE(Instances!K272:Instances!K272),"median", MEDIAN(Instances!K272:Instances!K272),"min", MIN(Instances!K272:Instances!K272),"max", MAX(Instances!K272:Instances!K272),"diff", MAX(Instances!K272:Instances!K272)-MIN(Instances!K272:Instances!K272))</f>
        <v>0</v>
      </c>
      <c r="L272" s="1" cm="1">
        <f t="array" ref="L272">_xlfn.SWITCH($A$2,"average", AVERAGE(Instances!L272:Instances!L272),"median", MEDIAN(Instances!L272:Instances!L272),"min", MIN(Instances!L272:Instances!L272),"max", MAX(Instances!L272:Instances!L272),"diff", MAX(Instances!L272:Instances!L272)-MIN(Instances!L272:Instances!L272))</f>
        <v>0</v>
      </c>
      <c r="M272" s="1" cm="1">
        <f t="array" ref="M272">_xlfn.SWITCH($A$2,"average", AVERAGE(Instances!M272:Instances!M272),"median", MEDIAN(Instances!M272:Instances!M272),"min", MIN(Instances!M272:Instances!M272),"max", MAX(Instances!M272:Instances!M272),"diff", MAX(Instances!M272:Instances!M272)-MIN(Instances!M272:Instances!M272))</f>
        <v>0</v>
      </c>
      <c r="N272" s="1" cm="1">
        <f t="array" ref="N272">_xlfn.SWITCH($A$2,"average", AVERAGE(Instances!N272:Instances!N272),"median", MEDIAN(Instances!N272:Instances!N272),"min", MIN(Instances!N272:Instances!N272),"max", MAX(Instances!N272:Instances!N272),"diff", MAX(Instances!N272:Instances!N272)-MIN(Instances!N272:Instances!N272))</f>
        <v>0</v>
      </c>
      <c r="O272" s="1" cm="1">
        <f t="array" ref="O272">_xlfn.SWITCH($A$2,"average", AVERAGE(Instances!O272:Instances!O272),"median", MEDIAN(Instances!O272:Instances!O272),"min", MIN(Instances!O272:Instances!O272),"max", MAX(Instances!O272:Instances!O272),"diff", MAX(Instances!O272:Instances!O272)-MIN(Instances!O272:Instances!O272))</f>
        <v>0</v>
      </c>
      <c r="P272" s="1" cm="1">
        <f t="array" ref="P272">_xlfn.SWITCH($A$2,"average", AVERAGE(Instances!P272:Instances!P272),"median", MEDIAN(Instances!P272:Instances!P272),"min", MIN(Instances!P272:Instances!P272),"max", MAX(Instances!P272:Instances!P272),"diff", MAX(Instances!P272:Instances!P272)-MIN(Instances!P272:Instances!P272))</f>
        <v>0</v>
      </c>
      <c r="Q272" s="1" cm="1">
        <f t="array" ref="Q272">_xlfn.SWITCH($A$2,"average", AVERAGE(Instances!Q272:Instances!Q272),"median", MEDIAN(Instances!Q272:Instances!Q272),"min", MIN(Instances!Q272:Instances!Q272),"max", MAX(Instances!Q272:Instances!Q272),"diff", MAX(Instances!Q272:Instances!Q272)-MIN(Instances!Q272:Instances!Q272))</f>
        <v>0</v>
      </c>
      <c r="R272" s="1">
        <f>MIN($B272,$D272,$F272,$H272,$J272,$L272,$N272,$P272)</f>
        <v>0</v>
      </c>
      <c r="S272" s="1">
        <f>MIN($C272,$E272,$G272,$I272,$K272,$M272,$O272,$Q272)</f>
        <v>0</v>
      </c>
      <c r="T272" s="1">
        <f>MEDIAN($B272,$D272,$F272,$H272,$J272,$L272,$N272,$P272)</f>
        <v>0</v>
      </c>
      <c r="U272" s="1">
        <f>MEDIAN($C272,$E272,$G272,$I272,$K272,$M272,$O272,$Q272)</f>
        <v>0</v>
      </c>
      <c r="V272" s="1">
        <f>MAX($B272,$D272,$F272,$H272,$J272,$L272,$N272,$P272)</f>
        <v>0</v>
      </c>
      <c r="W272" s="1">
        <f>MAX($C272,$E272,$G272,$I272,$K272,$M272,$O272,$Q272)</f>
        <v>0</v>
      </c>
    </row>
    <row r="273" spans="1:23">
      <c r="A273" s="1" t="s">
        <v>270</v>
      </c>
      <c r="B273" s="1"/>
      <c r="C273" s="1"/>
      <c r="D273" s="1" cm="1">
        <f t="array" ref="D273">_xlfn.SWITCH($A$2,"average", AVERAGE(Instances!D273:Instances!D273),"median", MEDIAN(Instances!D273:Instances!D273),"min", MIN(Instances!D273:Instances!D273),"max", MAX(Instances!D273:Instances!D273),"diff", MAX(Instances!D273:Instances!D273)-MIN(Instances!D273:Instances!D273))</f>
        <v>0</v>
      </c>
      <c r="E273" s="1" cm="1">
        <f t="array" ref="E273">_xlfn.SWITCH($A$2,"average", AVERAGE(Instances!E273:Instances!E273),"median", MEDIAN(Instances!E273:Instances!E273),"min", MIN(Instances!E273:Instances!E273),"max", MAX(Instances!E273:Instances!E273),"diff", MAX(Instances!E273:Instances!E273)-MIN(Instances!E273:Instances!E273))</f>
        <v>0</v>
      </c>
      <c r="F273" s="1" cm="1">
        <f t="array" ref="F273">_xlfn.SWITCH($A$2,"average", AVERAGE(Instances!F273:Instances!F273),"median", MEDIAN(Instances!F273:Instances!F273),"min", MIN(Instances!F273:Instances!F273),"max", MAX(Instances!F273:Instances!F273),"diff", MAX(Instances!F273:Instances!F273)-MIN(Instances!F273:Instances!F273))</f>
        <v>0</v>
      </c>
      <c r="G273" s="1" cm="1">
        <f t="array" ref="G273">_xlfn.SWITCH($A$2,"average", AVERAGE(Instances!G273:Instances!G273),"median", MEDIAN(Instances!G273:Instances!G273),"min", MIN(Instances!G273:Instances!G273),"max", MAX(Instances!G273:Instances!G273),"diff", MAX(Instances!G273:Instances!G273)-MIN(Instances!G273:Instances!G273))</f>
        <v>0</v>
      </c>
      <c r="H273" s="1"/>
      <c r="I273" s="1"/>
      <c r="J273" s="1" cm="1">
        <f t="array" ref="J273">_xlfn.SWITCH($A$2,"average", AVERAGE(Instances!J273:Instances!J273),"median", MEDIAN(Instances!J273:Instances!J273),"min", MIN(Instances!J273:Instances!J273),"max", MAX(Instances!J273:Instances!J273),"diff", MAX(Instances!J273:Instances!J273)-MIN(Instances!J273:Instances!J273))</f>
        <v>0</v>
      </c>
      <c r="K273" s="1" cm="1">
        <f t="array" ref="K273">_xlfn.SWITCH($A$2,"average", AVERAGE(Instances!K273:Instances!K273),"median", MEDIAN(Instances!K273:Instances!K273),"min", MIN(Instances!K273:Instances!K273),"max", MAX(Instances!K273:Instances!K273),"diff", MAX(Instances!K273:Instances!K273)-MIN(Instances!K273:Instances!K273))</f>
        <v>0</v>
      </c>
      <c r="L273" s="1" cm="1">
        <f t="array" ref="L273">_xlfn.SWITCH($A$2,"average", AVERAGE(Instances!L273:Instances!L273),"median", MEDIAN(Instances!L273:Instances!L273),"min", MIN(Instances!L273:Instances!L273),"max", MAX(Instances!L273:Instances!L273),"diff", MAX(Instances!L273:Instances!L273)-MIN(Instances!L273:Instances!L273))</f>
        <v>0</v>
      </c>
      <c r="M273" s="1" cm="1">
        <f t="array" ref="M273">_xlfn.SWITCH($A$2,"average", AVERAGE(Instances!M273:Instances!M273),"median", MEDIAN(Instances!M273:Instances!M273),"min", MIN(Instances!M273:Instances!M273),"max", MAX(Instances!M273:Instances!M273),"diff", MAX(Instances!M273:Instances!M273)-MIN(Instances!M273:Instances!M273))</f>
        <v>0</v>
      </c>
      <c r="N273" s="1" cm="1">
        <f t="array" ref="N273">_xlfn.SWITCH($A$2,"average", AVERAGE(Instances!N273:Instances!N273),"median", MEDIAN(Instances!N273:Instances!N273),"min", MIN(Instances!N273:Instances!N273),"max", MAX(Instances!N273:Instances!N273),"diff", MAX(Instances!N273:Instances!N273)-MIN(Instances!N273:Instances!N273))</f>
        <v>0</v>
      </c>
      <c r="O273" s="1" cm="1">
        <f t="array" ref="O273">_xlfn.SWITCH($A$2,"average", AVERAGE(Instances!O273:Instances!O273),"median", MEDIAN(Instances!O273:Instances!O273),"min", MIN(Instances!O273:Instances!O273),"max", MAX(Instances!O273:Instances!O273),"diff", MAX(Instances!O273:Instances!O273)-MIN(Instances!O273:Instances!O273))</f>
        <v>0</v>
      </c>
      <c r="P273" s="1" cm="1">
        <f t="array" ref="P273">_xlfn.SWITCH($A$2,"average", AVERAGE(Instances!P273:Instances!P273),"median", MEDIAN(Instances!P273:Instances!P273),"min", MIN(Instances!P273:Instances!P273),"max", MAX(Instances!P273:Instances!P273),"diff", MAX(Instances!P273:Instances!P273)-MIN(Instances!P273:Instances!P273))</f>
        <v>0</v>
      </c>
      <c r="Q273" s="1" cm="1">
        <f t="array" ref="Q273">_xlfn.SWITCH($A$2,"average", AVERAGE(Instances!Q273:Instances!Q273),"median", MEDIAN(Instances!Q273:Instances!Q273),"min", MIN(Instances!Q273:Instances!Q273),"max", MAX(Instances!Q273:Instances!Q273),"diff", MAX(Instances!Q273:Instances!Q273)-MIN(Instances!Q273:Instances!Q273))</f>
        <v>0</v>
      </c>
      <c r="R273" s="1">
        <f>MIN($B273,$D273,$F273,$H273,$J273,$L273,$N273,$P273)</f>
        <v>0</v>
      </c>
      <c r="S273" s="1">
        <f>MIN($C273,$E273,$G273,$I273,$K273,$M273,$O273,$Q273)</f>
        <v>0</v>
      </c>
      <c r="T273" s="1">
        <f>MEDIAN($B273,$D273,$F273,$H273,$J273,$L273,$N273,$P273)</f>
        <v>0</v>
      </c>
      <c r="U273" s="1">
        <f>MEDIAN($C273,$E273,$G273,$I273,$K273,$M273,$O273,$Q273)</f>
        <v>0</v>
      </c>
      <c r="V273" s="1">
        <f>MAX($B273,$D273,$F273,$H273,$J273,$L273,$N273,$P273)</f>
        <v>0</v>
      </c>
      <c r="W273" s="1">
        <f>MAX($C273,$E273,$G273,$I273,$K273,$M273,$O273,$Q273)</f>
        <v>0</v>
      </c>
    </row>
    <row r="274" spans="1:23">
      <c r="A274" s="1" t="s">
        <v>271</v>
      </c>
      <c r="B274" s="1"/>
      <c r="C274" s="1"/>
      <c r="D274" s="1" cm="1">
        <f t="array" ref="D274">_xlfn.SWITCH($A$2,"average", AVERAGE(Instances!D274:Instances!D274),"median", MEDIAN(Instances!D274:Instances!D274),"min", MIN(Instances!D274:Instances!D274),"max", MAX(Instances!D274:Instances!D274),"diff", MAX(Instances!D274:Instances!D274)-MIN(Instances!D274:Instances!D274))</f>
        <v>0</v>
      </c>
      <c r="E274" s="1" cm="1">
        <f t="array" ref="E274">_xlfn.SWITCH($A$2,"average", AVERAGE(Instances!E274:Instances!E274),"median", MEDIAN(Instances!E274:Instances!E274),"min", MIN(Instances!E274:Instances!E274),"max", MAX(Instances!E274:Instances!E274),"diff", MAX(Instances!E274:Instances!E274)-MIN(Instances!E274:Instances!E274))</f>
        <v>0</v>
      </c>
      <c r="F274" s="1" cm="1">
        <f t="array" ref="F274">_xlfn.SWITCH($A$2,"average", AVERAGE(Instances!F274:Instances!F274),"median", MEDIAN(Instances!F274:Instances!F274),"min", MIN(Instances!F274:Instances!F274),"max", MAX(Instances!F274:Instances!F274),"diff", MAX(Instances!F274:Instances!F274)-MIN(Instances!F274:Instances!F274))</f>
        <v>0</v>
      </c>
      <c r="G274" s="1" cm="1">
        <f t="array" ref="G274">_xlfn.SWITCH($A$2,"average", AVERAGE(Instances!G274:Instances!G274),"median", MEDIAN(Instances!G274:Instances!G274),"min", MIN(Instances!G274:Instances!G274),"max", MAX(Instances!G274:Instances!G274),"diff", MAX(Instances!G274:Instances!G274)-MIN(Instances!G274:Instances!G274))</f>
        <v>0</v>
      </c>
      <c r="H274" s="1"/>
      <c r="I274" s="1"/>
      <c r="J274" s="1" cm="1">
        <f t="array" ref="J274">_xlfn.SWITCH($A$2,"average", AVERAGE(Instances!J274:Instances!J274),"median", MEDIAN(Instances!J274:Instances!J274),"min", MIN(Instances!J274:Instances!J274),"max", MAX(Instances!J274:Instances!J274),"diff", MAX(Instances!J274:Instances!J274)-MIN(Instances!J274:Instances!J274))</f>
        <v>0</v>
      </c>
      <c r="K274" s="1" cm="1">
        <f t="array" ref="K274">_xlfn.SWITCH($A$2,"average", AVERAGE(Instances!K274:Instances!K274),"median", MEDIAN(Instances!K274:Instances!K274),"min", MIN(Instances!K274:Instances!K274),"max", MAX(Instances!K274:Instances!K274),"diff", MAX(Instances!K274:Instances!K274)-MIN(Instances!K274:Instances!K274))</f>
        <v>0</v>
      </c>
      <c r="L274" s="1" cm="1">
        <f t="array" ref="L274">_xlfn.SWITCH($A$2,"average", AVERAGE(Instances!L274:Instances!L274),"median", MEDIAN(Instances!L274:Instances!L274),"min", MIN(Instances!L274:Instances!L274),"max", MAX(Instances!L274:Instances!L274),"diff", MAX(Instances!L274:Instances!L274)-MIN(Instances!L274:Instances!L274))</f>
        <v>0</v>
      </c>
      <c r="M274" s="1" cm="1">
        <f t="array" ref="M274">_xlfn.SWITCH($A$2,"average", AVERAGE(Instances!M274:Instances!M274),"median", MEDIAN(Instances!M274:Instances!M274),"min", MIN(Instances!M274:Instances!M274),"max", MAX(Instances!M274:Instances!M274),"diff", MAX(Instances!M274:Instances!M274)-MIN(Instances!M274:Instances!M274))</f>
        <v>0</v>
      </c>
      <c r="N274" s="1" cm="1">
        <f t="array" ref="N274">_xlfn.SWITCH($A$2,"average", AVERAGE(Instances!N274:Instances!N274),"median", MEDIAN(Instances!N274:Instances!N274),"min", MIN(Instances!N274:Instances!N274),"max", MAX(Instances!N274:Instances!N274),"diff", MAX(Instances!N274:Instances!N274)-MIN(Instances!N274:Instances!N274))</f>
        <v>0</v>
      </c>
      <c r="O274" s="1" cm="1">
        <f t="array" ref="O274">_xlfn.SWITCH($A$2,"average", AVERAGE(Instances!O274:Instances!O274),"median", MEDIAN(Instances!O274:Instances!O274),"min", MIN(Instances!O274:Instances!O274),"max", MAX(Instances!O274:Instances!O274),"diff", MAX(Instances!O274:Instances!O274)-MIN(Instances!O274:Instances!O274))</f>
        <v>0</v>
      </c>
      <c r="P274" s="1" cm="1">
        <f t="array" ref="P274">_xlfn.SWITCH($A$2,"average", AVERAGE(Instances!P274:Instances!P274),"median", MEDIAN(Instances!P274:Instances!P274),"min", MIN(Instances!P274:Instances!P274),"max", MAX(Instances!P274:Instances!P274),"diff", MAX(Instances!P274:Instances!P274)-MIN(Instances!P274:Instances!P274))</f>
        <v>0</v>
      </c>
      <c r="Q274" s="1" cm="1">
        <f t="array" ref="Q274">_xlfn.SWITCH($A$2,"average", AVERAGE(Instances!Q274:Instances!Q274),"median", MEDIAN(Instances!Q274:Instances!Q274),"min", MIN(Instances!Q274:Instances!Q274),"max", MAX(Instances!Q274:Instances!Q274),"diff", MAX(Instances!Q274:Instances!Q274)-MIN(Instances!Q274:Instances!Q274))</f>
        <v>0</v>
      </c>
      <c r="R274" s="1">
        <f>MIN($B274,$D274,$F274,$H274,$J274,$L274,$N274,$P274)</f>
        <v>0</v>
      </c>
      <c r="S274" s="1">
        <f>MIN($C274,$E274,$G274,$I274,$K274,$M274,$O274,$Q274)</f>
        <v>0</v>
      </c>
      <c r="T274" s="1">
        <f>MEDIAN($B274,$D274,$F274,$H274,$J274,$L274,$N274,$P274)</f>
        <v>0</v>
      </c>
      <c r="U274" s="1">
        <f>MEDIAN($C274,$E274,$G274,$I274,$K274,$M274,$O274,$Q274)</f>
        <v>0</v>
      </c>
      <c r="V274" s="1">
        <f>MAX($B274,$D274,$F274,$H274,$J274,$L274,$N274,$P274)</f>
        <v>0</v>
      </c>
      <c r="W274" s="1">
        <f>MAX($C274,$E274,$G274,$I274,$K274,$M274,$O274,$Q274)</f>
        <v>0</v>
      </c>
    </row>
    <row r="275" spans="1:23">
      <c r="A275" s="1" t="s">
        <v>272</v>
      </c>
      <c r="B275" s="1"/>
      <c r="C275" s="1"/>
      <c r="D275" s="1" cm="1">
        <f t="array" ref="D275">_xlfn.SWITCH($A$2,"average", AVERAGE(Instances!D275:Instances!D275),"median", MEDIAN(Instances!D275:Instances!D275),"min", MIN(Instances!D275:Instances!D275),"max", MAX(Instances!D275:Instances!D275),"diff", MAX(Instances!D275:Instances!D275)-MIN(Instances!D275:Instances!D275))</f>
        <v>0</v>
      </c>
      <c r="E275" s="1" cm="1">
        <f t="array" ref="E275">_xlfn.SWITCH($A$2,"average", AVERAGE(Instances!E275:Instances!E275),"median", MEDIAN(Instances!E275:Instances!E275),"min", MIN(Instances!E275:Instances!E275),"max", MAX(Instances!E275:Instances!E275),"diff", MAX(Instances!E275:Instances!E275)-MIN(Instances!E275:Instances!E275))</f>
        <v>0</v>
      </c>
      <c r="F275" s="1" cm="1">
        <f t="array" ref="F275">_xlfn.SWITCH($A$2,"average", AVERAGE(Instances!F275:Instances!F275),"median", MEDIAN(Instances!F275:Instances!F275),"min", MIN(Instances!F275:Instances!F275),"max", MAX(Instances!F275:Instances!F275),"diff", MAX(Instances!F275:Instances!F275)-MIN(Instances!F275:Instances!F275))</f>
        <v>0</v>
      </c>
      <c r="G275" s="1" cm="1">
        <f t="array" ref="G275">_xlfn.SWITCH($A$2,"average", AVERAGE(Instances!G275:Instances!G275),"median", MEDIAN(Instances!G275:Instances!G275),"min", MIN(Instances!G275:Instances!G275),"max", MAX(Instances!G275:Instances!G275),"diff", MAX(Instances!G275:Instances!G275)-MIN(Instances!G275:Instances!G275))</f>
        <v>0</v>
      </c>
      <c r="H275" s="1"/>
      <c r="I275" s="1"/>
      <c r="J275" s="1" cm="1">
        <f t="array" ref="J275">_xlfn.SWITCH($A$2,"average", AVERAGE(Instances!J275:Instances!J275),"median", MEDIAN(Instances!J275:Instances!J275),"min", MIN(Instances!J275:Instances!J275),"max", MAX(Instances!J275:Instances!J275),"diff", MAX(Instances!J275:Instances!J275)-MIN(Instances!J275:Instances!J275))</f>
        <v>0</v>
      </c>
      <c r="K275" s="1" cm="1">
        <f t="array" ref="K275">_xlfn.SWITCH($A$2,"average", AVERAGE(Instances!K275:Instances!K275),"median", MEDIAN(Instances!K275:Instances!K275),"min", MIN(Instances!K275:Instances!K275),"max", MAX(Instances!K275:Instances!K275),"diff", MAX(Instances!K275:Instances!K275)-MIN(Instances!K275:Instances!K275))</f>
        <v>0</v>
      </c>
      <c r="L275" s="1" cm="1">
        <f t="array" ref="L275">_xlfn.SWITCH($A$2,"average", AVERAGE(Instances!L275:Instances!L275),"median", MEDIAN(Instances!L275:Instances!L275),"min", MIN(Instances!L275:Instances!L275),"max", MAX(Instances!L275:Instances!L275),"diff", MAX(Instances!L275:Instances!L275)-MIN(Instances!L275:Instances!L275))</f>
        <v>0</v>
      </c>
      <c r="M275" s="1" cm="1">
        <f t="array" ref="M275">_xlfn.SWITCH($A$2,"average", AVERAGE(Instances!M275:Instances!M275),"median", MEDIAN(Instances!M275:Instances!M275),"min", MIN(Instances!M275:Instances!M275),"max", MAX(Instances!M275:Instances!M275),"diff", MAX(Instances!M275:Instances!M275)-MIN(Instances!M275:Instances!M275))</f>
        <v>0</v>
      </c>
      <c r="N275" s="1" cm="1">
        <f t="array" ref="N275">_xlfn.SWITCH($A$2,"average", AVERAGE(Instances!N275:Instances!N275),"median", MEDIAN(Instances!N275:Instances!N275),"min", MIN(Instances!N275:Instances!N275),"max", MAX(Instances!N275:Instances!N275),"diff", MAX(Instances!N275:Instances!N275)-MIN(Instances!N275:Instances!N275))</f>
        <v>0</v>
      </c>
      <c r="O275" s="1" cm="1">
        <f t="array" ref="O275">_xlfn.SWITCH($A$2,"average", AVERAGE(Instances!O275:Instances!O275),"median", MEDIAN(Instances!O275:Instances!O275),"min", MIN(Instances!O275:Instances!O275),"max", MAX(Instances!O275:Instances!O275),"diff", MAX(Instances!O275:Instances!O275)-MIN(Instances!O275:Instances!O275))</f>
        <v>0</v>
      </c>
      <c r="P275" s="1" cm="1">
        <f t="array" ref="P275">_xlfn.SWITCH($A$2,"average", AVERAGE(Instances!P275:Instances!P275),"median", MEDIAN(Instances!P275:Instances!P275),"min", MIN(Instances!P275:Instances!P275),"max", MAX(Instances!P275:Instances!P275),"diff", MAX(Instances!P275:Instances!P275)-MIN(Instances!P275:Instances!P275))</f>
        <v>0</v>
      </c>
      <c r="Q275" s="1" cm="1">
        <f t="array" ref="Q275">_xlfn.SWITCH($A$2,"average", AVERAGE(Instances!Q275:Instances!Q275),"median", MEDIAN(Instances!Q275:Instances!Q275),"min", MIN(Instances!Q275:Instances!Q275),"max", MAX(Instances!Q275:Instances!Q275),"diff", MAX(Instances!Q275:Instances!Q275)-MIN(Instances!Q275:Instances!Q275))</f>
        <v>0</v>
      </c>
      <c r="R275" s="1">
        <f>MIN($B275,$D275,$F275,$H275,$J275,$L275,$N275,$P275)</f>
        <v>0</v>
      </c>
      <c r="S275" s="1">
        <f>MIN($C275,$E275,$G275,$I275,$K275,$M275,$O275,$Q275)</f>
        <v>0</v>
      </c>
      <c r="T275" s="1">
        <f>MEDIAN($B275,$D275,$F275,$H275,$J275,$L275,$N275,$P275)</f>
        <v>0</v>
      </c>
      <c r="U275" s="1">
        <f>MEDIAN($C275,$E275,$G275,$I275,$K275,$M275,$O275,$Q275)</f>
        <v>0</v>
      </c>
      <c r="V275" s="1">
        <f>MAX($B275,$D275,$F275,$H275,$J275,$L275,$N275,$P275)</f>
        <v>0</v>
      </c>
      <c r="W275" s="1">
        <f>MAX($C275,$E275,$G275,$I275,$K275,$M275,$O275,$Q275)</f>
        <v>0</v>
      </c>
    </row>
    <row r="276" spans="1:23">
      <c r="A276" s="1" t="s">
        <v>273</v>
      </c>
      <c r="B276" s="1"/>
      <c r="C276" s="1"/>
      <c r="D276" s="1" cm="1">
        <f t="array" ref="D276">_xlfn.SWITCH($A$2,"average", AVERAGE(Instances!D276:Instances!D276),"median", MEDIAN(Instances!D276:Instances!D276),"min", MIN(Instances!D276:Instances!D276),"max", MAX(Instances!D276:Instances!D276),"diff", MAX(Instances!D276:Instances!D276)-MIN(Instances!D276:Instances!D276))</f>
        <v>0</v>
      </c>
      <c r="E276" s="1" cm="1">
        <f t="array" ref="E276">_xlfn.SWITCH($A$2,"average", AVERAGE(Instances!E276:Instances!E276),"median", MEDIAN(Instances!E276:Instances!E276),"min", MIN(Instances!E276:Instances!E276),"max", MAX(Instances!E276:Instances!E276),"diff", MAX(Instances!E276:Instances!E276)-MIN(Instances!E276:Instances!E276))</f>
        <v>0</v>
      </c>
      <c r="F276" s="1" cm="1">
        <f t="array" ref="F276">_xlfn.SWITCH($A$2,"average", AVERAGE(Instances!F276:Instances!F276),"median", MEDIAN(Instances!F276:Instances!F276),"min", MIN(Instances!F276:Instances!F276),"max", MAX(Instances!F276:Instances!F276),"diff", MAX(Instances!F276:Instances!F276)-MIN(Instances!F276:Instances!F276))</f>
        <v>0</v>
      </c>
      <c r="G276" s="1" cm="1">
        <f t="array" ref="G276">_xlfn.SWITCH($A$2,"average", AVERAGE(Instances!G276:Instances!G276),"median", MEDIAN(Instances!G276:Instances!G276),"min", MIN(Instances!G276:Instances!G276),"max", MAX(Instances!G276:Instances!G276),"diff", MAX(Instances!G276:Instances!G276)-MIN(Instances!G276:Instances!G276))</f>
        <v>0</v>
      </c>
      <c r="H276" s="1"/>
      <c r="I276" s="1"/>
      <c r="J276" s="1" cm="1">
        <f t="array" ref="J276">_xlfn.SWITCH($A$2,"average", AVERAGE(Instances!J276:Instances!J276),"median", MEDIAN(Instances!J276:Instances!J276),"min", MIN(Instances!J276:Instances!J276),"max", MAX(Instances!J276:Instances!J276),"diff", MAX(Instances!J276:Instances!J276)-MIN(Instances!J276:Instances!J276))</f>
        <v>0</v>
      </c>
      <c r="K276" s="1" cm="1">
        <f t="array" ref="K276">_xlfn.SWITCH($A$2,"average", AVERAGE(Instances!K276:Instances!K276),"median", MEDIAN(Instances!K276:Instances!K276),"min", MIN(Instances!K276:Instances!K276),"max", MAX(Instances!K276:Instances!K276),"diff", MAX(Instances!K276:Instances!K276)-MIN(Instances!K276:Instances!K276))</f>
        <v>0</v>
      </c>
      <c r="L276" s="1" cm="1">
        <f t="array" ref="L276">_xlfn.SWITCH($A$2,"average", AVERAGE(Instances!L276:Instances!L276),"median", MEDIAN(Instances!L276:Instances!L276),"min", MIN(Instances!L276:Instances!L276),"max", MAX(Instances!L276:Instances!L276),"diff", MAX(Instances!L276:Instances!L276)-MIN(Instances!L276:Instances!L276))</f>
        <v>0</v>
      </c>
      <c r="M276" s="1" cm="1">
        <f t="array" ref="M276">_xlfn.SWITCH($A$2,"average", AVERAGE(Instances!M276:Instances!M276),"median", MEDIAN(Instances!M276:Instances!M276),"min", MIN(Instances!M276:Instances!M276),"max", MAX(Instances!M276:Instances!M276),"diff", MAX(Instances!M276:Instances!M276)-MIN(Instances!M276:Instances!M276))</f>
        <v>0</v>
      </c>
      <c r="N276" s="1" cm="1">
        <f t="array" ref="N276">_xlfn.SWITCH($A$2,"average", AVERAGE(Instances!N276:Instances!N276),"median", MEDIAN(Instances!N276:Instances!N276),"min", MIN(Instances!N276:Instances!N276),"max", MAX(Instances!N276:Instances!N276),"diff", MAX(Instances!N276:Instances!N276)-MIN(Instances!N276:Instances!N276))</f>
        <v>0</v>
      </c>
      <c r="O276" s="1" cm="1">
        <f t="array" ref="O276">_xlfn.SWITCH($A$2,"average", AVERAGE(Instances!O276:Instances!O276),"median", MEDIAN(Instances!O276:Instances!O276),"min", MIN(Instances!O276:Instances!O276),"max", MAX(Instances!O276:Instances!O276),"diff", MAX(Instances!O276:Instances!O276)-MIN(Instances!O276:Instances!O276))</f>
        <v>0</v>
      </c>
      <c r="P276" s="1" cm="1">
        <f t="array" ref="P276">_xlfn.SWITCH($A$2,"average", AVERAGE(Instances!P276:Instances!P276),"median", MEDIAN(Instances!P276:Instances!P276),"min", MIN(Instances!P276:Instances!P276),"max", MAX(Instances!P276:Instances!P276),"diff", MAX(Instances!P276:Instances!P276)-MIN(Instances!P276:Instances!P276))</f>
        <v>0</v>
      </c>
      <c r="Q276" s="1" cm="1">
        <f t="array" ref="Q276">_xlfn.SWITCH($A$2,"average", AVERAGE(Instances!Q276:Instances!Q276),"median", MEDIAN(Instances!Q276:Instances!Q276),"min", MIN(Instances!Q276:Instances!Q276),"max", MAX(Instances!Q276:Instances!Q276),"diff", MAX(Instances!Q276:Instances!Q276)-MIN(Instances!Q276:Instances!Q276))</f>
        <v>0</v>
      </c>
      <c r="R276" s="1">
        <f>MIN($B276,$D276,$F276,$H276,$J276,$L276,$N276,$P276)</f>
        <v>0</v>
      </c>
      <c r="S276" s="1">
        <f>MIN($C276,$E276,$G276,$I276,$K276,$M276,$O276,$Q276)</f>
        <v>0</v>
      </c>
      <c r="T276" s="1">
        <f>MEDIAN($B276,$D276,$F276,$H276,$J276,$L276,$N276,$P276)</f>
        <v>0</v>
      </c>
      <c r="U276" s="1">
        <f>MEDIAN($C276,$E276,$G276,$I276,$K276,$M276,$O276,$Q276)</f>
        <v>0</v>
      </c>
      <c r="V276" s="1">
        <f>MAX($B276,$D276,$F276,$H276,$J276,$L276,$N276,$P276)</f>
        <v>0</v>
      </c>
      <c r="W276" s="1">
        <f>MAX($C276,$E276,$G276,$I276,$K276,$M276,$O276,$Q276)</f>
        <v>0</v>
      </c>
    </row>
    <row r="277" spans="1:23">
      <c r="A277" s="1" t="s">
        <v>274</v>
      </c>
      <c r="B277" s="1"/>
      <c r="C277" s="1"/>
      <c r="D277" s="1" cm="1">
        <f t="array" ref="D277">_xlfn.SWITCH($A$2,"average", AVERAGE(Instances!D277:Instances!D277),"median", MEDIAN(Instances!D277:Instances!D277),"min", MIN(Instances!D277:Instances!D277),"max", MAX(Instances!D277:Instances!D277),"diff", MAX(Instances!D277:Instances!D277)-MIN(Instances!D277:Instances!D277))</f>
        <v>0</v>
      </c>
      <c r="E277" s="1" cm="1">
        <f t="array" ref="E277">_xlfn.SWITCH($A$2,"average", AVERAGE(Instances!E277:Instances!E277),"median", MEDIAN(Instances!E277:Instances!E277),"min", MIN(Instances!E277:Instances!E277),"max", MAX(Instances!E277:Instances!E277),"diff", MAX(Instances!E277:Instances!E277)-MIN(Instances!E277:Instances!E277))</f>
        <v>0</v>
      </c>
      <c r="F277" s="1" cm="1">
        <f t="array" ref="F277">_xlfn.SWITCH($A$2,"average", AVERAGE(Instances!F277:Instances!F277),"median", MEDIAN(Instances!F277:Instances!F277),"min", MIN(Instances!F277:Instances!F277),"max", MAX(Instances!F277:Instances!F277),"diff", MAX(Instances!F277:Instances!F277)-MIN(Instances!F277:Instances!F277))</f>
        <v>0</v>
      </c>
      <c r="G277" s="1" cm="1">
        <f t="array" ref="G277">_xlfn.SWITCH($A$2,"average", AVERAGE(Instances!G277:Instances!G277),"median", MEDIAN(Instances!G277:Instances!G277),"min", MIN(Instances!G277:Instances!G277),"max", MAX(Instances!G277:Instances!G277),"diff", MAX(Instances!G277:Instances!G277)-MIN(Instances!G277:Instances!G277))</f>
        <v>0</v>
      </c>
      <c r="H277" s="1"/>
      <c r="I277" s="1"/>
      <c r="J277" s="1" cm="1">
        <f t="array" ref="J277">_xlfn.SWITCH($A$2,"average", AVERAGE(Instances!J277:Instances!J277),"median", MEDIAN(Instances!J277:Instances!J277),"min", MIN(Instances!J277:Instances!J277),"max", MAX(Instances!J277:Instances!J277),"diff", MAX(Instances!J277:Instances!J277)-MIN(Instances!J277:Instances!J277))</f>
        <v>0</v>
      </c>
      <c r="K277" s="1" cm="1">
        <f t="array" ref="K277">_xlfn.SWITCH($A$2,"average", AVERAGE(Instances!K277:Instances!K277),"median", MEDIAN(Instances!K277:Instances!K277),"min", MIN(Instances!K277:Instances!K277),"max", MAX(Instances!K277:Instances!K277),"diff", MAX(Instances!K277:Instances!K277)-MIN(Instances!K277:Instances!K277))</f>
        <v>0</v>
      </c>
      <c r="L277" s="1" cm="1">
        <f t="array" ref="L277">_xlfn.SWITCH($A$2,"average", AVERAGE(Instances!L277:Instances!L277),"median", MEDIAN(Instances!L277:Instances!L277),"min", MIN(Instances!L277:Instances!L277),"max", MAX(Instances!L277:Instances!L277),"diff", MAX(Instances!L277:Instances!L277)-MIN(Instances!L277:Instances!L277))</f>
        <v>0</v>
      </c>
      <c r="M277" s="1" cm="1">
        <f t="array" ref="M277">_xlfn.SWITCH($A$2,"average", AVERAGE(Instances!M277:Instances!M277),"median", MEDIAN(Instances!M277:Instances!M277),"min", MIN(Instances!M277:Instances!M277),"max", MAX(Instances!M277:Instances!M277),"diff", MAX(Instances!M277:Instances!M277)-MIN(Instances!M277:Instances!M277))</f>
        <v>0</v>
      </c>
      <c r="N277" s="1" cm="1">
        <f t="array" ref="N277">_xlfn.SWITCH($A$2,"average", AVERAGE(Instances!N277:Instances!N277),"median", MEDIAN(Instances!N277:Instances!N277),"min", MIN(Instances!N277:Instances!N277),"max", MAX(Instances!N277:Instances!N277),"diff", MAX(Instances!N277:Instances!N277)-MIN(Instances!N277:Instances!N277))</f>
        <v>0</v>
      </c>
      <c r="O277" s="1" cm="1">
        <f t="array" ref="O277">_xlfn.SWITCH($A$2,"average", AVERAGE(Instances!O277:Instances!O277),"median", MEDIAN(Instances!O277:Instances!O277),"min", MIN(Instances!O277:Instances!O277),"max", MAX(Instances!O277:Instances!O277),"diff", MAX(Instances!O277:Instances!O277)-MIN(Instances!O277:Instances!O277))</f>
        <v>0</v>
      </c>
      <c r="P277" s="1" cm="1">
        <f t="array" ref="P277">_xlfn.SWITCH($A$2,"average", AVERAGE(Instances!P277:Instances!P277),"median", MEDIAN(Instances!P277:Instances!P277),"min", MIN(Instances!P277:Instances!P277),"max", MAX(Instances!P277:Instances!P277),"diff", MAX(Instances!P277:Instances!P277)-MIN(Instances!P277:Instances!P277))</f>
        <v>0</v>
      </c>
      <c r="Q277" s="1" cm="1">
        <f t="array" ref="Q277">_xlfn.SWITCH($A$2,"average", AVERAGE(Instances!Q277:Instances!Q277),"median", MEDIAN(Instances!Q277:Instances!Q277),"min", MIN(Instances!Q277:Instances!Q277),"max", MAX(Instances!Q277:Instances!Q277),"diff", MAX(Instances!Q277:Instances!Q277)-MIN(Instances!Q277:Instances!Q277))</f>
        <v>0</v>
      </c>
      <c r="R277" s="1">
        <f>MIN($B277,$D277,$F277,$H277,$J277,$L277,$N277,$P277)</f>
        <v>0</v>
      </c>
      <c r="S277" s="1">
        <f>MIN($C277,$E277,$G277,$I277,$K277,$M277,$O277,$Q277)</f>
        <v>0</v>
      </c>
      <c r="T277" s="1">
        <f>MEDIAN($B277,$D277,$F277,$H277,$J277,$L277,$N277,$P277)</f>
        <v>0</v>
      </c>
      <c r="U277" s="1">
        <f>MEDIAN($C277,$E277,$G277,$I277,$K277,$M277,$O277,$Q277)</f>
        <v>0</v>
      </c>
      <c r="V277" s="1">
        <f>MAX($B277,$D277,$F277,$H277,$J277,$L277,$N277,$P277)</f>
        <v>0</v>
      </c>
      <c r="W277" s="1">
        <f>MAX($C277,$E277,$G277,$I277,$K277,$M277,$O277,$Q277)</f>
        <v>0</v>
      </c>
    </row>
    <row r="278" spans="1:23">
      <c r="A278" s="1" t="s">
        <v>275</v>
      </c>
      <c r="B278" s="1"/>
      <c r="C278" s="1"/>
      <c r="D278" s="1" cm="1">
        <f t="array" ref="D278">_xlfn.SWITCH($A$2,"average", AVERAGE(Instances!D278:Instances!D278),"median", MEDIAN(Instances!D278:Instances!D278),"min", MIN(Instances!D278:Instances!D278),"max", MAX(Instances!D278:Instances!D278),"diff", MAX(Instances!D278:Instances!D278)-MIN(Instances!D278:Instances!D278))</f>
        <v>0</v>
      </c>
      <c r="E278" s="1" cm="1">
        <f t="array" ref="E278">_xlfn.SWITCH($A$2,"average", AVERAGE(Instances!E278:Instances!E278),"median", MEDIAN(Instances!E278:Instances!E278),"min", MIN(Instances!E278:Instances!E278),"max", MAX(Instances!E278:Instances!E278),"diff", MAX(Instances!E278:Instances!E278)-MIN(Instances!E278:Instances!E278))</f>
        <v>0</v>
      </c>
      <c r="F278" s="1" cm="1">
        <f t="array" ref="F278">_xlfn.SWITCH($A$2,"average", AVERAGE(Instances!F278:Instances!F278),"median", MEDIAN(Instances!F278:Instances!F278),"min", MIN(Instances!F278:Instances!F278),"max", MAX(Instances!F278:Instances!F278),"diff", MAX(Instances!F278:Instances!F278)-MIN(Instances!F278:Instances!F278))</f>
        <v>0</v>
      </c>
      <c r="G278" s="1" cm="1">
        <f t="array" ref="G278">_xlfn.SWITCH($A$2,"average", AVERAGE(Instances!G278:Instances!G278),"median", MEDIAN(Instances!G278:Instances!G278),"min", MIN(Instances!G278:Instances!G278),"max", MAX(Instances!G278:Instances!G278),"diff", MAX(Instances!G278:Instances!G278)-MIN(Instances!G278:Instances!G278))</f>
        <v>0</v>
      </c>
      <c r="H278" s="1"/>
      <c r="I278" s="1"/>
      <c r="J278" s="1" cm="1">
        <f t="array" ref="J278">_xlfn.SWITCH($A$2,"average", AVERAGE(Instances!J278:Instances!J278),"median", MEDIAN(Instances!J278:Instances!J278),"min", MIN(Instances!J278:Instances!J278),"max", MAX(Instances!J278:Instances!J278),"diff", MAX(Instances!J278:Instances!J278)-MIN(Instances!J278:Instances!J278))</f>
        <v>0</v>
      </c>
      <c r="K278" s="1" cm="1">
        <f t="array" ref="K278">_xlfn.SWITCH($A$2,"average", AVERAGE(Instances!K278:Instances!K278),"median", MEDIAN(Instances!K278:Instances!K278),"min", MIN(Instances!K278:Instances!K278),"max", MAX(Instances!K278:Instances!K278),"diff", MAX(Instances!K278:Instances!K278)-MIN(Instances!K278:Instances!K278))</f>
        <v>0</v>
      </c>
      <c r="L278" s="1" cm="1">
        <f t="array" ref="L278">_xlfn.SWITCH($A$2,"average", AVERAGE(Instances!L278:Instances!L278),"median", MEDIAN(Instances!L278:Instances!L278),"min", MIN(Instances!L278:Instances!L278),"max", MAX(Instances!L278:Instances!L278),"diff", MAX(Instances!L278:Instances!L278)-MIN(Instances!L278:Instances!L278))</f>
        <v>0</v>
      </c>
      <c r="M278" s="1" cm="1">
        <f t="array" ref="M278">_xlfn.SWITCH($A$2,"average", AVERAGE(Instances!M278:Instances!M278),"median", MEDIAN(Instances!M278:Instances!M278),"min", MIN(Instances!M278:Instances!M278),"max", MAX(Instances!M278:Instances!M278),"diff", MAX(Instances!M278:Instances!M278)-MIN(Instances!M278:Instances!M278))</f>
        <v>0</v>
      </c>
      <c r="N278" s="1" cm="1">
        <f t="array" ref="N278">_xlfn.SWITCH($A$2,"average", AVERAGE(Instances!N278:Instances!N278),"median", MEDIAN(Instances!N278:Instances!N278),"min", MIN(Instances!N278:Instances!N278),"max", MAX(Instances!N278:Instances!N278),"diff", MAX(Instances!N278:Instances!N278)-MIN(Instances!N278:Instances!N278))</f>
        <v>0</v>
      </c>
      <c r="O278" s="1" cm="1">
        <f t="array" ref="O278">_xlfn.SWITCH($A$2,"average", AVERAGE(Instances!O278:Instances!O278),"median", MEDIAN(Instances!O278:Instances!O278),"min", MIN(Instances!O278:Instances!O278),"max", MAX(Instances!O278:Instances!O278),"diff", MAX(Instances!O278:Instances!O278)-MIN(Instances!O278:Instances!O278))</f>
        <v>0</v>
      </c>
      <c r="P278" s="1" cm="1">
        <f t="array" ref="P278">_xlfn.SWITCH($A$2,"average", AVERAGE(Instances!P278:Instances!P278),"median", MEDIAN(Instances!P278:Instances!P278),"min", MIN(Instances!P278:Instances!P278),"max", MAX(Instances!P278:Instances!P278),"diff", MAX(Instances!P278:Instances!P278)-MIN(Instances!P278:Instances!P278))</f>
        <v>0</v>
      </c>
      <c r="Q278" s="1" cm="1">
        <f t="array" ref="Q278">_xlfn.SWITCH($A$2,"average", AVERAGE(Instances!Q278:Instances!Q278),"median", MEDIAN(Instances!Q278:Instances!Q278),"min", MIN(Instances!Q278:Instances!Q278),"max", MAX(Instances!Q278:Instances!Q278),"diff", MAX(Instances!Q278:Instances!Q278)-MIN(Instances!Q278:Instances!Q278))</f>
        <v>0</v>
      </c>
      <c r="R278" s="1">
        <f>MIN($B278,$D278,$F278,$H278,$J278,$L278,$N278,$P278)</f>
        <v>0</v>
      </c>
      <c r="S278" s="1">
        <f>MIN($C278,$E278,$G278,$I278,$K278,$M278,$O278,$Q278)</f>
        <v>0</v>
      </c>
      <c r="T278" s="1">
        <f>MEDIAN($B278,$D278,$F278,$H278,$J278,$L278,$N278,$P278)</f>
        <v>0</v>
      </c>
      <c r="U278" s="1">
        <f>MEDIAN($C278,$E278,$G278,$I278,$K278,$M278,$O278,$Q278)</f>
        <v>0</v>
      </c>
      <c r="V278" s="1">
        <f>MAX($B278,$D278,$F278,$H278,$J278,$L278,$N278,$P278)</f>
        <v>0</v>
      </c>
      <c r="W278" s="1">
        <f>MAX($C278,$E278,$G278,$I278,$K278,$M278,$O278,$Q278)</f>
        <v>0</v>
      </c>
    </row>
    <row r="279" spans="1:23">
      <c r="A279" s="1" t="s">
        <v>276</v>
      </c>
      <c r="B279" s="1"/>
      <c r="C279" s="1"/>
      <c r="D279" s="1" cm="1">
        <f t="array" ref="D279">_xlfn.SWITCH($A$2,"average", AVERAGE(Instances!D279:Instances!D279),"median", MEDIAN(Instances!D279:Instances!D279),"min", MIN(Instances!D279:Instances!D279),"max", MAX(Instances!D279:Instances!D279),"diff", MAX(Instances!D279:Instances!D279)-MIN(Instances!D279:Instances!D279))</f>
        <v>0</v>
      </c>
      <c r="E279" s="1" cm="1">
        <f t="array" ref="E279">_xlfn.SWITCH($A$2,"average", AVERAGE(Instances!E279:Instances!E279),"median", MEDIAN(Instances!E279:Instances!E279),"min", MIN(Instances!E279:Instances!E279),"max", MAX(Instances!E279:Instances!E279),"diff", MAX(Instances!E279:Instances!E279)-MIN(Instances!E279:Instances!E279))</f>
        <v>0</v>
      </c>
      <c r="F279" s="1" cm="1">
        <f t="array" ref="F279">_xlfn.SWITCH($A$2,"average", AVERAGE(Instances!F279:Instances!F279),"median", MEDIAN(Instances!F279:Instances!F279),"min", MIN(Instances!F279:Instances!F279),"max", MAX(Instances!F279:Instances!F279),"diff", MAX(Instances!F279:Instances!F279)-MIN(Instances!F279:Instances!F279))</f>
        <v>0</v>
      </c>
      <c r="G279" s="1" cm="1">
        <f t="array" ref="G279">_xlfn.SWITCH($A$2,"average", AVERAGE(Instances!G279:Instances!G279),"median", MEDIAN(Instances!G279:Instances!G279),"min", MIN(Instances!G279:Instances!G279),"max", MAX(Instances!G279:Instances!G279),"diff", MAX(Instances!G279:Instances!G279)-MIN(Instances!G279:Instances!G279))</f>
        <v>0</v>
      </c>
      <c r="H279" s="1"/>
      <c r="I279" s="1"/>
      <c r="J279" s="1" cm="1">
        <f t="array" ref="J279">_xlfn.SWITCH($A$2,"average", AVERAGE(Instances!J279:Instances!J279),"median", MEDIAN(Instances!J279:Instances!J279),"min", MIN(Instances!J279:Instances!J279),"max", MAX(Instances!J279:Instances!J279),"diff", MAX(Instances!J279:Instances!J279)-MIN(Instances!J279:Instances!J279))</f>
        <v>0</v>
      </c>
      <c r="K279" s="1" cm="1">
        <f t="array" ref="K279">_xlfn.SWITCH($A$2,"average", AVERAGE(Instances!K279:Instances!K279),"median", MEDIAN(Instances!K279:Instances!K279),"min", MIN(Instances!K279:Instances!K279),"max", MAX(Instances!K279:Instances!K279),"diff", MAX(Instances!K279:Instances!K279)-MIN(Instances!K279:Instances!K279))</f>
        <v>0</v>
      </c>
      <c r="L279" s="1" cm="1">
        <f t="array" ref="L279">_xlfn.SWITCH($A$2,"average", AVERAGE(Instances!L279:Instances!L279),"median", MEDIAN(Instances!L279:Instances!L279),"min", MIN(Instances!L279:Instances!L279),"max", MAX(Instances!L279:Instances!L279),"diff", MAX(Instances!L279:Instances!L279)-MIN(Instances!L279:Instances!L279))</f>
        <v>0</v>
      </c>
      <c r="M279" s="1" cm="1">
        <f t="array" ref="M279">_xlfn.SWITCH($A$2,"average", AVERAGE(Instances!M279:Instances!M279),"median", MEDIAN(Instances!M279:Instances!M279),"min", MIN(Instances!M279:Instances!M279),"max", MAX(Instances!M279:Instances!M279),"diff", MAX(Instances!M279:Instances!M279)-MIN(Instances!M279:Instances!M279))</f>
        <v>0</v>
      </c>
      <c r="N279" s="1" cm="1">
        <f t="array" ref="N279">_xlfn.SWITCH($A$2,"average", AVERAGE(Instances!N279:Instances!N279),"median", MEDIAN(Instances!N279:Instances!N279),"min", MIN(Instances!N279:Instances!N279),"max", MAX(Instances!N279:Instances!N279),"diff", MAX(Instances!N279:Instances!N279)-MIN(Instances!N279:Instances!N279))</f>
        <v>0</v>
      </c>
      <c r="O279" s="1" cm="1">
        <f t="array" ref="O279">_xlfn.SWITCH($A$2,"average", AVERAGE(Instances!O279:Instances!O279),"median", MEDIAN(Instances!O279:Instances!O279),"min", MIN(Instances!O279:Instances!O279),"max", MAX(Instances!O279:Instances!O279),"diff", MAX(Instances!O279:Instances!O279)-MIN(Instances!O279:Instances!O279))</f>
        <v>0</v>
      </c>
      <c r="P279" s="1" cm="1">
        <f t="array" ref="P279">_xlfn.SWITCH($A$2,"average", AVERAGE(Instances!P279:Instances!P279),"median", MEDIAN(Instances!P279:Instances!P279),"min", MIN(Instances!P279:Instances!P279),"max", MAX(Instances!P279:Instances!P279),"diff", MAX(Instances!P279:Instances!P279)-MIN(Instances!P279:Instances!P279))</f>
        <v>0</v>
      </c>
      <c r="Q279" s="1" cm="1">
        <f t="array" ref="Q279">_xlfn.SWITCH($A$2,"average", AVERAGE(Instances!Q279:Instances!Q279),"median", MEDIAN(Instances!Q279:Instances!Q279),"min", MIN(Instances!Q279:Instances!Q279),"max", MAX(Instances!Q279:Instances!Q279),"diff", MAX(Instances!Q279:Instances!Q279)-MIN(Instances!Q279:Instances!Q279))</f>
        <v>0</v>
      </c>
      <c r="R279" s="1">
        <f>MIN($B279,$D279,$F279,$H279,$J279,$L279,$N279,$P279)</f>
        <v>0</v>
      </c>
      <c r="S279" s="1">
        <f>MIN($C279,$E279,$G279,$I279,$K279,$M279,$O279,$Q279)</f>
        <v>0</v>
      </c>
      <c r="T279" s="1">
        <f>MEDIAN($B279,$D279,$F279,$H279,$J279,$L279,$N279,$P279)</f>
        <v>0</v>
      </c>
      <c r="U279" s="1">
        <f>MEDIAN($C279,$E279,$G279,$I279,$K279,$M279,$O279,$Q279)</f>
        <v>0</v>
      </c>
      <c r="V279" s="1">
        <f>MAX($B279,$D279,$F279,$H279,$J279,$L279,$N279,$P279)</f>
        <v>0</v>
      </c>
      <c r="W279" s="1">
        <f>MAX($C279,$E279,$G279,$I279,$K279,$M279,$O279,$Q279)</f>
        <v>0</v>
      </c>
    </row>
    <row r="280" spans="1:23">
      <c r="A280" s="1" t="s">
        <v>277</v>
      </c>
      <c r="B280" s="1"/>
      <c r="C280" s="1"/>
      <c r="D280" s="1" cm="1">
        <f t="array" ref="D280">_xlfn.SWITCH($A$2,"average", AVERAGE(Instances!D280:Instances!D280),"median", MEDIAN(Instances!D280:Instances!D280),"min", MIN(Instances!D280:Instances!D280),"max", MAX(Instances!D280:Instances!D280),"diff", MAX(Instances!D280:Instances!D280)-MIN(Instances!D280:Instances!D280))</f>
        <v>0</v>
      </c>
      <c r="E280" s="1" cm="1">
        <f t="array" ref="E280">_xlfn.SWITCH($A$2,"average", AVERAGE(Instances!E280:Instances!E280),"median", MEDIAN(Instances!E280:Instances!E280),"min", MIN(Instances!E280:Instances!E280),"max", MAX(Instances!E280:Instances!E280),"diff", MAX(Instances!E280:Instances!E280)-MIN(Instances!E280:Instances!E280))</f>
        <v>0</v>
      </c>
      <c r="F280" s="1" cm="1">
        <f t="array" ref="F280">_xlfn.SWITCH($A$2,"average", AVERAGE(Instances!F280:Instances!F280),"median", MEDIAN(Instances!F280:Instances!F280),"min", MIN(Instances!F280:Instances!F280),"max", MAX(Instances!F280:Instances!F280),"diff", MAX(Instances!F280:Instances!F280)-MIN(Instances!F280:Instances!F280))</f>
        <v>0</v>
      </c>
      <c r="G280" s="1" cm="1">
        <f t="array" ref="G280">_xlfn.SWITCH($A$2,"average", AVERAGE(Instances!G280:Instances!G280),"median", MEDIAN(Instances!G280:Instances!G280),"min", MIN(Instances!G280:Instances!G280),"max", MAX(Instances!G280:Instances!G280),"diff", MAX(Instances!G280:Instances!G280)-MIN(Instances!G280:Instances!G280))</f>
        <v>0</v>
      </c>
      <c r="H280" s="1"/>
      <c r="I280" s="1"/>
      <c r="J280" s="1" cm="1">
        <f t="array" ref="J280">_xlfn.SWITCH($A$2,"average", AVERAGE(Instances!J280:Instances!J280),"median", MEDIAN(Instances!J280:Instances!J280),"min", MIN(Instances!J280:Instances!J280),"max", MAX(Instances!J280:Instances!J280),"diff", MAX(Instances!J280:Instances!J280)-MIN(Instances!J280:Instances!J280))</f>
        <v>0</v>
      </c>
      <c r="K280" s="1" cm="1">
        <f t="array" ref="K280">_xlfn.SWITCH($A$2,"average", AVERAGE(Instances!K280:Instances!K280),"median", MEDIAN(Instances!K280:Instances!K280),"min", MIN(Instances!K280:Instances!K280),"max", MAX(Instances!K280:Instances!K280),"diff", MAX(Instances!K280:Instances!K280)-MIN(Instances!K280:Instances!K280))</f>
        <v>0</v>
      </c>
      <c r="L280" s="1" cm="1">
        <f t="array" ref="L280">_xlfn.SWITCH($A$2,"average", AVERAGE(Instances!L280:Instances!L280),"median", MEDIAN(Instances!L280:Instances!L280),"min", MIN(Instances!L280:Instances!L280),"max", MAX(Instances!L280:Instances!L280),"diff", MAX(Instances!L280:Instances!L280)-MIN(Instances!L280:Instances!L280))</f>
        <v>0</v>
      </c>
      <c r="M280" s="1" cm="1">
        <f t="array" ref="M280">_xlfn.SWITCH($A$2,"average", AVERAGE(Instances!M280:Instances!M280),"median", MEDIAN(Instances!M280:Instances!M280),"min", MIN(Instances!M280:Instances!M280),"max", MAX(Instances!M280:Instances!M280),"diff", MAX(Instances!M280:Instances!M280)-MIN(Instances!M280:Instances!M280))</f>
        <v>0</v>
      </c>
      <c r="N280" s="1" cm="1">
        <f t="array" ref="N280">_xlfn.SWITCH($A$2,"average", AVERAGE(Instances!N280:Instances!N280),"median", MEDIAN(Instances!N280:Instances!N280),"min", MIN(Instances!N280:Instances!N280),"max", MAX(Instances!N280:Instances!N280),"diff", MAX(Instances!N280:Instances!N280)-MIN(Instances!N280:Instances!N280))</f>
        <v>0</v>
      </c>
      <c r="O280" s="1" cm="1">
        <f t="array" ref="O280">_xlfn.SWITCH($A$2,"average", AVERAGE(Instances!O280:Instances!O280),"median", MEDIAN(Instances!O280:Instances!O280),"min", MIN(Instances!O280:Instances!O280),"max", MAX(Instances!O280:Instances!O280),"diff", MAX(Instances!O280:Instances!O280)-MIN(Instances!O280:Instances!O280))</f>
        <v>0</v>
      </c>
      <c r="P280" s="1" cm="1">
        <f t="array" ref="P280">_xlfn.SWITCH($A$2,"average", AVERAGE(Instances!P280:Instances!P280),"median", MEDIAN(Instances!P280:Instances!P280),"min", MIN(Instances!P280:Instances!P280),"max", MAX(Instances!P280:Instances!P280),"diff", MAX(Instances!P280:Instances!P280)-MIN(Instances!P280:Instances!P280))</f>
        <v>0</v>
      </c>
      <c r="Q280" s="1" cm="1">
        <f t="array" ref="Q280">_xlfn.SWITCH($A$2,"average", AVERAGE(Instances!Q280:Instances!Q280),"median", MEDIAN(Instances!Q280:Instances!Q280),"min", MIN(Instances!Q280:Instances!Q280),"max", MAX(Instances!Q280:Instances!Q280),"diff", MAX(Instances!Q280:Instances!Q280)-MIN(Instances!Q280:Instances!Q280))</f>
        <v>0</v>
      </c>
      <c r="R280" s="1">
        <f>MIN($B280,$D280,$F280,$H280,$J280,$L280,$N280,$P280)</f>
        <v>0</v>
      </c>
      <c r="S280" s="1">
        <f>MIN($C280,$E280,$G280,$I280,$K280,$M280,$O280,$Q280)</f>
        <v>0</v>
      </c>
      <c r="T280" s="1">
        <f>MEDIAN($B280,$D280,$F280,$H280,$J280,$L280,$N280,$P280)</f>
        <v>0</v>
      </c>
      <c r="U280" s="1">
        <f>MEDIAN($C280,$E280,$G280,$I280,$K280,$M280,$O280,$Q280)</f>
        <v>0</v>
      </c>
      <c r="V280" s="1">
        <f>MAX($B280,$D280,$F280,$H280,$J280,$L280,$N280,$P280)</f>
        <v>0</v>
      </c>
      <c r="W280" s="1">
        <f>MAX($C280,$E280,$G280,$I280,$K280,$M280,$O280,$Q280)</f>
        <v>0</v>
      </c>
    </row>
    <row r="281" spans="1:23">
      <c r="A281" s="1" t="s">
        <v>278</v>
      </c>
      <c r="B281" s="1"/>
      <c r="C281" s="1"/>
      <c r="D281" s="1" cm="1">
        <f t="array" ref="D281">_xlfn.SWITCH($A$2,"average", AVERAGE(Instances!D281:Instances!D281),"median", MEDIAN(Instances!D281:Instances!D281),"min", MIN(Instances!D281:Instances!D281),"max", MAX(Instances!D281:Instances!D281),"diff", MAX(Instances!D281:Instances!D281)-MIN(Instances!D281:Instances!D281))</f>
        <v>0</v>
      </c>
      <c r="E281" s="1" cm="1">
        <f t="array" ref="E281">_xlfn.SWITCH($A$2,"average", AVERAGE(Instances!E281:Instances!E281),"median", MEDIAN(Instances!E281:Instances!E281),"min", MIN(Instances!E281:Instances!E281),"max", MAX(Instances!E281:Instances!E281),"diff", MAX(Instances!E281:Instances!E281)-MIN(Instances!E281:Instances!E281))</f>
        <v>0</v>
      </c>
      <c r="F281" s="1" cm="1">
        <f t="array" ref="F281">_xlfn.SWITCH($A$2,"average", AVERAGE(Instances!F281:Instances!F281),"median", MEDIAN(Instances!F281:Instances!F281),"min", MIN(Instances!F281:Instances!F281),"max", MAX(Instances!F281:Instances!F281),"diff", MAX(Instances!F281:Instances!F281)-MIN(Instances!F281:Instances!F281))</f>
        <v>0</v>
      </c>
      <c r="G281" s="1" cm="1">
        <f t="array" ref="G281">_xlfn.SWITCH($A$2,"average", AVERAGE(Instances!G281:Instances!G281),"median", MEDIAN(Instances!G281:Instances!G281),"min", MIN(Instances!G281:Instances!G281),"max", MAX(Instances!G281:Instances!G281),"diff", MAX(Instances!G281:Instances!G281)-MIN(Instances!G281:Instances!G281))</f>
        <v>0</v>
      </c>
      <c r="H281" s="1"/>
      <c r="I281" s="1"/>
      <c r="J281" s="1" cm="1">
        <f t="array" ref="J281">_xlfn.SWITCH($A$2,"average", AVERAGE(Instances!J281:Instances!J281),"median", MEDIAN(Instances!J281:Instances!J281),"min", MIN(Instances!J281:Instances!J281),"max", MAX(Instances!J281:Instances!J281),"diff", MAX(Instances!J281:Instances!J281)-MIN(Instances!J281:Instances!J281))</f>
        <v>0</v>
      </c>
      <c r="K281" s="1" cm="1">
        <f t="array" ref="K281">_xlfn.SWITCH($A$2,"average", AVERAGE(Instances!K281:Instances!K281),"median", MEDIAN(Instances!K281:Instances!K281),"min", MIN(Instances!K281:Instances!K281),"max", MAX(Instances!K281:Instances!K281),"diff", MAX(Instances!K281:Instances!K281)-MIN(Instances!K281:Instances!K281))</f>
        <v>0</v>
      </c>
      <c r="L281" s="1" cm="1">
        <f t="array" ref="L281">_xlfn.SWITCH($A$2,"average", AVERAGE(Instances!L281:Instances!L281),"median", MEDIAN(Instances!L281:Instances!L281),"min", MIN(Instances!L281:Instances!L281),"max", MAX(Instances!L281:Instances!L281),"diff", MAX(Instances!L281:Instances!L281)-MIN(Instances!L281:Instances!L281))</f>
        <v>0</v>
      </c>
      <c r="M281" s="1" cm="1">
        <f t="array" ref="M281">_xlfn.SWITCH($A$2,"average", AVERAGE(Instances!M281:Instances!M281),"median", MEDIAN(Instances!M281:Instances!M281),"min", MIN(Instances!M281:Instances!M281),"max", MAX(Instances!M281:Instances!M281),"diff", MAX(Instances!M281:Instances!M281)-MIN(Instances!M281:Instances!M281))</f>
        <v>0</v>
      </c>
      <c r="N281" s="1" cm="1">
        <f t="array" ref="N281">_xlfn.SWITCH($A$2,"average", AVERAGE(Instances!N281:Instances!N281),"median", MEDIAN(Instances!N281:Instances!N281),"min", MIN(Instances!N281:Instances!N281),"max", MAX(Instances!N281:Instances!N281),"diff", MAX(Instances!N281:Instances!N281)-MIN(Instances!N281:Instances!N281))</f>
        <v>0</v>
      </c>
      <c r="O281" s="1" cm="1">
        <f t="array" ref="O281">_xlfn.SWITCH($A$2,"average", AVERAGE(Instances!O281:Instances!O281),"median", MEDIAN(Instances!O281:Instances!O281),"min", MIN(Instances!O281:Instances!O281),"max", MAX(Instances!O281:Instances!O281),"diff", MAX(Instances!O281:Instances!O281)-MIN(Instances!O281:Instances!O281))</f>
        <v>0</v>
      </c>
      <c r="P281" s="1" cm="1">
        <f t="array" ref="P281">_xlfn.SWITCH($A$2,"average", AVERAGE(Instances!P281:Instances!P281),"median", MEDIAN(Instances!P281:Instances!P281),"min", MIN(Instances!P281:Instances!P281),"max", MAX(Instances!P281:Instances!P281),"diff", MAX(Instances!P281:Instances!P281)-MIN(Instances!P281:Instances!P281))</f>
        <v>0</v>
      </c>
      <c r="Q281" s="1" cm="1">
        <f t="array" ref="Q281">_xlfn.SWITCH($A$2,"average", AVERAGE(Instances!Q281:Instances!Q281),"median", MEDIAN(Instances!Q281:Instances!Q281),"min", MIN(Instances!Q281:Instances!Q281),"max", MAX(Instances!Q281:Instances!Q281),"diff", MAX(Instances!Q281:Instances!Q281)-MIN(Instances!Q281:Instances!Q281))</f>
        <v>0</v>
      </c>
      <c r="R281" s="1">
        <f>MIN($B281,$D281,$F281,$H281,$J281,$L281,$N281,$P281)</f>
        <v>0</v>
      </c>
      <c r="S281" s="1">
        <f>MIN($C281,$E281,$G281,$I281,$K281,$M281,$O281,$Q281)</f>
        <v>0</v>
      </c>
      <c r="T281" s="1">
        <f>MEDIAN($B281,$D281,$F281,$H281,$J281,$L281,$N281,$P281)</f>
        <v>0</v>
      </c>
      <c r="U281" s="1">
        <f>MEDIAN($C281,$E281,$G281,$I281,$K281,$M281,$O281,$Q281)</f>
        <v>0</v>
      </c>
      <c r="V281" s="1">
        <f>MAX($B281,$D281,$F281,$H281,$J281,$L281,$N281,$P281)</f>
        <v>0</v>
      </c>
      <c r="W281" s="1">
        <f>MAX($C281,$E281,$G281,$I281,$K281,$M281,$O281,$Q281)</f>
        <v>0</v>
      </c>
    </row>
    <row r="282" spans="1:23">
      <c r="A282" s="1" t="s">
        <v>279</v>
      </c>
      <c r="B282" s="1"/>
      <c r="C282" s="1"/>
      <c r="D282" s="1" cm="1">
        <f t="array" ref="D282">_xlfn.SWITCH($A$2,"average", AVERAGE(Instances!D282:Instances!D282),"median", MEDIAN(Instances!D282:Instances!D282),"min", MIN(Instances!D282:Instances!D282),"max", MAX(Instances!D282:Instances!D282),"diff", MAX(Instances!D282:Instances!D282)-MIN(Instances!D282:Instances!D282))</f>
        <v>0</v>
      </c>
      <c r="E282" s="1" cm="1">
        <f t="array" ref="E282">_xlfn.SWITCH($A$2,"average", AVERAGE(Instances!E282:Instances!E282),"median", MEDIAN(Instances!E282:Instances!E282),"min", MIN(Instances!E282:Instances!E282),"max", MAX(Instances!E282:Instances!E282),"diff", MAX(Instances!E282:Instances!E282)-MIN(Instances!E282:Instances!E282))</f>
        <v>0</v>
      </c>
      <c r="F282" s="1" cm="1">
        <f t="array" ref="F282">_xlfn.SWITCH($A$2,"average", AVERAGE(Instances!F282:Instances!F282),"median", MEDIAN(Instances!F282:Instances!F282),"min", MIN(Instances!F282:Instances!F282),"max", MAX(Instances!F282:Instances!F282),"diff", MAX(Instances!F282:Instances!F282)-MIN(Instances!F282:Instances!F282))</f>
        <v>0</v>
      </c>
      <c r="G282" s="1" cm="1">
        <f t="array" ref="G282">_xlfn.SWITCH($A$2,"average", AVERAGE(Instances!G282:Instances!G282),"median", MEDIAN(Instances!G282:Instances!G282),"min", MIN(Instances!G282:Instances!G282),"max", MAX(Instances!G282:Instances!G282),"diff", MAX(Instances!G282:Instances!G282)-MIN(Instances!G282:Instances!G282))</f>
        <v>0</v>
      </c>
      <c r="H282" s="1"/>
      <c r="I282" s="1"/>
      <c r="J282" s="1" cm="1">
        <f t="array" ref="J282">_xlfn.SWITCH($A$2,"average", AVERAGE(Instances!J282:Instances!J282),"median", MEDIAN(Instances!J282:Instances!J282),"min", MIN(Instances!J282:Instances!J282),"max", MAX(Instances!J282:Instances!J282),"diff", MAX(Instances!J282:Instances!J282)-MIN(Instances!J282:Instances!J282))</f>
        <v>0</v>
      </c>
      <c r="K282" s="1" cm="1">
        <f t="array" ref="K282">_xlfn.SWITCH($A$2,"average", AVERAGE(Instances!K282:Instances!K282),"median", MEDIAN(Instances!K282:Instances!K282),"min", MIN(Instances!K282:Instances!K282),"max", MAX(Instances!K282:Instances!K282),"diff", MAX(Instances!K282:Instances!K282)-MIN(Instances!K282:Instances!K282))</f>
        <v>0</v>
      </c>
      <c r="L282" s="1" cm="1">
        <f t="array" ref="L282">_xlfn.SWITCH($A$2,"average", AVERAGE(Instances!L282:Instances!L282),"median", MEDIAN(Instances!L282:Instances!L282),"min", MIN(Instances!L282:Instances!L282),"max", MAX(Instances!L282:Instances!L282),"diff", MAX(Instances!L282:Instances!L282)-MIN(Instances!L282:Instances!L282))</f>
        <v>0</v>
      </c>
      <c r="M282" s="1" cm="1">
        <f t="array" ref="M282">_xlfn.SWITCH($A$2,"average", AVERAGE(Instances!M282:Instances!M282),"median", MEDIAN(Instances!M282:Instances!M282),"min", MIN(Instances!M282:Instances!M282),"max", MAX(Instances!M282:Instances!M282),"diff", MAX(Instances!M282:Instances!M282)-MIN(Instances!M282:Instances!M282))</f>
        <v>0</v>
      </c>
      <c r="N282" s="1" cm="1">
        <f t="array" ref="N282">_xlfn.SWITCH($A$2,"average", AVERAGE(Instances!N282:Instances!N282),"median", MEDIAN(Instances!N282:Instances!N282),"min", MIN(Instances!N282:Instances!N282),"max", MAX(Instances!N282:Instances!N282),"diff", MAX(Instances!N282:Instances!N282)-MIN(Instances!N282:Instances!N282))</f>
        <v>0</v>
      </c>
      <c r="O282" s="1" cm="1">
        <f t="array" ref="O282">_xlfn.SWITCH($A$2,"average", AVERAGE(Instances!O282:Instances!O282),"median", MEDIAN(Instances!O282:Instances!O282),"min", MIN(Instances!O282:Instances!O282),"max", MAX(Instances!O282:Instances!O282),"diff", MAX(Instances!O282:Instances!O282)-MIN(Instances!O282:Instances!O282))</f>
        <v>0</v>
      </c>
      <c r="P282" s="1" cm="1">
        <f t="array" ref="P282">_xlfn.SWITCH($A$2,"average", AVERAGE(Instances!P282:Instances!P282),"median", MEDIAN(Instances!P282:Instances!P282),"min", MIN(Instances!P282:Instances!P282),"max", MAX(Instances!P282:Instances!P282),"diff", MAX(Instances!P282:Instances!P282)-MIN(Instances!P282:Instances!P282))</f>
        <v>0</v>
      </c>
      <c r="Q282" s="1" cm="1">
        <f t="array" ref="Q282">_xlfn.SWITCH($A$2,"average", AVERAGE(Instances!Q282:Instances!Q282),"median", MEDIAN(Instances!Q282:Instances!Q282),"min", MIN(Instances!Q282:Instances!Q282),"max", MAX(Instances!Q282:Instances!Q282),"diff", MAX(Instances!Q282:Instances!Q282)-MIN(Instances!Q282:Instances!Q282))</f>
        <v>0</v>
      </c>
      <c r="R282" s="1">
        <f>MIN($B282,$D282,$F282,$H282,$J282,$L282,$N282,$P282)</f>
        <v>0</v>
      </c>
      <c r="S282" s="1">
        <f>MIN($C282,$E282,$G282,$I282,$K282,$M282,$O282,$Q282)</f>
        <v>0</v>
      </c>
      <c r="T282" s="1">
        <f>MEDIAN($B282,$D282,$F282,$H282,$J282,$L282,$N282,$P282)</f>
        <v>0</v>
      </c>
      <c r="U282" s="1">
        <f>MEDIAN($C282,$E282,$G282,$I282,$K282,$M282,$O282,$Q282)</f>
        <v>0</v>
      </c>
      <c r="V282" s="1">
        <f>MAX($B282,$D282,$F282,$H282,$J282,$L282,$N282,$P282)</f>
        <v>0</v>
      </c>
      <c r="W282" s="1">
        <f>MAX($C282,$E282,$G282,$I282,$K282,$M282,$O282,$Q282)</f>
        <v>0</v>
      </c>
    </row>
    <row r="283" spans="1:23">
      <c r="A283" s="1" t="s">
        <v>280</v>
      </c>
      <c r="B283" s="1"/>
      <c r="C283" s="1"/>
      <c r="D283" s="1" cm="1">
        <f t="array" ref="D283">_xlfn.SWITCH($A$2,"average", AVERAGE(Instances!D283:Instances!D283),"median", MEDIAN(Instances!D283:Instances!D283),"min", MIN(Instances!D283:Instances!D283),"max", MAX(Instances!D283:Instances!D283),"diff", MAX(Instances!D283:Instances!D283)-MIN(Instances!D283:Instances!D283))</f>
        <v>0</v>
      </c>
      <c r="E283" s="1" cm="1">
        <f t="array" ref="E283">_xlfn.SWITCH($A$2,"average", AVERAGE(Instances!E283:Instances!E283),"median", MEDIAN(Instances!E283:Instances!E283),"min", MIN(Instances!E283:Instances!E283),"max", MAX(Instances!E283:Instances!E283),"diff", MAX(Instances!E283:Instances!E283)-MIN(Instances!E283:Instances!E283))</f>
        <v>0</v>
      </c>
      <c r="F283" s="1" cm="1">
        <f t="array" ref="F283">_xlfn.SWITCH($A$2,"average", AVERAGE(Instances!F283:Instances!F283),"median", MEDIAN(Instances!F283:Instances!F283),"min", MIN(Instances!F283:Instances!F283),"max", MAX(Instances!F283:Instances!F283),"diff", MAX(Instances!F283:Instances!F283)-MIN(Instances!F283:Instances!F283))</f>
        <v>0</v>
      </c>
      <c r="G283" s="1" cm="1">
        <f t="array" ref="G283">_xlfn.SWITCH($A$2,"average", AVERAGE(Instances!G283:Instances!G283),"median", MEDIAN(Instances!G283:Instances!G283),"min", MIN(Instances!G283:Instances!G283),"max", MAX(Instances!G283:Instances!G283),"diff", MAX(Instances!G283:Instances!G283)-MIN(Instances!G283:Instances!G283))</f>
        <v>0</v>
      </c>
      <c r="H283" s="1"/>
      <c r="I283" s="1"/>
      <c r="J283" s="1" cm="1">
        <f t="array" ref="J283">_xlfn.SWITCH($A$2,"average", AVERAGE(Instances!J283:Instances!J283),"median", MEDIAN(Instances!J283:Instances!J283),"min", MIN(Instances!J283:Instances!J283),"max", MAX(Instances!J283:Instances!J283),"diff", MAX(Instances!J283:Instances!J283)-MIN(Instances!J283:Instances!J283))</f>
        <v>0</v>
      </c>
      <c r="K283" s="1" cm="1">
        <f t="array" ref="K283">_xlfn.SWITCH($A$2,"average", AVERAGE(Instances!K283:Instances!K283),"median", MEDIAN(Instances!K283:Instances!K283),"min", MIN(Instances!K283:Instances!K283),"max", MAX(Instances!K283:Instances!K283),"diff", MAX(Instances!K283:Instances!K283)-MIN(Instances!K283:Instances!K283))</f>
        <v>0</v>
      </c>
      <c r="L283" s="1" cm="1">
        <f t="array" ref="L283">_xlfn.SWITCH($A$2,"average", AVERAGE(Instances!L283:Instances!L283),"median", MEDIAN(Instances!L283:Instances!L283),"min", MIN(Instances!L283:Instances!L283),"max", MAX(Instances!L283:Instances!L283),"diff", MAX(Instances!L283:Instances!L283)-MIN(Instances!L283:Instances!L283))</f>
        <v>0</v>
      </c>
      <c r="M283" s="1" cm="1">
        <f t="array" ref="M283">_xlfn.SWITCH($A$2,"average", AVERAGE(Instances!M283:Instances!M283),"median", MEDIAN(Instances!M283:Instances!M283),"min", MIN(Instances!M283:Instances!M283),"max", MAX(Instances!M283:Instances!M283),"diff", MAX(Instances!M283:Instances!M283)-MIN(Instances!M283:Instances!M283))</f>
        <v>0</v>
      </c>
      <c r="N283" s="1" cm="1">
        <f t="array" ref="N283">_xlfn.SWITCH($A$2,"average", AVERAGE(Instances!N283:Instances!N283),"median", MEDIAN(Instances!N283:Instances!N283),"min", MIN(Instances!N283:Instances!N283),"max", MAX(Instances!N283:Instances!N283),"diff", MAX(Instances!N283:Instances!N283)-MIN(Instances!N283:Instances!N283))</f>
        <v>0</v>
      </c>
      <c r="O283" s="1" cm="1">
        <f t="array" ref="O283">_xlfn.SWITCH($A$2,"average", AVERAGE(Instances!O283:Instances!O283),"median", MEDIAN(Instances!O283:Instances!O283),"min", MIN(Instances!O283:Instances!O283),"max", MAX(Instances!O283:Instances!O283),"diff", MAX(Instances!O283:Instances!O283)-MIN(Instances!O283:Instances!O283))</f>
        <v>0</v>
      </c>
      <c r="P283" s="1" cm="1">
        <f t="array" ref="P283">_xlfn.SWITCH($A$2,"average", AVERAGE(Instances!P283:Instances!P283),"median", MEDIAN(Instances!P283:Instances!P283),"min", MIN(Instances!P283:Instances!P283),"max", MAX(Instances!P283:Instances!P283),"diff", MAX(Instances!P283:Instances!P283)-MIN(Instances!P283:Instances!P283))</f>
        <v>0</v>
      </c>
      <c r="Q283" s="1" cm="1">
        <f t="array" ref="Q283">_xlfn.SWITCH($A$2,"average", AVERAGE(Instances!Q283:Instances!Q283),"median", MEDIAN(Instances!Q283:Instances!Q283),"min", MIN(Instances!Q283:Instances!Q283),"max", MAX(Instances!Q283:Instances!Q283),"diff", MAX(Instances!Q283:Instances!Q283)-MIN(Instances!Q283:Instances!Q283))</f>
        <v>0</v>
      </c>
      <c r="R283" s="1">
        <f>MIN($B283,$D283,$F283,$H283,$J283,$L283,$N283,$P283)</f>
        <v>0</v>
      </c>
      <c r="S283" s="1">
        <f>MIN($C283,$E283,$G283,$I283,$K283,$M283,$O283,$Q283)</f>
        <v>0</v>
      </c>
      <c r="T283" s="1">
        <f>MEDIAN($B283,$D283,$F283,$H283,$J283,$L283,$N283,$P283)</f>
        <v>0</v>
      </c>
      <c r="U283" s="1">
        <f>MEDIAN($C283,$E283,$G283,$I283,$K283,$M283,$O283,$Q283)</f>
        <v>0</v>
      </c>
      <c r="V283" s="1">
        <f>MAX($B283,$D283,$F283,$H283,$J283,$L283,$N283,$P283)</f>
        <v>0</v>
      </c>
      <c r="W283" s="1">
        <f>MAX($C283,$E283,$G283,$I283,$K283,$M283,$O283,$Q283)</f>
        <v>0</v>
      </c>
    </row>
    <row r="284" spans="1:23">
      <c r="A284" s="1" t="s">
        <v>281</v>
      </c>
      <c r="B284" s="1"/>
      <c r="C284" s="1"/>
      <c r="D284" s="1" cm="1">
        <f t="array" ref="D284">_xlfn.SWITCH($A$2,"average", AVERAGE(Instances!D284:Instances!D284),"median", MEDIAN(Instances!D284:Instances!D284),"min", MIN(Instances!D284:Instances!D284),"max", MAX(Instances!D284:Instances!D284),"diff", MAX(Instances!D284:Instances!D284)-MIN(Instances!D284:Instances!D284))</f>
        <v>0</v>
      </c>
      <c r="E284" s="1" cm="1">
        <f t="array" ref="E284">_xlfn.SWITCH($A$2,"average", AVERAGE(Instances!E284:Instances!E284),"median", MEDIAN(Instances!E284:Instances!E284),"min", MIN(Instances!E284:Instances!E284),"max", MAX(Instances!E284:Instances!E284),"diff", MAX(Instances!E284:Instances!E284)-MIN(Instances!E284:Instances!E284))</f>
        <v>0</v>
      </c>
      <c r="F284" s="1" cm="1">
        <f t="array" ref="F284">_xlfn.SWITCH($A$2,"average", AVERAGE(Instances!F284:Instances!F284),"median", MEDIAN(Instances!F284:Instances!F284),"min", MIN(Instances!F284:Instances!F284),"max", MAX(Instances!F284:Instances!F284),"diff", MAX(Instances!F284:Instances!F284)-MIN(Instances!F284:Instances!F284))</f>
        <v>0</v>
      </c>
      <c r="G284" s="1" cm="1">
        <f t="array" ref="G284">_xlfn.SWITCH($A$2,"average", AVERAGE(Instances!G284:Instances!G284),"median", MEDIAN(Instances!G284:Instances!G284),"min", MIN(Instances!G284:Instances!G284),"max", MAX(Instances!G284:Instances!G284),"diff", MAX(Instances!G284:Instances!G284)-MIN(Instances!G284:Instances!G284))</f>
        <v>0</v>
      </c>
      <c r="H284" s="1"/>
      <c r="I284" s="1"/>
      <c r="J284" s="1" cm="1">
        <f t="array" ref="J284">_xlfn.SWITCH($A$2,"average", AVERAGE(Instances!J284:Instances!J284),"median", MEDIAN(Instances!J284:Instances!J284),"min", MIN(Instances!J284:Instances!J284),"max", MAX(Instances!J284:Instances!J284),"diff", MAX(Instances!J284:Instances!J284)-MIN(Instances!J284:Instances!J284))</f>
        <v>0</v>
      </c>
      <c r="K284" s="1" cm="1">
        <f t="array" ref="K284">_xlfn.SWITCH($A$2,"average", AVERAGE(Instances!K284:Instances!K284),"median", MEDIAN(Instances!K284:Instances!K284),"min", MIN(Instances!K284:Instances!K284),"max", MAX(Instances!K284:Instances!K284),"diff", MAX(Instances!K284:Instances!K284)-MIN(Instances!K284:Instances!K284))</f>
        <v>0</v>
      </c>
      <c r="L284" s="1" cm="1">
        <f t="array" ref="L284">_xlfn.SWITCH($A$2,"average", AVERAGE(Instances!L284:Instances!L284),"median", MEDIAN(Instances!L284:Instances!L284),"min", MIN(Instances!L284:Instances!L284),"max", MAX(Instances!L284:Instances!L284),"diff", MAX(Instances!L284:Instances!L284)-MIN(Instances!L284:Instances!L284))</f>
        <v>0</v>
      </c>
      <c r="M284" s="1" cm="1">
        <f t="array" ref="M284">_xlfn.SWITCH($A$2,"average", AVERAGE(Instances!M284:Instances!M284),"median", MEDIAN(Instances!M284:Instances!M284),"min", MIN(Instances!M284:Instances!M284),"max", MAX(Instances!M284:Instances!M284),"diff", MAX(Instances!M284:Instances!M284)-MIN(Instances!M284:Instances!M284))</f>
        <v>0</v>
      </c>
      <c r="N284" s="1" cm="1">
        <f t="array" ref="N284">_xlfn.SWITCH($A$2,"average", AVERAGE(Instances!N284:Instances!N284),"median", MEDIAN(Instances!N284:Instances!N284),"min", MIN(Instances!N284:Instances!N284),"max", MAX(Instances!N284:Instances!N284),"diff", MAX(Instances!N284:Instances!N284)-MIN(Instances!N284:Instances!N284))</f>
        <v>0</v>
      </c>
      <c r="O284" s="1" cm="1">
        <f t="array" ref="O284">_xlfn.SWITCH($A$2,"average", AVERAGE(Instances!O284:Instances!O284),"median", MEDIAN(Instances!O284:Instances!O284),"min", MIN(Instances!O284:Instances!O284),"max", MAX(Instances!O284:Instances!O284),"diff", MAX(Instances!O284:Instances!O284)-MIN(Instances!O284:Instances!O284))</f>
        <v>0</v>
      </c>
      <c r="P284" s="1" cm="1">
        <f t="array" ref="P284">_xlfn.SWITCH($A$2,"average", AVERAGE(Instances!P284:Instances!P284),"median", MEDIAN(Instances!P284:Instances!P284),"min", MIN(Instances!P284:Instances!P284),"max", MAX(Instances!P284:Instances!P284),"diff", MAX(Instances!P284:Instances!P284)-MIN(Instances!P284:Instances!P284))</f>
        <v>0</v>
      </c>
      <c r="Q284" s="1" cm="1">
        <f t="array" ref="Q284">_xlfn.SWITCH($A$2,"average", AVERAGE(Instances!Q284:Instances!Q284),"median", MEDIAN(Instances!Q284:Instances!Q284),"min", MIN(Instances!Q284:Instances!Q284),"max", MAX(Instances!Q284:Instances!Q284),"diff", MAX(Instances!Q284:Instances!Q284)-MIN(Instances!Q284:Instances!Q284))</f>
        <v>0</v>
      </c>
      <c r="R284" s="1">
        <f>MIN($B284,$D284,$F284,$H284,$J284,$L284,$N284,$P284)</f>
        <v>0</v>
      </c>
      <c r="S284" s="1">
        <f>MIN($C284,$E284,$G284,$I284,$K284,$M284,$O284,$Q284)</f>
        <v>0</v>
      </c>
      <c r="T284" s="1">
        <f>MEDIAN($B284,$D284,$F284,$H284,$J284,$L284,$N284,$P284)</f>
        <v>0</v>
      </c>
      <c r="U284" s="1">
        <f>MEDIAN($C284,$E284,$G284,$I284,$K284,$M284,$O284,$Q284)</f>
        <v>0</v>
      </c>
      <c r="V284" s="1">
        <f>MAX($B284,$D284,$F284,$H284,$J284,$L284,$N284,$P284)</f>
        <v>0</v>
      </c>
      <c r="W284" s="1">
        <f>MAX($C284,$E284,$G284,$I284,$K284,$M284,$O284,$Q284)</f>
        <v>0</v>
      </c>
    </row>
    <row r="285" spans="1:23">
      <c r="A285" s="1" t="s">
        <v>282</v>
      </c>
      <c r="B285" s="1"/>
      <c r="C285" s="1"/>
      <c r="D285" s="1" cm="1">
        <f t="array" ref="D285">_xlfn.SWITCH($A$2,"average", AVERAGE(Instances!D285:Instances!D285),"median", MEDIAN(Instances!D285:Instances!D285),"min", MIN(Instances!D285:Instances!D285),"max", MAX(Instances!D285:Instances!D285),"diff", MAX(Instances!D285:Instances!D285)-MIN(Instances!D285:Instances!D285))</f>
        <v>0</v>
      </c>
      <c r="E285" s="1" cm="1">
        <f t="array" ref="E285">_xlfn.SWITCH($A$2,"average", AVERAGE(Instances!E285:Instances!E285),"median", MEDIAN(Instances!E285:Instances!E285),"min", MIN(Instances!E285:Instances!E285),"max", MAX(Instances!E285:Instances!E285),"diff", MAX(Instances!E285:Instances!E285)-MIN(Instances!E285:Instances!E285))</f>
        <v>0</v>
      </c>
      <c r="F285" s="1" cm="1">
        <f t="array" ref="F285">_xlfn.SWITCH($A$2,"average", AVERAGE(Instances!F285:Instances!F285),"median", MEDIAN(Instances!F285:Instances!F285),"min", MIN(Instances!F285:Instances!F285),"max", MAX(Instances!F285:Instances!F285),"diff", MAX(Instances!F285:Instances!F285)-MIN(Instances!F285:Instances!F285))</f>
        <v>0</v>
      </c>
      <c r="G285" s="1" cm="1">
        <f t="array" ref="G285">_xlfn.SWITCH($A$2,"average", AVERAGE(Instances!G285:Instances!G285),"median", MEDIAN(Instances!G285:Instances!G285),"min", MIN(Instances!G285:Instances!G285),"max", MAX(Instances!G285:Instances!G285),"diff", MAX(Instances!G285:Instances!G285)-MIN(Instances!G285:Instances!G285))</f>
        <v>0</v>
      </c>
      <c r="H285" s="1"/>
      <c r="I285" s="1"/>
      <c r="J285" s="1" cm="1">
        <f t="array" ref="J285">_xlfn.SWITCH($A$2,"average", AVERAGE(Instances!J285:Instances!J285),"median", MEDIAN(Instances!J285:Instances!J285),"min", MIN(Instances!J285:Instances!J285),"max", MAX(Instances!J285:Instances!J285),"diff", MAX(Instances!J285:Instances!J285)-MIN(Instances!J285:Instances!J285))</f>
        <v>0</v>
      </c>
      <c r="K285" s="1" cm="1">
        <f t="array" ref="K285">_xlfn.SWITCH($A$2,"average", AVERAGE(Instances!K285:Instances!K285),"median", MEDIAN(Instances!K285:Instances!K285),"min", MIN(Instances!K285:Instances!K285),"max", MAX(Instances!K285:Instances!K285),"diff", MAX(Instances!K285:Instances!K285)-MIN(Instances!K285:Instances!K285))</f>
        <v>0</v>
      </c>
      <c r="L285" s="1" cm="1">
        <f t="array" ref="L285">_xlfn.SWITCH($A$2,"average", AVERAGE(Instances!L285:Instances!L285),"median", MEDIAN(Instances!L285:Instances!L285),"min", MIN(Instances!L285:Instances!L285),"max", MAX(Instances!L285:Instances!L285),"diff", MAX(Instances!L285:Instances!L285)-MIN(Instances!L285:Instances!L285))</f>
        <v>0</v>
      </c>
      <c r="M285" s="1" cm="1">
        <f t="array" ref="M285">_xlfn.SWITCH($A$2,"average", AVERAGE(Instances!M285:Instances!M285),"median", MEDIAN(Instances!M285:Instances!M285),"min", MIN(Instances!M285:Instances!M285),"max", MAX(Instances!M285:Instances!M285),"diff", MAX(Instances!M285:Instances!M285)-MIN(Instances!M285:Instances!M285))</f>
        <v>0</v>
      </c>
      <c r="N285" s="1" cm="1">
        <f t="array" ref="N285">_xlfn.SWITCH($A$2,"average", AVERAGE(Instances!N285:Instances!N285),"median", MEDIAN(Instances!N285:Instances!N285),"min", MIN(Instances!N285:Instances!N285),"max", MAX(Instances!N285:Instances!N285),"diff", MAX(Instances!N285:Instances!N285)-MIN(Instances!N285:Instances!N285))</f>
        <v>0</v>
      </c>
      <c r="O285" s="1" cm="1">
        <f t="array" ref="O285">_xlfn.SWITCH($A$2,"average", AVERAGE(Instances!O285:Instances!O285),"median", MEDIAN(Instances!O285:Instances!O285),"min", MIN(Instances!O285:Instances!O285),"max", MAX(Instances!O285:Instances!O285),"diff", MAX(Instances!O285:Instances!O285)-MIN(Instances!O285:Instances!O285))</f>
        <v>0</v>
      </c>
      <c r="P285" s="1" cm="1">
        <f t="array" ref="P285">_xlfn.SWITCH($A$2,"average", AVERAGE(Instances!P285:Instances!P285),"median", MEDIAN(Instances!P285:Instances!P285),"min", MIN(Instances!P285:Instances!P285),"max", MAX(Instances!P285:Instances!P285),"diff", MAX(Instances!P285:Instances!P285)-MIN(Instances!P285:Instances!P285))</f>
        <v>0</v>
      </c>
      <c r="Q285" s="1" cm="1">
        <f t="array" ref="Q285">_xlfn.SWITCH($A$2,"average", AVERAGE(Instances!Q285:Instances!Q285),"median", MEDIAN(Instances!Q285:Instances!Q285),"min", MIN(Instances!Q285:Instances!Q285),"max", MAX(Instances!Q285:Instances!Q285),"diff", MAX(Instances!Q285:Instances!Q285)-MIN(Instances!Q285:Instances!Q285))</f>
        <v>0</v>
      </c>
      <c r="R285" s="1">
        <f>MIN($B285,$D285,$F285,$H285,$J285,$L285,$N285,$P285)</f>
        <v>0</v>
      </c>
      <c r="S285" s="1">
        <f>MIN($C285,$E285,$G285,$I285,$K285,$M285,$O285,$Q285)</f>
        <v>0</v>
      </c>
      <c r="T285" s="1">
        <f>MEDIAN($B285,$D285,$F285,$H285,$J285,$L285,$N285,$P285)</f>
        <v>0</v>
      </c>
      <c r="U285" s="1">
        <f>MEDIAN($C285,$E285,$G285,$I285,$K285,$M285,$O285,$Q285)</f>
        <v>0</v>
      </c>
      <c r="V285" s="1">
        <f>MAX($B285,$D285,$F285,$H285,$J285,$L285,$N285,$P285)</f>
        <v>0</v>
      </c>
      <c r="W285" s="1">
        <f>MAX($C285,$E285,$G285,$I285,$K285,$M285,$O285,$Q285)</f>
        <v>0</v>
      </c>
    </row>
    <row r="286" spans="1:23">
      <c r="A286" s="1" t="s">
        <v>283</v>
      </c>
      <c r="B286" s="1"/>
      <c r="C286" s="1"/>
      <c r="D286" s="1" cm="1">
        <f t="array" ref="D286">_xlfn.SWITCH($A$2,"average", AVERAGE(Instances!D286:Instances!D286),"median", MEDIAN(Instances!D286:Instances!D286),"min", MIN(Instances!D286:Instances!D286),"max", MAX(Instances!D286:Instances!D286),"diff", MAX(Instances!D286:Instances!D286)-MIN(Instances!D286:Instances!D286))</f>
        <v>0</v>
      </c>
      <c r="E286" s="1" cm="1">
        <f t="array" ref="E286">_xlfn.SWITCH($A$2,"average", AVERAGE(Instances!E286:Instances!E286),"median", MEDIAN(Instances!E286:Instances!E286),"min", MIN(Instances!E286:Instances!E286),"max", MAX(Instances!E286:Instances!E286),"diff", MAX(Instances!E286:Instances!E286)-MIN(Instances!E286:Instances!E286))</f>
        <v>0</v>
      </c>
      <c r="F286" s="1" cm="1">
        <f t="array" ref="F286">_xlfn.SWITCH($A$2,"average", AVERAGE(Instances!F286:Instances!F286),"median", MEDIAN(Instances!F286:Instances!F286),"min", MIN(Instances!F286:Instances!F286),"max", MAX(Instances!F286:Instances!F286),"diff", MAX(Instances!F286:Instances!F286)-MIN(Instances!F286:Instances!F286))</f>
        <v>0</v>
      </c>
      <c r="G286" s="1" cm="1">
        <f t="array" ref="G286">_xlfn.SWITCH($A$2,"average", AVERAGE(Instances!G286:Instances!G286),"median", MEDIAN(Instances!G286:Instances!G286),"min", MIN(Instances!G286:Instances!G286),"max", MAX(Instances!G286:Instances!G286),"diff", MAX(Instances!G286:Instances!G286)-MIN(Instances!G286:Instances!G286))</f>
        <v>0</v>
      </c>
      <c r="H286" s="1"/>
      <c r="I286" s="1"/>
      <c r="J286" s="1" cm="1">
        <f t="array" ref="J286">_xlfn.SWITCH($A$2,"average", AVERAGE(Instances!J286:Instances!J286),"median", MEDIAN(Instances!J286:Instances!J286),"min", MIN(Instances!J286:Instances!J286),"max", MAX(Instances!J286:Instances!J286),"diff", MAX(Instances!J286:Instances!J286)-MIN(Instances!J286:Instances!J286))</f>
        <v>0</v>
      </c>
      <c r="K286" s="1" cm="1">
        <f t="array" ref="K286">_xlfn.SWITCH($A$2,"average", AVERAGE(Instances!K286:Instances!K286),"median", MEDIAN(Instances!K286:Instances!K286),"min", MIN(Instances!K286:Instances!K286),"max", MAX(Instances!K286:Instances!K286),"diff", MAX(Instances!K286:Instances!K286)-MIN(Instances!K286:Instances!K286))</f>
        <v>0</v>
      </c>
      <c r="L286" s="1" cm="1">
        <f t="array" ref="L286">_xlfn.SWITCH($A$2,"average", AVERAGE(Instances!L286:Instances!L286),"median", MEDIAN(Instances!L286:Instances!L286),"min", MIN(Instances!L286:Instances!L286),"max", MAX(Instances!L286:Instances!L286),"diff", MAX(Instances!L286:Instances!L286)-MIN(Instances!L286:Instances!L286))</f>
        <v>0</v>
      </c>
      <c r="M286" s="1" cm="1">
        <f t="array" ref="M286">_xlfn.SWITCH($A$2,"average", AVERAGE(Instances!M286:Instances!M286),"median", MEDIAN(Instances!M286:Instances!M286),"min", MIN(Instances!M286:Instances!M286),"max", MAX(Instances!M286:Instances!M286),"diff", MAX(Instances!M286:Instances!M286)-MIN(Instances!M286:Instances!M286))</f>
        <v>0</v>
      </c>
      <c r="N286" s="1" cm="1">
        <f t="array" ref="N286">_xlfn.SWITCH($A$2,"average", AVERAGE(Instances!N286:Instances!N286),"median", MEDIAN(Instances!N286:Instances!N286),"min", MIN(Instances!N286:Instances!N286),"max", MAX(Instances!N286:Instances!N286),"diff", MAX(Instances!N286:Instances!N286)-MIN(Instances!N286:Instances!N286))</f>
        <v>0</v>
      </c>
      <c r="O286" s="1" cm="1">
        <f t="array" ref="O286">_xlfn.SWITCH($A$2,"average", AVERAGE(Instances!O286:Instances!O286),"median", MEDIAN(Instances!O286:Instances!O286),"min", MIN(Instances!O286:Instances!O286),"max", MAX(Instances!O286:Instances!O286),"diff", MAX(Instances!O286:Instances!O286)-MIN(Instances!O286:Instances!O286))</f>
        <v>0</v>
      </c>
      <c r="P286" s="1" cm="1">
        <f t="array" ref="P286">_xlfn.SWITCH($A$2,"average", AVERAGE(Instances!P286:Instances!P286),"median", MEDIAN(Instances!P286:Instances!P286),"min", MIN(Instances!P286:Instances!P286),"max", MAX(Instances!P286:Instances!P286),"diff", MAX(Instances!P286:Instances!P286)-MIN(Instances!P286:Instances!P286))</f>
        <v>0</v>
      </c>
      <c r="Q286" s="1" cm="1">
        <f t="array" ref="Q286">_xlfn.SWITCH($A$2,"average", AVERAGE(Instances!Q286:Instances!Q286),"median", MEDIAN(Instances!Q286:Instances!Q286),"min", MIN(Instances!Q286:Instances!Q286),"max", MAX(Instances!Q286:Instances!Q286),"diff", MAX(Instances!Q286:Instances!Q286)-MIN(Instances!Q286:Instances!Q286))</f>
        <v>0</v>
      </c>
      <c r="R286" s="1">
        <f>MIN($B286,$D286,$F286,$H286,$J286,$L286,$N286,$P286)</f>
        <v>0</v>
      </c>
      <c r="S286" s="1">
        <f>MIN($C286,$E286,$G286,$I286,$K286,$M286,$O286,$Q286)</f>
        <v>0</v>
      </c>
      <c r="T286" s="1">
        <f>MEDIAN($B286,$D286,$F286,$H286,$J286,$L286,$N286,$P286)</f>
        <v>0</v>
      </c>
      <c r="U286" s="1">
        <f>MEDIAN($C286,$E286,$G286,$I286,$K286,$M286,$O286,$Q286)</f>
        <v>0</v>
      </c>
      <c r="V286" s="1">
        <f>MAX($B286,$D286,$F286,$H286,$J286,$L286,$N286,$P286)</f>
        <v>0</v>
      </c>
      <c r="W286" s="1">
        <f>MAX($C286,$E286,$G286,$I286,$K286,$M286,$O286,$Q286)</f>
        <v>0</v>
      </c>
    </row>
    <row r="287" spans="1:23">
      <c r="A287" s="1" t="s">
        <v>16</v>
      </c>
      <c r="B287" s="1"/>
      <c r="C287" s="1"/>
      <c r="D287" s="1" cm="1">
        <f t="array" ref="D287">_xlfn.SWITCH($A$2,"average", AVERAGE(Instances!D287:Instances!D287),"median", MEDIAN(Instances!D287:Instances!D287),"min", MIN(Instances!D287:Instances!D287),"max", MAX(Instances!D287:Instances!D287),"diff", MAX(Instances!D287:Instances!D287)-MIN(Instances!D287:Instances!D287))</f>
        <v>0</v>
      </c>
      <c r="E287" s="1" cm="1">
        <f t="array" ref="E287">_xlfn.SWITCH($A$2,"average", AVERAGE(Instances!E287:Instances!E287),"median", MEDIAN(Instances!E287:Instances!E287),"min", MIN(Instances!E287:Instances!E287),"max", MAX(Instances!E287:Instances!E287),"diff", MAX(Instances!E287:Instances!E287)-MIN(Instances!E287:Instances!E287))</f>
        <v>0</v>
      </c>
      <c r="F287" s="1" cm="1">
        <f t="array" ref="F287">_xlfn.SWITCH($A$2,"average", AVERAGE(Instances!F287:Instances!F287),"median", MEDIAN(Instances!F287:Instances!F287),"min", MIN(Instances!F287:Instances!F287),"max", MAX(Instances!F287:Instances!F287),"diff", MAX(Instances!F287:Instances!F287)-MIN(Instances!F287:Instances!F287))</f>
        <v>0</v>
      </c>
      <c r="G287" s="1" cm="1">
        <f t="array" ref="G287">_xlfn.SWITCH($A$2,"average", AVERAGE(Instances!G287:Instances!G287),"median", MEDIAN(Instances!G287:Instances!G287),"min", MIN(Instances!G287:Instances!G287),"max", MAX(Instances!G287:Instances!G287),"diff", MAX(Instances!G287:Instances!G287)-MIN(Instances!G287:Instances!G287))</f>
        <v>0</v>
      </c>
      <c r="H287" s="1"/>
      <c r="I287" s="1"/>
      <c r="J287" s="1" cm="1">
        <f t="array" ref="J287">_xlfn.SWITCH($A$2,"average", AVERAGE(Instances!J287:Instances!J287),"median", MEDIAN(Instances!J287:Instances!J287),"min", MIN(Instances!J287:Instances!J287),"max", MAX(Instances!J287:Instances!J287),"diff", MAX(Instances!J287:Instances!J287)-MIN(Instances!J287:Instances!J287))</f>
        <v>0</v>
      </c>
      <c r="K287" s="1" cm="1">
        <f t="array" ref="K287">_xlfn.SWITCH($A$2,"average", AVERAGE(Instances!K287:Instances!K287),"median", MEDIAN(Instances!K287:Instances!K287),"min", MIN(Instances!K287:Instances!K287),"max", MAX(Instances!K287:Instances!K287),"diff", MAX(Instances!K287:Instances!K287)-MIN(Instances!K287:Instances!K287))</f>
        <v>0</v>
      </c>
      <c r="L287" s="1" cm="1">
        <f t="array" ref="L287">_xlfn.SWITCH($A$2,"average", AVERAGE(Instances!L287:Instances!L287),"median", MEDIAN(Instances!L287:Instances!L287),"min", MIN(Instances!L287:Instances!L287),"max", MAX(Instances!L287:Instances!L287),"diff", MAX(Instances!L287:Instances!L287)-MIN(Instances!L287:Instances!L287))</f>
        <v>0</v>
      </c>
      <c r="M287" s="1" cm="1">
        <f t="array" ref="M287">_xlfn.SWITCH($A$2,"average", AVERAGE(Instances!M287:Instances!M287),"median", MEDIAN(Instances!M287:Instances!M287),"min", MIN(Instances!M287:Instances!M287),"max", MAX(Instances!M287:Instances!M287),"diff", MAX(Instances!M287:Instances!M287)-MIN(Instances!M287:Instances!M287))</f>
        <v>0</v>
      </c>
      <c r="N287" s="1" cm="1">
        <f t="array" ref="N287">_xlfn.SWITCH($A$2,"average", AVERAGE(Instances!N287:Instances!N287),"median", MEDIAN(Instances!N287:Instances!N287),"min", MIN(Instances!N287:Instances!N287),"max", MAX(Instances!N287:Instances!N287),"diff", MAX(Instances!N287:Instances!N287)-MIN(Instances!N287:Instances!N287))</f>
        <v>0</v>
      </c>
      <c r="O287" s="1" cm="1">
        <f t="array" ref="O287">_xlfn.SWITCH($A$2,"average", AVERAGE(Instances!O287:Instances!O287),"median", MEDIAN(Instances!O287:Instances!O287),"min", MIN(Instances!O287:Instances!O287),"max", MAX(Instances!O287:Instances!O287),"diff", MAX(Instances!O287:Instances!O287)-MIN(Instances!O287:Instances!O287))</f>
        <v>0</v>
      </c>
      <c r="P287" s="1" cm="1">
        <f t="array" ref="P287">_xlfn.SWITCH($A$2,"average", AVERAGE(Instances!P287:Instances!P287),"median", MEDIAN(Instances!P287:Instances!P287),"min", MIN(Instances!P287:Instances!P287),"max", MAX(Instances!P287:Instances!P287),"diff", MAX(Instances!P287:Instances!P287)-MIN(Instances!P287:Instances!P287))</f>
        <v>0</v>
      </c>
      <c r="Q287" s="1" cm="1">
        <f t="array" ref="Q287">_xlfn.SWITCH($A$2,"average", AVERAGE(Instances!Q287:Instances!Q287),"median", MEDIAN(Instances!Q287:Instances!Q287),"min", MIN(Instances!Q287:Instances!Q287),"max", MAX(Instances!Q287:Instances!Q287),"diff", MAX(Instances!Q287:Instances!Q287)-MIN(Instances!Q287:Instances!Q287))</f>
        <v>0</v>
      </c>
      <c r="R287" s="1">
        <f>MIN($B287,$D287,$F287,$H287,$J287,$L287,$N287,$P287)</f>
        <v>0</v>
      </c>
      <c r="S287" s="1">
        <f>MIN($C287,$E287,$G287,$I287,$K287,$M287,$O287,$Q287)</f>
        <v>0</v>
      </c>
      <c r="T287" s="1">
        <f>MEDIAN($B287,$D287,$F287,$H287,$J287,$L287,$N287,$P287)</f>
        <v>0</v>
      </c>
      <c r="U287" s="1">
        <f>MEDIAN($C287,$E287,$G287,$I287,$K287,$M287,$O287,$Q287)</f>
        <v>0</v>
      </c>
      <c r="V287" s="1">
        <f>MAX($B287,$D287,$F287,$H287,$J287,$L287,$N287,$P287)</f>
        <v>0</v>
      </c>
      <c r="W287" s="1">
        <f>MAX($C287,$E287,$G287,$I287,$K287,$M287,$O287,$Q287)</f>
        <v>0</v>
      </c>
    </row>
    <row r="288" spans="1:23">
      <c r="A288" s="1" t="s">
        <v>17</v>
      </c>
      <c r="B288" s="1"/>
      <c r="C288" s="1"/>
      <c r="D288" s="1" cm="1">
        <f t="array" ref="D288">_xlfn.SWITCH($A$2,"average", AVERAGE(Instances!D288:Instances!D288),"median", MEDIAN(Instances!D288:Instances!D288),"min", MIN(Instances!D288:Instances!D288),"max", MAX(Instances!D288:Instances!D288),"diff", MAX(Instances!D288:Instances!D288)-MIN(Instances!D288:Instances!D288))</f>
        <v>0</v>
      </c>
      <c r="E288" s="1" cm="1">
        <f t="array" ref="E288">_xlfn.SWITCH($A$2,"average", AVERAGE(Instances!E288:Instances!E288),"median", MEDIAN(Instances!E288:Instances!E288),"min", MIN(Instances!E288:Instances!E288),"max", MAX(Instances!E288:Instances!E288),"diff", MAX(Instances!E288:Instances!E288)-MIN(Instances!E288:Instances!E288))</f>
        <v>0</v>
      </c>
      <c r="F288" s="1" cm="1">
        <f t="array" ref="F288">_xlfn.SWITCH($A$2,"average", AVERAGE(Instances!F288:Instances!F288),"median", MEDIAN(Instances!F288:Instances!F288),"min", MIN(Instances!F288:Instances!F288),"max", MAX(Instances!F288:Instances!F288),"diff", MAX(Instances!F288:Instances!F288)-MIN(Instances!F288:Instances!F288))</f>
        <v>0</v>
      </c>
      <c r="G288" s="1" cm="1">
        <f t="array" ref="G288">_xlfn.SWITCH($A$2,"average", AVERAGE(Instances!G288:Instances!G288),"median", MEDIAN(Instances!G288:Instances!G288),"min", MIN(Instances!G288:Instances!G288),"max", MAX(Instances!G288:Instances!G288),"diff", MAX(Instances!G288:Instances!G288)-MIN(Instances!G288:Instances!G288))</f>
        <v>0</v>
      </c>
      <c r="H288" s="1"/>
      <c r="I288" s="1"/>
      <c r="J288" s="1" cm="1">
        <f t="array" ref="J288">_xlfn.SWITCH($A$2,"average", AVERAGE(Instances!J288:Instances!J288),"median", MEDIAN(Instances!J288:Instances!J288),"min", MIN(Instances!J288:Instances!J288),"max", MAX(Instances!J288:Instances!J288),"diff", MAX(Instances!J288:Instances!J288)-MIN(Instances!J288:Instances!J288))</f>
        <v>0</v>
      </c>
      <c r="K288" s="1" cm="1">
        <f t="array" ref="K288">_xlfn.SWITCH($A$2,"average", AVERAGE(Instances!K288:Instances!K288),"median", MEDIAN(Instances!K288:Instances!K288),"min", MIN(Instances!K288:Instances!K288),"max", MAX(Instances!K288:Instances!K288),"diff", MAX(Instances!K288:Instances!K288)-MIN(Instances!K288:Instances!K288))</f>
        <v>0</v>
      </c>
      <c r="L288" s="1" cm="1">
        <f t="array" ref="L288">_xlfn.SWITCH($A$2,"average", AVERAGE(Instances!L288:Instances!L288),"median", MEDIAN(Instances!L288:Instances!L288),"min", MIN(Instances!L288:Instances!L288),"max", MAX(Instances!L288:Instances!L288),"diff", MAX(Instances!L288:Instances!L288)-MIN(Instances!L288:Instances!L288))</f>
        <v>0</v>
      </c>
      <c r="M288" s="1" cm="1">
        <f t="array" ref="M288">_xlfn.SWITCH($A$2,"average", AVERAGE(Instances!M288:Instances!M288),"median", MEDIAN(Instances!M288:Instances!M288),"min", MIN(Instances!M288:Instances!M288),"max", MAX(Instances!M288:Instances!M288),"diff", MAX(Instances!M288:Instances!M288)-MIN(Instances!M288:Instances!M288))</f>
        <v>0</v>
      </c>
      <c r="N288" s="1" cm="1">
        <f t="array" ref="N288">_xlfn.SWITCH($A$2,"average", AVERAGE(Instances!N288:Instances!N288),"median", MEDIAN(Instances!N288:Instances!N288),"min", MIN(Instances!N288:Instances!N288),"max", MAX(Instances!N288:Instances!N288),"diff", MAX(Instances!N288:Instances!N288)-MIN(Instances!N288:Instances!N288))</f>
        <v>0</v>
      </c>
      <c r="O288" s="1" cm="1">
        <f t="array" ref="O288">_xlfn.SWITCH($A$2,"average", AVERAGE(Instances!O288:Instances!O288),"median", MEDIAN(Instances!O288:Instances!O288),"min", MIN(Instances!O288:Instances!O288),"max", MAX(Instances!O288:Instances!O288),"diff", MAX(Instances!O288:Instances!O288)-MIN(Instances!O288:Instances!O288))</f>
        <v>0</v>
      </c>
      <c r="P288" s="1" cm="1">
        <f t="array" ref="P288">_xlfn.SWITCH($A$2,"average", AVERAGE(Instances!P288:Instances!P288),"median", MEDIAN(Instances!P288:Instances!P288),"min", MIN(Instances!P288:Instances!P288),"max", MAX(Instances!P288:Instances!P288),"diff", MAX(Instances!P288:Instances!P288)-MIN(Instances!P288:Instances!P288))</f>
        <v>0</v>
      </c>
      <c r="Q288" s="1" cm="1">
        <f t="array" ref="Q288">_xlfn.SWITCH($A$2,"average", AVERAGE(Instances!Q288:Instances!Q288),"median", MEDIAN(Instances!Q288:Instances!Q288),"min", MIN(Instances!Q288:Instances!Q288),"max", MAX(Instances!Q288:Instances!Q288),"diff", MAX(Instances!Q288:Instances!Q288)-MIN(Instances!Q288:Instances!Q288))</f>
        <v>0</v>
      </c>
      <c r="R288" s="1">
        <f>MIN($B288,$D288,$F288,$H288,$J288,$L288,$N288,$P288)</f>
        <v>0</v>
      </c>
      <c r="S288" s="1">
        <f>MIN($C288,$E288,$G288,$I288,$K288,$M288,$O288,$Q288)</f>
        <v>0</v>
      </c>
      <c r="T288" s="1">
        <f>MEDIAN($B288,$D288,$F288,$H288,$J288,$L288,$N288,$P288)</f>
        <v>0</v>
      </c>
      <c r="U288" s="1">
        <f>MEDIAN($C288,$E288,$G288,$I288,$K288,$M288,$O288,$Q288)</f>
        <v>0</v>
      </c>
      <c r="V288" s="1">
        <f>MAX($B288,$D288,$F288,$H288,$J288,$L288,$N288,$P288)</f>
        <v>0</v>
      </c>
      <c r="W288" s="1">
        <f>MAX($C288,$E288,$G288,$I288,$K288,$M288,$O288,$Q288)</f>
        <v>0</v>
      </c>
    </row>
    <row r="289" spans="1:23">
      <c r="A289" s="1" t="s">
        <v>18</v>
      </c>
      <c r="B289" s="1"/>
      <c r="C289" s="1"/>
      <c r="D289" s="1" cm="1">
        <f t="array" ref="D289">_xlfn.SWITCH($A$2,"average", AVERAGE(Instances!D289:Instances!D289),"median", MEDIAN(Instances!D289:Instances!D289),"min", MIN(Instances!D289:Instances!D289),"max", MAX(Instances!D289:Instances!D289),"diff", MAX(Instances!D289:Instances!D289)-MIN(Instances!D289:Instances!D289))</f>
        <v>0</v>
      </c>
      <c r="E289" s="1" cm="1">
        <f t="array" ref="E289">_xlfn.SWITCH($A$2,"average", AVERAGE(Instances!E289:Instances!E289),"median", MEDIAN(Instances!E289:Instances!E289),"min", MIN(Instances!E289:Instances!E289),"max", MAX(Instances!E289:Instances!E289),"diff", MAX(Instances!E289:Instances!E289)-MIN(Instances!E289:Instances!E289))</f>
        <v>0</v>
      </c>
      <c r="F289" s="1" cm="1">
        <f t="array" ref="F289">_xlfn.SWITCH($A$2,"average", AVERAGE(Instances!F289:Instances!F289),"median", MEDIAN(Instances!F289:Instances!F289),"min", MIN(Instances!F289:Instances!F289),"max", MAX(Instances!F289:Instances!F289),"diff", MAX(Instances!F289:Instances!F289)-MIN(Instances!F289:Instances!F289))</f>
        <v>0</v>
      </c>
      <c r="G289" s="1" cm="1">
        <f t="array" ref="G289">_xlfn.SWITCH($A$2,"average", AVERAGE(Instances!G289:Instances!G289),"median", MEDIAN(Instances!G289:Instances!G289),"min", MIN(Instances!G289:Instances!G289),"max", MAX(Instances!G289:Instances!G289),"diff", MAX(Instances!G289:Instances!G289)-MIN(Instances!G289:Instances!G289))</f>
        <v>0</v>
      </c>
      <c r="H289" s="1"/>
      <c r="I289" s="1"/>
      <c r="J289" s="1" cm="1">
        <f t="array" ref="J289">_xlfn.SWITCH($A$2,"average", AVERAGE(Instances!J289:Instances!J289),"median", MEDIAN(Instances!J289:Instances!J289),"min", MIN(Instances!J289:Instances!J289),"max", MAX(Instances!J289:Instances!J289),"diff", MAX(Instances!J289:Instances!J289)-MIN(Instances!J289:Instances!J289))</f>
        <v>0</v>
      </c>
      <c r="K289" s="1" cm="1">
        <f t="array" ref="K289">_xlfn.SWITCH($A$2,"average", AVERAGE(Instances!K289:Instances!K289),"median", MEDIAN(Instances!K289:Instances!K289),"min", MIN(Instances!K289:Instances!K289),"max", MAX(Instances!K289:Instances!K289),"diff", MAX(Instances!K289:Instances!K289)-MIN(Instances!K289:Instances!K289))</f>
        <v>0</v>
      </c>
      <c r="L289" s="1" cm="1">
        <f t="array" ref="L289">_xlfn.SWITCH($A$2,"average", AVERAGE(Instances!L289:Instances!L289),"median", MEDIAN(Instances!L289:Instances!L289),"min", MIN(Instances!L289:Instances!L289),"max", MAX(Instances!L289:Instances!L289),"diff", MAX(Instances!L289:Instances!L289)-MIN(Instances!L289:Instances!L289))</f>
        <v>0</v>
      </c>
      <c r="M289" s="1" cm="1">
        <f t="array" ref="M289">_xlfn.SWITCH($A$2,"average", AVERAGE(Instances!M289:Instances!M289),"median", MEDIAN(Instances!M289:Instances!M289),"min", MIN(Instances!M289:Instances!M289),"max", MAX(Instances!M289:Instances!M289),"diff", MAX(Instances!M289:Instances!M289)-MIN(Instances!M289:Instances!M289))</f>
        <v>0</v>
      </c>
      <c r="N289" s="1" cm="1">
        <f t="array" ref="N289">_xlfn.SWITCH($A$2,"average", AVERAGE(Instances!N289:Instances!N289),"median", MEDIAN(Instances!N289:Instances!N289),"min", MIN(Instances!N289:Instances!N289),"max", MAX(Instances!N289:Instances!N289),"diff", MAX(Instances!N289:Instances!N289)-MIN(Instances!N289:Instances!N289))</f>
        <v>0</v>
      </c>
      <c r="O289" s="1" cm="1">
        <f t="array" ref="O289">_xlfn.SWITCH($A$2,"average", AVERAGE(Instances!O289:Instances!O289),"median", MEDIAN(Instances!O289:Instances!O289),"min", MIN(Instances!O289:Instances!O289),"max", MAX(Instances!O289:Instances!O289),"diff", MAX(Instances!O289:Instances!O289)-MIN(Instances!O289:Instances!O289))</f>
        <v>0</v>
      </c>
      <c r="P289" s="1" cm="1">
        <f t="array" ref="P289">_xlfn.SWITCH($A$2,"average", AVERAGE(Instances!P289:Instances!P289),"median", MEDIAN(Instances!P289:Instances!P289),"min", MIN(Instances!P289:Instances!P289),"max", MAX(Instances!P289:Instances!P289),"diff", MAX(Instances!P289:Instances!P289)-MIN(Instances!P289:Instances!P289))</f>
        <v>0</v>
      </c>
      <c r="Q289" s="1" cm="1">
        <f t="array" ref="Q289">_xlfn.SWITCH($A$2,"average", AVERAGE(Instances!Q289:Instances!Q289),"median", MEDIAN(Instances!Q289:Instances!Q289),"min", MIN(Instances!Q289:Instances!Q289),"max", MAX(Instances!Q289:Instances!Q289),"diff", MAX(Instances!Q289:Instances!Q289)-MIN(Instances!Q289:Instances!Q289))</f>
        <v>0</v>
      </c>
      <c r="R289" s="1">
        <f>MIN($B289,$D289,$F289,$H289,$J289,$L289,$N289,$P289)</f>
        <v>0</v>
      </c>
      <c r="S289" s="1">
        <f>MIN($C289,$E289,$G289,$I289,$K289,$M289,$O289,$Q289)</f>
        <v>0</v>
      </c>
      <c r="T289" s="1">
        <f>MEDIAN($B289,$D289,$F289,$H289,$J289,$L289,$N289,$P289)</f>
        <v>0</v>
      </c>
      <c r="U289" s="1">
        <f>MEDIAN($C289,$E289,$G289,$I289,$K289,$M289,$O289,$Q289)</f>
        <v>0</v>
      </c>
      <c r="V289" s="1">
        <f>MAX($B289,$D289,$F289,$H289,$J289,$L289,$N289,$P289)</f>
        <v>0</v>
      </c>
      <c r="W289" s="1">
        <f>MAX($C289,$E289,$G289,$I289,$K289,$M289,$O289,$Q289)</f>
        <v>0</v>
      </c>
    </row>
    <row r="290" spans="1:23">
      <c r="A290" s="1" t="s">
        <v>19</v>
      </c>
      <c r="B290" s="1"/>
      <c r="C290" s="1"/>
      <c r="D290" s="1" cm="1">
        <f t="array" ref="D290">_xlfn.SWITCH($A$2,"average", AVERAGE(Instances!D290:Instances!D290),"median", MEDIAN(Instances!D290:Instances!D290),"min", MIN(Instances!D290:Instances!D290),"max", MAX(Instances!D290:Instances!D290),"diff", MAX(Instances!D290:Instances!D290)-MIN(Instances!D290:Instances!D290))</f>
        <v>0</v>
      </c>
      <c r="E290" s="1" cm="1">
        <f t="array" ref="E290">_xlfn.SWITCH($A$2,"average", AVERAGE(Instances!E290:Instances!E290),"median", MEDIAN(Instances!E290:Instances!E290),"min", MIN(Instances!E290:Instances!E290),"max", MAX(Instances!E290:Instances!E290),"diff", MAX(Instances!E290:Instances!E290)-MIN(Instances!E290:Instances!E290))</f>
        <v>0</v>
      </c>
      <c r="F290" s="1" cm="1">
        <f t="array" ref="F290">_xlfn.SWITCH($A$2,"average", AVERAGE(Instances!F290:Instances!F290),"median", MEDIAN(Instances!F290:Instances!F290),"min", MIN(Instances!F290:Instances!F290),"max", MAX(Instances!F290:Instances!F290),"diff", MAX(Instances!F290:Instances!F290)-MIN(Instances!F290:Instances!F290))</f>
        <v>0</v>
      </c>
      <c r="G290" s="1" cm="1">
        <f t="array" ref="G290">_xlfn.SWITCH($A$2,"average", AVERAGE(Instances!G290:Instances!G290),"median", MEDIAN(Instances!G290:Instances!G290),"min", MIN(Instances!G290:Instances!G290),"max", MAX(Instances!G290:Instances!G290),"diff", MAX(Instances!G290:Instances!G290)-MIN(Instances!G290:Instances!G290))</f>
        <v>0</v>
      </c>
      <c r="H290" s="1"/>
      <c r="I290" s="1"/>
      <c r="J290" s="1" cm="1">
        <f t="array" ref="J290">_xlfn.SWITCH($A$2,"average", AVERAGE(Instances!J290:Instances!J290),"median", MEDIAN(Instances!J290:Instances!J290),"min", MIN(Instances!J290:Instances!J290),"max", MAX(Instances!J290:Instances!J290),"diff", MAX(Instances!J290:Instances!J290)-MIN(Instances!J290:Instances!J290))</f>
        <v>0</v>
      </c>
      <c r="K290" s="1" cm="1">
        <f t="array" ref="K290">_xlfn.SWITCH($A$2,"average", AVERAGE(Instances!K290:Instances!K290),"median", MEDIAN(Instances!K290:Instances!K290),"min", MIN(Instances!K290:Instances!K290),"max", MAX(Instances!K290:Instances!K290),"diff", MAX(Instances!K290:Instances!K290)-MIN(Instances!K290:Instances!K290))</f>
        <v>0</v>
      </c>
      <c r="L290" s="1" cm="1">
        <f t="array" ref="L290">_xlfn.SWITCH($A$2,"average", AVERAGE(Instances!L290:Instances!L290),"median", MEDIAN(Instances!L290:Instances!L290),"min", MIN(Instances!L290:Instances!L290),"max", MAX(Instances!L290:Instances!L290),"diff", MAX(Instances!L290:Instances!L290)-MIN(Instances!L290:Instances!L290))</f>
        <v>0</v>
      </c>
      <c r="M290" s="1" cm="1">
        <f t="array" ref="M290">_xlfn.SWITCH($A$2,"average", AVERAGE(Instances!M290:Instances!M290),"median", MEDIAN(Instances!M290:Instances!M290),"min", MIN(Instances!M290:Instances!M290),"max", MAX(Instances!M290:Instances!M290),"diff", MAX(Instances!M290:Instances!M290)-MIN(Instances!M290:Instances!M290))</f>
        <v>0</v>
      </c>
      <c r="N290" s="1" cm="1">
        <f t="array" ref="N290">_xlfn.SWITCH($A$2,"average", AVERAGE(Instances!N290:Instances!N290),"median", MEDIAN(Instances!N290:Instances!N290),"min", MIN(Instances!N290:Instances!N290),"max", MAX(Instances!N290:Instances!N290),"diff", MAX(Instances!N290:Instances!N290)-MIN(Instances!N290:Instances!N290))</f>
        <v>0</v>
      </c>
      <c r="O290" s="1" cm="1">
        <f t="array" ref="O290">_xlfn.SWITCH($A$2,"average", AVERAGE(Instances!O290:Instances!O290),"median", MEDIAN(Instances!O290:Instances!O290),"min", MIN(Instances!O290:Instances!O290),"max", MAX(Instances!O290:Instances!O290),"diff", MAX(Instances!O290:Instances!O290)-MIN(Instances!O290:Instances!O290))</f>
        <v>0</v>
      </c>
      <c r="P290" s="1" cm="1">
        <f t="array" ref="P290">_xlfn.SWITCH($A$2,"average", AVERAGE(Instances!P290:Instances!P290),"median", MEDIAN(Instances!P290:Instances!P290),"min", MIN(Instances!P290:Instances!P290),"max", MAX(Instances!P290:Instances!P290),"diff", MAX(Instances!P290:Instances!P290)-MIN(Instances!P290:Instances!P290))</f>
        <v>0</v>
      </c>
      <c r="Q290" s="1" cm="1">
        <f t="array" ref="Q290">_xlfn.SWITCH($A$2,"average", AVERAGE(Instances!Q290:Instances!Q290),"median", MEDIAN(Instances!Q290:Instances!Q290),"min", MIN(Instances!Q290:Instances!Q290),"max", MAX(Instances!Q290:Instances!Q290),"diff", MAX(Instances!Q290:Instances!Q290)-MIN(Instances!Q290:Instances!Q290))</f>
        <v>0</v>
      </c>
      <c r="R290" s="1">
        <f>MIN($B290,$D290,$F290,$H290,$J290,$L290,$N290,$P290)</f>
        <v>0</v>
      </c>
      <c r="S290" s="1">
        <f>MIN($C290,$E290,$G290,$I290,$K290,$M290,$O290,$Q290)</f>
        <v>0</v>
      </c>
      <c r="T290" s="1">
        <f>MEDIAN($B290,$D290,$F290,$H290,$J290,$L290,$N290,$P290)</f>
        <v>0</v>
      </c>
      <c r="U290" s="1">
        <f>MEDIAN($C290,$E290,$G290,$I290,$K290,$M290,$O290,$Q290)</f>
        <v>0</v>
      </c>
      <c r="V290" s="1">
        <f>MAX($B290,$D290,$F290,$H290,$J290,$L290,$N290,$P290)</f>
        <v>0</v>
      </c>
      <c r="W290" s="1">
        <f>MAX($C290,$E290,$G290,$I290,$K290,$M290,$O290,$Q290)</f>
        <v>0</v>
      </c>
    </row>
    <row r="291" spans="1:23">
      <c r="A291" s="1" t="s">
        <v>20</v>
      </c>
      <c r="B291" s="1"/>
      <c r="C291" s="1"/>
      <c r="D291" s="1" cm="1">
        <f t="array" ref="D291">_xlfn.SWITCH($A$2,"average", AVERAGE(Instances!D291:Instances!D291),"median", MEDIAN(Instances!D291:Instances!D291),"min", MIN(Instances!D291:Instances!D291),"max", MAX(Instances!D291:Instances!D291),"diff", MAX(Instances!D291:Instances!D291)-MIN(Instances!D291:Instances!D291))</f>
        <v>0</v>
      </c>
      <c r="E291" s="1" cm="1">
        <f t="array" ref="E291">_xlfn.SWITCH($A$2,"average", AVERAGE(Instances!E291:Instances!E291),"median", MEDIAN(Instances!E291:Instances!E291),"min", MIN(Instances!E291:Instances!E291),"max", MAX(Instances!E291:Instances!E291),"diff", MAX(Instances!E291:Instances!E291)-MIN(Instances!E291:Instances!E291))</f>
        <v>0</v>
      </c>
      <c r="F291" s="1" cm="1">
        <f t="array" ref="F291">_xlfn.SWITCH($A$2,"average", AVERAGE(Instances!F291:Instances!F291),"median", MEDIAN(Instances!F291:Instances!F291),"min", MIN(Instances!F291:Instances!F291),"max", MAX(Instances!F291:Instances!F291),"diff", MAX(Instances!F291:Instances!F291)-MIN(Instances!F291:Instances!F291))</f>
        <v>0</v>
      </c>
      <c r="G291" s="1" cm="1">
        <f t="array" ref="G291">_xlfn.SWITCH($A$2,"average", AVERAGE(Instances!G291:Instances!G291),"median", MEDIAN(Instances!G291:Instances!G291),"min", MIN(Instances!G291:Instances!G291),"max", MAX(Instances!G291:Instances!G291),"diff", MAX(Instances!G291:Instances!G291)-MIN(Instances!G291:Instances!G291))</f>
        <v>0</v>
      </c>
      <c r="H291" s="1"/>
      <c r="I291" s="1"/>
      <c r="J291" s="1" cm="1">
        <f t="array" ref="J291">_xlfn.SWITCH($A$2,"average", AVERAGE(Instances!J291:Instances!J291),"median", MEDIAN(Instances!J291:Instances!J291),"min", MIN(Instances!J291:Instances!J291),"max", MAX(Instances!J291:Instances!J291),"diff", MAX(Instances!J291:Instances!J291)-MIN(Instances!J291:Instances!J291))</f>
        <v>0</v>
      </c>
      <c r="K291" s="1" cm="1">
        <f t="array" ref="K291">_xlfn.SWITCH($A$2,"average", AVERAGE(Instances!K291:Instances!K291),"median", MEDIAN(Instances!K291:Instances!K291),"min", MIN(Instances!K291:Instances!K291),"max", MAX(Instances!K291:Instances!K291),"diff", MAX(Instances!K291:Instances!K291)-MIN(Instances!K291:Instances!K291))</f>
        <v>0</v>
      </c>
      <c r="L291" s="1" cm="1">
        <f t="array" ref="L291">_xlfn.SWITCH($A$2,"average", AVERAGE(Instances!L291:Instances!L291),"median", MEDIAN(Instances!L291:Instances!L291),"min", MIN(Instances!L291:Instances!L291),"max", MAX(Instances!L291:Instances!L291),"diff", MAX(Instances!L291:Instances!L291)-MIN(Instances!L291:Instances!L291))</f>
        <v>0</v>
      </c>
      <c r="M291" s="1" cm="1">
        <f t="array" ref="M291">_xlfn.SWITCH($A$2,"average", AVERAGE(Instances!M291:Instances!M291),"median", MEDIAN(Instances!M291:Instances!M291),"min", MIN(Instances!M291:Instances!M291),"max", MAX(Instances!M291:Instances!M291),"diff", MAX(Instances!M291:Instances!M291)-MIN(Instances!M291:Instances!M291))</f>
        <v>0</v>
      </c>
      <c r="N291" s="1" cm="1">
        <f t="array" ref="N291">_xlfn.SWITCH($A$2,"average", AVERAGE(Instances!N291:Instances!N291),"median", MEDIAN(Instances!N291:Instances!N291),"min", MIN(Instances!N291:Instances!N291),"max", MAX(Instances!N291:Instances!N291),"diff", MAX(Instances!N291:Instances!N291)-MIN(Instances!N291:Instances!N291))</f>
        <v>0</v>
      </c>
      <c r="O291" s="1" cm="1">
        <f t="array" ref="O291">_xlfn.SWITCH($A$2,"average", AVERAGE(Instances!O291:Instances!O291),"median", MEDIAN(Instances!O291:Instances!O291),"min", MIN(Instances!O291:Instances!O291),"max", MAX(Instances!O291:Instances!O291),"diff", MAX(Instances!O291:Instances!O291)-MIN(Instances!O291:Instances!O291))</f>
        <v>0</v>
      </c>
      <c r="P291" s="1" cm="1">
        <f t="array" ref="P291">_xlfn.SWITCH($A$2,"average", AVERAGE(Instances!P291:Instances!P291),"median", MEDIAN(Instances!P291:Instances!P291),"min", MIN(Instances!P291:Instances!P291),"max", MAX(Instances!P291:Instances!P291),"diff", MAX(Instances!P291:Instances!P291)-MIN(Instances!P291:Instances!P291))</f>
        <v>0</v>
      </c>
      <c r="Q291" s="1" cm="1">
        <f t="array" ref="Q291">_xlfn.SWITCH($A$2,"average", AVERAGE(Instances!Q291:Instances!Q291),"median", MEDIAN(Instances!Q291:Instances!Q291),"min", MIN(Instances!Q291:Instances!Q291),"max", MAX(Instances!Q291:Instances!Q291),"diff", MAX(Instances!Q291:Instances!Q291)-MIN(Instances!Q291:Instances!Q291))</f>
        <v>0</v>
      </c>
      <c r="R291" s="1">
        <f>MIN($B291,$D291,$F291,$H291,$J291,$L291,$N291,$P291)</f>
        <v>0</v>
      </c>
      <c r="S291" s="1">
        <f>MIN($C291,$E291,$G291,$I291,$K291,$M291,$O291,$Q291)</f>
        <v>0</v>
      </c>
      <c r="T291" s="1">
        <f>MEDIAN($B291,$D291,$F291,$H291,$J291,$L291,$N291,$P291)</f>
        <v>0</v>
      </c>
      <c r="U291" s="1">
        <f>MEDIAN($C291,$E291,$G291,$I291,$K291,$M291,$O291,$Q291)</f>
        <v>0</v>
      </c>
      <c r="V291" s="1">
        <f>MAX($B291,$D291,$F291,$H291,$J291,$L291,$N291,$P291)</f>
        <v>0</v>
      </c>
      <c r="W291" s="1">
        <f>MAX($C291,$E291,$G291,$I291,$K291,$M291,$O291,$Q291)</f>
        <v>0</v>
      </c>
    </row>
    <row r="292" spans="1:23">
      <c r="A292" s="1" t="s">
        <v>21</v>
      </c>
      <c r="B292" s="1"/>
      <c r="C292" s="1"/>
      <c r="D292" s="1" cm="1">
        <f t="array" ref="D292">_xlfn.SWITCH($A$2,"average", AVERAGE(Instances!D292:Instances!D292),"median", MEDIAN(Instances!D292:Instances!D292),"min", MIN(Instances!D292:Instances!D292),"max", MAX(Instances!D292:Instances!D292),"diff", MAX(Instances!D292:Instances!D292)-MIN(Instances!D292:Instances!D292))</f>
        <v>0</v>
      </c>
      <c r="E292" s="1" cm="1">
        <f t="array" ref="E292">_xlfn.SWITCH($A$2,"average", AVERAGE(Instances!E292:Instances!E292),"median", MEDIAN(Instances!E292:Instances!E292),"min", MIN(Instances!E292:Instances!E292),"max", MAX(Instances!E292:Instances!E292),"diff", MAX(Instances!E292:Instances!E292)-MIN(Instances!E292:Instances!E292))</f>
        <v>0</v>
      </c>
      <c r="F292" s="1" cm="1">
        <f t="array" ref="F292">_xlfn.SWITCH($A$2,"average", AVERAGE(Instances!F292:Instances!F292),"median", MEDIAN(Instances!F292:Instances!F292),"min", MIN(Instances!F292:Instances!F292),"max", MAX(Instances!F292:Instances!F292),"diff", MAX(Instances!F292:Instances!F292)-MIN(Instances!F292:Instances!F292))</f>
        <v>0</v>
      </c>
      <c r="G292" s="1" cm="1">
        <f t="array" ref="G292">_xlfn.SWITCH($A$2,"average", AVERAGE(Instances!G292:Instances!G292),"median", MEDIAN(Instances!G292:Instances!G292),"min", MIN(Instances!G292:Instances!G292),"max", MAX(Instances!G292:Instances!G292),"diff", MAX(Instances!G292:Instances!G292)-MIN(Instances!G292:Instances!G292))</f>
        <v>0</v>
      </c>
      <c r="H292" s="1"/>
      <c r="I292" s="1"/>
      <c r="J292" s="1" cm="1">
        <f t="array" ref="J292">_xlfn.SWITCH($A$2,"average", AVERAGE(Instances!J292:Instances!J292),"median", MEDIAN(Instances!J292:Instances!J292),"min", MIN(Instances!J292:Instances!J292),"max", MAX(Instances!J292:Instances!J292),"diff", MAX(Instances!J292:Instances!J292)-MIN(Instances!J292:Instances!J292))</f>
        <v>0</v>
      </c>
      <c r="K292" s="1" cm="1">
        <f t="array" ref="K292">_xlfn.SWITCH($A$2,"average", AVERAGE(Instances!K292:Instances!K292),"median", MEDIAN(Instances!K292:Instances!K292),"min", MIN(Instances!K292:Instances!K292),"max", MAX(Instances!K292:Instances!K292),"diff", MAX(Instances!K292:Instances!K292)-MIN(Instances!K292:Instances!K292))</f>
        <v>0</v>
      </c>
      <c r="L292" s="1" cm="1">
        <f t="array" ref="L292">_xlfn.SWITCH($A$2,"average", AVERAGE(Instances!L292:Instances!L292),"median", MEDIAN(Instances!L292:Instances!L292),"min", MIN(Instances!L292:Instances!L292),"max", MAX(Instances!L292:Instances!L292),"diff", MAX(Instances!L292:Instances!L292)-MIN(Instances!L292:Instances!L292))</f>
        <v>0</v>
      </c>
      <c r="M292" s="1" cm="1">
        <f t="array" ref="M292">_xlfn.SWITCH($A$2,"average", AVERAGE(Instances!M292:Instances!M292),"median", MEDIAN(Instances!M292:Instances!M292),"min", MIN(Instances!M292:Instances!M292),"max", MAX(Instances!M292:Instances!M292),"diff", MAX(Instances!M292:Instances!M292)-MIN(Instances!M292:Instances!M292))</f>
        <v>0</v>
      </c>
      <c r="N292" s="1" cm="1">
        <f t="array" ref="N292">_xlfn.SWITCH($A$2,"average", AVERAGE(Instances!N292:Instances!N292),"median", MEDIAN(Instances!N292:Instances!N292),"min", MIN(Instances!N292:Instances!N292),"max", MAX(Instances!N292:Instances!N292),"diff", MAX(Instances!N292:Instances!N292)-MIN(Instances!N292:Instances!N292))</f>
        <v>0</v>
      </c>
      <c r="O292" s="1" cm="1">
        <f t="array" ref="O292">_xlfn.SWITCH($A$2,"average", AVERAGE(Instances!O292:Instances!O292),"median", MEDIAN(Instances!O292:Instances!O292),"min", MIN(Instances!O292:Instances!O292),"max", MAX(Instances!O292:Instances!O292),"diff", MAX(Instances!O292:Instances!O292)-MIN(Instances!O292:Instances!O292))</f>
        <v>0</v>
      </c>
      <c r="P292" s="1" cm="1">
        <f t="array" ref="P292">_xlfn.SWITCH($A$2,"average", AVERAGE(Instances!P292:Instances!P292),"median", MEDIAN(Instances!P292:Instances!P292),"min", MIN(Instances!P292:Instances!P292),"max", MAX(Instances!P292:Instances!P292),"diff", MAX(Instances!P292:Instances!P292)-MIN(Instances!P292:Instances!P292))</f>
        <v>0</v>
      </c>
      <c r="Q292" s="1" cm="1">
        <f t="array" ref="Q292">_xlfn.SWITCH($A$2,"average", AVERAGE(Instances!Q292:Instances!Q292),"median", MEDIAN(Instances!Q292:Instances!Q292),"min", MIN(Instances!Q292:Instances!Q292),"max", MAX(Instances!Q292:Instances!Q292),"diff", MAX(Instances!Q292:Instances!Q292)-MIN(Instances!Q292:Instances!Q292))</f>
        <v>0</v>
      </c>
      <c r="R292" s="1">
        <f>MIN($B292,$D292,$F292,$H292,$J292,$L292,$N292,$P292)</f>
        <v>0</v>
      </c>
      <c r="S292" s="1">
        <f>MIN($C292,$E292,$G292,$I292,$K292,$M292,$O292,$Q292)</f>
        <v>0</v>
      </c>
      <c r="T292" s="1">
        <f>MEDIAN($B292,$D292,$F292,$H292,$J292,$L292,$N292,$P292)</f>
        <v>0</v>
      </c>
      <c r="U292" s="1">
        <f>MEDIAN($C292,$E292,$G292,$I292,$K292,$M292,$O292,$Q292)</f>
        <v>0</v>
      </c>
      <c r="V292" s="1">
        <f>MAX($B292,$D292,$F292,$H292,$J292,$L292,$N292,$P292)</f>
        <v>0</v>
      </c>
      <c r="W292" s="1">
        <f>MAX($C292,$E292,$G292,$I292,$K292,$M292,$O292,$Q292)</f>
        <v>0</v>
      </c>
    </row>
    <row r="293" spans="1:23">
      <c r="A293" s="1" t="s">
        <v>22</v>
      </c>
      <c r="B293" s="1"/>
      <c r="C293" s="1"/>
      <c r="D293" s="1" cm="1">
        <f t="array" ref="D293">_xlfn.SWITCH($A$2,"average", AVERAGE(Instances!D293:Instances!D293),"median", MEDIAN(Instances!D293:Instances!D293),"min", MIN(Instances!D293:Instances!D293),"max", MAX(Instances!D293:Instances!D293),"diff", MAX(Instances!D293:Instances!D293)-MIN(Instances!D293:Instances!D293))</f>
        <v>0</v>
      </c>
      <c r="E293" s="1" cm="1">
        <f t="array" ref="E293">_xlfn.SWITCH($A$2,"average", AVERAGE(Instances!E293:Instances!E293),"median", MEDIAN(Instances!E293:Instances!E293),"min", MIN(Instances!E293:Instances!E293),"max", MAX(Instances!E293:Instances!E293),"diff", MAX(Instances!E293:Instances!E293)-MIN(Instances!E293:Instances!E293))</f>
        <v>0</v>
      </c>
      <c r="F293" s="1" cm="1">
        <f t="array" ref="F293">_xlfn.SWITCH($A$2,"average", AVERAGE(Instances!F293:Instances!F293),"median", MEDIAN(Instances!F293:Instances!F293),"min", MIN(Instances!F293:Instances!F293),"max", MAX(Instances!F293:Instances!F293),"diff", MAX(Instances!F293:Instances!F293)-MIN(Instances!F293:Instances!F293))</f>
        <v>0</v>
      </c>
      <c r="G293" s="1" cm="1">
        <f t="array" ref="G293">_xlfn.SWITCH($A$2,"average", AVERAGE(Instances!G293:Instances!G293),"median", MEDIAN(Instances!G293:Instances!G293),"min", MIN(Instances!G293:Instances!G293),"max", MAX(Instances!G293:Instances!G293),"diff", MAX(Instances!G293:Instances!G293)-MIN(Instances!G293:Instances!G293))</f>
        <v>0</v>
      </c>
      <c r="H293" s="1"/>
      <c r="I293" s="1"/>
      <c r="J293" s="1" cm="1">
        <f t="array" ref="J293">_xlfn.SWITCH($A$2,"average", AVERAGE(Instances!J293:Instances!J293),"median", MEDIAN(Instances!J293:Instances!J293),"min", MIN(Instances!J293:Instances!J293),"max", MAX(Instances!J293:Instances!J293),"diff", MAX(Instances!J293:Instances!J293)-MIN(Instances!J293:Instances!J293))</f>
        <v>0</v>
      </c>
      <c r="K293" s="1" cm="1">
        <f t="array" ref="K293">_xlfn.SWITCH($A$2,"average", AVERAGE(Instances!K293:Instances!K293),"median", MEDIAN(Instances!K293:Instances!K293),"min", MIN(Instances!K293:Instances!K293),"max", MAX(Instances!K293:Instances!K293),"diff", MAX(Instances!K293:Instances!K293)-MIN(Instances!K293:Instances!K293))</f>
        <v>0</v>
      </c>
      <c r="L293" s="1" cm="1">
        <f t="array" ref="L293">_xlfn.SWITCH($A$2,"average", AVERAGE(Instances!L293:Instances!L293),"median", MEDIAN(Instances!L293:Instances!L293),"min", MIN(Instances!L293:Instances!L293),"max", MAX(Instances!L293:Instances!L293),"diff", MAX(Instances!L293:Instances!L293)-MIN(Instances!L293:Instances!L293))</f>
        <v>0</v>
      </c>
      <c r="M293" s="1" cm="1">
        <f t="array" ref="M293">_xlfn.SWITCH($A$2,"average", AVERAGE(Instances!M293:Instances!M293),"median", MEDIAN(Instances!M293:Instances!M293),"min", MIN(Instances!M293:Instances!M293),"max", MAX(Instances!M293:Instances!M293),"diff", MAX(Instances!M293:Instances!M293)-MIN(Instances!M293:Instances!M293))</f>
        <v>0</v>
      </c>
      <c r="N293" s="1" cm="1">
        <f t="array" ref="N293">_xlfn.SWITCH($A$2,"average", AVERAGE(Instances!N293:Instances!N293),"median", MEDIAN(Instances!N293:Instances!N293),"min", MIN(Instances!N293:Instances!N293),"max", MAX(Instances!N293:Instances!N293),"diff", MAX(Instances!N293:Instances!N293)-MIN(Instances!N293:Instances!N293))</f>
        <v>0</v>
      </c>
      <c r="O293" s="1" cm="1">
        <f t="array" ref="O293">_xlfn.SWITCH($A$2,"average", AVERAGE(Instances!O293:Instances!O293),"median", MEDIAN(Instances!O293:Instances!O293),"min", MIN(Instances!O293:Instances!O293),"max", MAX(Instances!O293:Instances!O293),"diff", MAX(Instances!O293:Instances!O293)-MIN(Instances!O293:Instances!O293))</f>
        <v>0</v>
      </c>
      <c r="P293" s="1" cm="1">
        <f t="array" ref="P293">_xlfn.SWITCH($A$2,"average", AVERAGE(Instances!P293:Instances!P293),"median", MEDIAN(Instances!P293:Instances!P293),"min", MIN(Instances!P293:Instances!P293),"max", MAX(Instances!P293:Instances!P293),"diff", MAX(Instances!P293:Instances!P293)-MIN(Instances!P293:Instances!P293))</f>
        <v>0</v>
      </c>
      <c r="Q293" s="1" cm="1">
        <f t="array" ref="Q293">_xlfn.SWITCH($A$2,"average", AVERAGE(Instances!Q293:Instances!Q293),"median", MEDIAN(Instances!Q293:Instances!Q293),"min", MIN(Instances!Q293:Instances!Q293),"max", MAX(Instances!Q293:Instances!Q293),"diff", MAX(Instances!Q293:Instances!Q293)-MIN(Instances!Q293:Instances!Q293))</f>
        <v>0</v>
      </c>
      <c r="R293" s="1">
        <f>MIN($B293,$D293,$F293,$H293,$J293,$L293,$N293,$P293)</f>
        <v>0</v>
      </c>
      <c r="S293" s="1">
        <f>MIN($C293,$E293,$G293,$I293,$K293,$M293,$O293,$Q293)</f>
        <v>0</v>
      </c>
      <c r="T293" s="1">
        <f>MEDIAN($B293,$D293,$F293,$H293,$J293,$L293,$N293,$P293)</f>
        <v>0</v>
      </c>
      <c r="U293" s="1">
        <f>MEDIAN($C293,$E293,$G293,$I293,$K293,$M293,$O293,$Q293)</f>
        <v>0</v>
      </c>
      <c r="V293" s="1">
        <f>MAX($B293,$D293,$F293,$H293,$J293,$L293,$N293,$P293)</f>
        <v>0</v>
      </c>
      <c r="W293" s="1">
        <f>MAX($C293,$E293,$G293,$I293,$K293,$M293,$O293,$Q293)</f>
        <v>0</v>
      </c>
    </row>
    <row r="294" spans="1:23">
      <c r="A294" s="1" t="s">
        <v>23</v>
      </c>
      <c r="B294" s="1"/>
      <c r="C294" s="1"/>
      <c r="D294" s="1" cm="1">
        <f t="array" ref="D294">_xlfn.SWITCH($A$2,"average", AVERAGE(Instances!D294:Instances!D294),"median", MEDIAN(Instances!D294:Instances!D294),"min", MIN(Instances!D294:Instances!D294),"max", MAX(Instances!D294:Instances!D294),"diff", MAX(Instances!D294:Instances!D294)-MIN(Instances!D294:Instances!D294))</f>
        <v>0</v>
      </c>
      <c r="E294" s="1" cm="1">
        <f t="array" ref="E294">_xlfn.SWITCH($A$2,"average", AVERAGE(Instances!E294:Instances!E294),"median", MEDIAN(Instances!E294:Instances!E294),"min", MIN(Instances!E294:Instances!E294),"max", MAX(Instances!E294:Instances!E294),"diff", MAX(Instances!E294:Instances!E294)-MIN(Instances!E294:Instances!E294))</f>
        <v>0</v>
      </c>
      <c r="F294" s="1" cm="1">
        <f t="array" ref="F294">_xlfn.SWITCH($A$2,"average", AVERAGE(Instances!F294:Instances!F294),"median", MEDIAN(Instances!F294:Instances!F294),"min", MIN(Instances!F294:Instances!F294),"max", MAX(Instances!F294:Instances!F294),"diff", MAX(Instances!F294:Instances!F294)-MIN(Instances!F294:Instances!F294))</f>
        <v>0</v>
      </c>
      <c r="G294" s="1" cm="1">
        <f t="array" ref="G294">_xlfn.SWITCH($A$2,"average", AVERAGE(Instances!G294:Instances!G294),"median", MEDIAN(Instances!G294:Instances!G294),"min", MIN(Instances!G294:Instances!G294),"max", MAX(Instances!G294:Instances!G294),"diff", MAX(Instances!G294:Instances!G294)-MIN(Instances!G294:Instances!G294))</f>
        <v>0</v>
      </c>
      <c r="H294" s="1"/>
      <c r="I294" s="1"/>
      <c r="J294" s="1" cm="1">
        <f t="array" ref="J294">_xlfn.SWITCH($A$2,"average", AVERAGE(Instances!J294:Instances!J294),"median", MEDIAN(Instances!J294:Instances!J294),"min", MIN(Instances!J294:Instances!J294),"max", MAX(Instances!J294:Instances!J294),"diff", MAX(Instances!J294:Instances!J294)-MIN(Instances!J294:Instances!J294))</f>
        <v>0</v>
      </c>
      <c r="K294" s="1" cm="1">
        <f t="array" ref="K294">_xlfn.SWITCH($A$2,"average", AVERAGE(Instances!K294:Instances!K294),"median", MEDIAN(Instances!K294:Instances!K294),"min", MIN(Instances!K294:Instances!K294),"max", MAX(Instances!K294:Instances!K294),"diff", MAX(Instances!K294:Instances!K294)-MIN(Instances!K294:Instances!K294))</f>
        <v>0</v>
      </c>
      <c r="L294" s="1" cm="1">
        <f t="array" ref="L294">_xlfn.SWITCH($A$2,"average", AVERAGE(Instances!L294:Instances!L294),"median", MEDIAN(Instances!L294:Instances!L294),"min", MIN(Instances!L294:Instances!L294),"max", MAX(Instances!L294:Instances!L294),"diff", MAX(Instances!L294:Instances!L294)-MIN(Instances!L294:Instances!L294))</f>
        <v>0</v>
      </c>
      <c r="M294" s="1" cm="1">
        <f t="array" ref="M294">_xlfn.SWITCH($A$2,"average", AVERAGE(Instances!M294:Instances!M294),"median", MEDIAN(Instances!M294:Instances!M294),"min", MIN(Instances!M294:Instances!M294),"max", MAX(Instances!M294:Instances!M294),"diff", MAX(Instances!M294:Instances!M294)-MIN(Instances!M294:Instances!M294))</f>
        <v>0</v>
      </c>
      <c r="N294" s="1" cm="1">
        <f t="array" ref="N294">_xlfn.SWITCH($A$2,"average", AVERAGE(Instances!N294:Instances!N294),"median", MEDIAN(Instances!N294:Instances!N294),"min", MIN(Instances!N294:Instances!N294),"max", MAX(Instances!N294:Instances!N294),"diff", MAX(Instances!N294:Instances!N294)-MIN(Instances!N294:Instances!N294))</f>
        <v>0</v>
      </c>
      <c r="O294" s="1" cm="1">
        <f t="array" ref="O294">_xlfn.SWITCH($A$2,"average", AVERAGE(Instances!O294:Instances!O294),"median", MEDIAN(Instances!O294:Instances!O294),"min", MIN(Instances!O294:Instances!O294),"max", MAX(Instances!O294:Instances!O294),"diff", MAX(Instances!O294:Instances!O294)-MIN(Instances!O294:Instances!O294))</f>
        <v>0</v>
      </c>
      <c r="P294" s="1" cm="1">
        <f t="array" ref="P294">_xlfn.SWITCH($A$2,"average", AVERAGE(Instances!P294:Instances!P294),"median", MEDIAN(Instances!P294:Instances!P294),"min", MIN(Instances!P294:Instances!P294),"max", MAX(Instances!P294:Instances!P294),"diff", MAX(Instances!P294:Instances!P294)-MIN(Instances!P294:Instances!P294))</f>
        <v>0</v>
      </c>
      <c r="Q294" s="1" cm="1">
        <f t="array" ref="Q294">_xlfn.SWITCH($A$2,"average", AVERAGE(Instances!Q294:Instances!Q294),"median", MEDIAN(Instances!Q294:Instances!Q294),"min", MIN(Instances!Q294:Instances!Q294),"max", MAX(Instances!Q294:Instances!Q294),"diff", MAX(Instances!Q294:Instances!Q294)-MIN(Instances!Q294:Instances!Q294))</f>
        <v>0</v>
      </c>
      <c r="R294" s="1">
        <f>MIN($B294,$D294,$F294,$H294,$J294,$L294,$N294,$P294)</f>
        <v>0</v>
      </c>
      <c r="S294" s="1">
        <f>MIN($C294,$E294,$G294,$I294,$K294,$M294,$O294,$Q294)</f>
        <v>0</v>
      </c>
      <c r="T294" s="1">
        <f>MEDIAN($B294,$D294,$F294,$H294,$J294,$L294,$N294,$P294)</f>
        <v>0</v>
      </c>
      <c r="U294" s="1">
        <f>MEDIAN($C294,$E294,$G294,$I294,$K294,$M294,$O294,$Q294)</f>
        <v>0</v>
      </c>
      <c r="V294" s="1">
        <f>MAX($B294,$D294,$F294,$H294,$J294,$L294,$N294,$P294)</f>
        <v>0</v>
      </c>
      <c r="W294" s="1">
        <f>MAX($C294,$E294,$G294,$I294,$K294,$M294,$O294,$Q294)</f>
        <v>0</v>
      </c>
    </row>
    <row r="295" spans="1:23">
      <c r="A295" s="1" t="s">
        <v>24</v>
      </c>
      <c r="B295" s="1"/>
      <c r="C295" s="1"/>
      <c r="D295" s="1" cm="1">
        <f t="array" ref="D295">_xlfn.SWITCH($A$2,"average", AVERAGE(Instances!D295:Instances!D295),"median", MEDIAN(Instances!D295:Instances!D295),"min", MIN(Instances!D295:Instances!D295),"max", MAX(Instances!D295:Instances!D295),"diff", MAX(Instances!D295:Instances!D295)-MIN(Instances!D295:Instances!D295))</f>
        <v>0</v>
      </c>
      <c r="E295" s="1" cm="1">
        <f t="array" ref="E295">_xlfn.SWITCH($A$2,"average", AVERAGE(Instances!E295:Instances!E295),"median", MEDIAN(Instances!E295:Instances!E295),"min", MIN(Instances!E295:Instances!E295),"max", MAX(Instances!E295:Instances!E295),"diff", MAX(Instances!E295:Instances!E295)-MIN(Instances!E295:Instances!E295))</f>
        <v>0</v>
      </c>
      <c r="F295" s="1" cm="1">
        <f t="array" ref="F295">_xlfn.SWITCH($A$2,"average", AVERAGE(Instances!F295:Instances!F295),"median", MEDIAN(Instances!F295:Instances!F295),"min", MIN(Instances!F295:Instances!F295),"max", MAX(Instances!F295:Instances!F295),"diff", MAX(Instances!F295:Instances!F295)-MIN(Instances!F295:Instances!F295))</f>
        <v>0</v>
      </c>
      <c r="G295" s="1" cm="1">
        <f t="array" ref="G295">_xlfn.SWITCH($A$2,"average", AVERAGE(Instances!G295:Instances!G295),"median", MEDIAN(Instances!G295:Instances!G295),"min", MIN(Instances!G295:Instances!G295),"max", MAX(Instances!G295:Instances!G295),"diff", MAX(Instances!G295:Instances!G295)-MIN(Instances!G295:Instances!G295))</f>
        <v>0</v>
      </c>
      <c r="H295" s="1"/>
      <c r="I295" s="1"/>
      <c r="J295" s="1" cm="1">
        <f t="array" ref="J295">_xlfn.SWITCH($A$2,"average", AVERAGE(Instances!J295:Instances!J295),"median", MEDIAN(Instances!J295:Instances!J295),"min", MIN(Instances!J295:Instances!J295),"max", MAX(Instances!J295:Instances!J295),"diff", MAX(Instances!J295:Instances!J295)-MIN(Instances!J295:Instances!J295))</f>
        <v>0</v>
      </c>
      <c r="K295" s="1" cm="1">
        <f t="array" ref="K295">_xlfn.SWITCH($A$2,"average", AVERAGE(Instances!K295:Instances!K295),"median", MEDIAN(Instances!K295:Instances!K295),"min", MIN(Instances!K295:Instances!K295),"max", MAX(Instances!K295:Instances!K295),"diff", MAX(Instances!K295:Instances!K295)-MIN(Instances!K295:Instances!K295))</f>
        <v>0</v>
      </c>
      <c r="L295" s="1" cm="1">
        <f t="array" ref="L295">_xlfn.SWITCH($A$2,"average", AVERAGE(Instances!L295:Instances!L295),"median", MEDIAN(Instances!L295:Instances!L295),"min", MIN(Instances!L295:Instances!L295),"max", MAX(Instances!L295:Instances!L295),"diff", MAX(Instances!L295:Instances!L295)-MIN(Instances!L295:Instances!L295))</f>
        <v>0</v>
      </c>
      <c r="M295" s="1" cm="1">
        <f t="array" ref="M295">_xlfn.SWITCH($A$2,"average", AVERAGE(Instances!M295:Instances!M295),"median", MEDIAN(Instances!M295:Instances!M295),"min", MIN(Instances!M295:Instances!M295),"max", MAX(Instances!M295:Instances!M295),"diff", MAX(Instances!M295:Instances!M295)-MIN(Instances!M295:Instances!M295))</f>
        <v>0</v>
      </c>
      <c r="N295" s="1" cm="1">
        <f t="array" ref="N295">_xlfn.SWITCH($A$2,"average", AVERAGE(Instances!N295:Instances!N295),"median", MEDIAN(Instances!N295:Instances!N295),"min", MIN(Instances!N295:Instances!N295),"max", MAX(Instances!N295:Instances!N295),"diff", MAX(Instances!N295:Instances!N295)-MIN(Instances!N295:Instances!N295))</f>
        <v>0</v>
      </c>
      <c r="O295" s="1" cm="1">
        <f t="array" ref="O295">_xlfn.SWITCH($A$2,"average", AVERAGE(Instances!O295:Instances!O295),"median", MEDIAN(Instances!O295:Instances!O295),"min", MIN(Instances!O295:Instances!O295),"max", MAX(Instances!O295:Instances!O295),"diff", MAX(Instances!O295:Instances!O295)-MIN(Instances!O295:Instances!O295))</f>
        <v>0</v>
      </c>
      <c r="P295" s="1" cm="1">
        <f t="array" ref="P295">_xlfn.SWITCH($A$2,"average", AVERAGE(Instances!P295:Instances!P295),"median", MEDIAN(Instances!P295:Instances!P295),"min", MIN(Instances!P295:Instances!P295),"max", MAX(Instances!P295:Instances!P295),"diff", MAX(Instances!P295:Instances!P295)-MIN(Instances!P295:Instances!P295))</f>
        <v>0</v>
      </c>
      <c r="Q295" s="1" cm="1">
        <f t="array" ref="Q295">_xlfn.SWITCH($A$2,"average", AVERAGE(Instances!Q295:Instances!Q295),"median", MEDIAN(Instances!Q295:Instances!Q295),"min", MIN(Instances!Q295:Instances!Q295),"max", MAX(Instances!Q295:Instances!Q295),"diff", MAX(Instances!Q295:Instances!Q295)-MIN(Instances!Q295:Instances!Q295))</f>
        <v>0</v>
      </c>
      <c r="R295" s="1">
        <f>MIN($B295,$D295,$F295,$H295,$J295,$L295,$N295,$P295)</f>
        <v>0</v>
      </c>
      <c r="S295" s="1">
        <f>MIN($C295,$E295,$G295,$I295,$K295,$M295,$O295,$Q295)</f>
        <v>0</v>
      </c>
      <c r="T295" s="1">
        <f>MEDIAN($B295,$D295,$F295,$H295,$J295,$L295,$N295,$P295)</f>
        <v>0</v>
      </c>
      <c r="U295" s="1">
        <f>MEDIAN($C295,$E295,$G295,$I295,$K295,$M295,$O295,$Q295)</f>
        <v>0</v>
      </c>
      <c r="V295" s="1">
        <f>MAX($B295,$D295,$F295,$H295,$J295,$L295,$N295,$P295)</f>
        <v>0</v>
      </c>
      <c r="W295" s="1">
        <f>MAX($C295,$E295,$G295,$I295,$K295,$M295,$O295,$Q295)</f>
        <v>0</v>
      </c>
    </row>
    <row r="296" spans="1:23">
      <c r="A296" s="1" t="s">
        <v>25</v>
      </c>
      <c r="B296" s="1"/>
      <c r="C296" s="1"/>
      <c r="D296" s="1" cm="1">
        <f t="array" ref="D296">_xlfn.SWITCH($A$2,"average", AVERAGE(Instances!D296:Instances!D296),"median", MEDIAN(Instances!D296:Instances!D296),"min", MIN(Instances!D296:Instances!D296),"max", MAX(Instances!D296:Instances!D296),"diff", MAX(Instances!D296:Instances!D296)-MIN(Instances!D296:Instances!D296))</f>
        <v>0</v>
      </c>
      <c r="E296" s="1" cm="1">
        <f t="array" ref="E296">_xlfn.SWITCH($A$2,"average", AVERAGE(Instances!E296:Instances!E296),"median", MEDIAN(Instances!E296:Instances!E296),"min", MIN(Instances!E296:Instances!E296),"max", MAX(Instances!E296:Instances!E296),"diff", MAX(Instances!E296:Instances!E296)-MIN(Instances!E296:Instances!E296))</f>
        <v>0</v>
      </c>
      <c r="F296" s="1" cm="1">
        <f t="array" ref="F296">_xlfn.SWITCH($A$2,"average", AVERAGE(Instances!F296:Instances!F296),"median", MEDIAN(Instances!F296:Instances!F296),"min", MIN(Instances!F296:Instances!F296),"max", MAX(Instances!F296:Instances!F296),"diff", MAX(Instances!F296:Instances!F296)-MIN(Instances!F296:Instances!F296))</f>
        <v>0</v>
      </c>
      <c r="G296" s="1" cm="1">
        <f t="array" ref="G296">_xlfn.SWITCH($A$2,"average", AVERAGE(Instances!G296:Instances!G296),"median", MEDIAN(Instances!G296:Instances!G296),"min", MIN(Instances!G296:Instances!G296),"max", MAX(Instances!G296:Instances!G296),"diff", MAX(Instances!G296:Instances!G296)-MIN(Instances!G296:Instances!G296))</f>
        <v>0</v>
      </c>
      <c r="H296" s="1"/>
      <c r="I296" s="1"/>
      <c r="J296" s="1" cm="1">
        <f t="array" ref="J296">_xlfn.SWITCH($A$2,"average", AVERAGE(Instances!J296:Instances!J296),"median", MEDIAN(Instances!J296:Instances!J296),"min", MIN(Instances!J296:Instances!J296),"max", MAX(Instances!J296:Instances!J296),"diff", MAX(Instances!J296:Instances!J296)-MIN(Instances!J296:Instances!J296))</f>
        <v>0</v>
      </c>
      <c r="K296" s="1" cm="1">
        <f t="array" ref="K296">_xlfn.SWITCH($A$2,"average", AVERAGE(Instances!K296:Instances!K296),"median", MEDIAN(Instances!K296:Instances!K296),"min", MIN(Instances!K296:Instances!K296),"max", MAX(Instances!K296:Instances!K296),"diff", MAX(Instances!K296:Instances!K296)-MIN(Instances!K296:Instances!K296))</f>
        <v>0</v>
      </c>
      <c r="L296" s="1" cm="1">
        <f t="array" ref="L296">_xlfn.SWITCH($A$2,"average", AVERAGE(Instances!L296:Instances!L296),"median", MEDIAN(Instances!L296:Instances!L296),"min", MIN(Instances!L296:Instances!L296),"max", MAX(Instances!L296:Instances!L296),"diff", MAX(Instances!L296:Instances!L296)-MIN(Instances!L296:Instances!L296))</f>
        <v>0</v>
      </c>
      <c r="M296" s="1" cm="1">
        <f t="array" ref="M296">_xlfn.SWITCH($A$2,"average", AVERAGE(Instances!M296:Instances!M296),"median", MEDIAN(Instances!M296:Instances!M296),"min", MIN(Instances!M296:Instances!M296),"max", MAX(Instances!M296:Instances!M296),"diff", MAX(Instances!M296:Instances!M296)-MIN(Instances!M296:Instances!M296))</f>
        <v>0</v>
      </c>
      <c r="N296" s="1" cm="1">
        <f t="array" ref="N296">_xlfn.SWITCH($A$2,"average", AVERAGE(Instances!N296:Instances!N296),"median", MEDIAN(Instances!N296:Instances!N296),"min", MIN(Instances!N296:Instances!N296),"max", MAX(Instances!N296:Instances!N296),"diff", MAX(Instances!N296:Instances!N296)-MIN(Instances!N296:Instances!N296))</f>
        <v>0</v>
      </c>
      <c r="O296" s="1" cm="1">
        <f t="array" ref="O296">_xlfn.SWITCH($A$2,"average", AVERAGE(Instances!O296:Instances!O296),"median", MEDIAN(Instances!O296:Instances!O296),"min", MIN(Instances!O296:Instances!O296),"max", MAX(Instances!O296:Instances!O296),"diff", MAX(Instances!O296:Instances!O296)-MIN(Instances!O296:Instances!O296))</f>
        <v>0</v>
      </c>
      <c r="P296" s="1" cm="1">
        <f t="array" ref="P296">_xlfn.SWITCH($A$2,"average", AVERAGE(Instances!P296:Instances!P296),"median", MEDIAN(Instances!P296:Instances!P296),"min", MIN(Instances!P296:Instances!P296),"max", MAX(Instances!P296:Instances!P296),"diff", MAX(Instances!P296:Instances!P296)-MIN(Instances!P296:Instances!P296))</f>
        <v>0</v>
      </c>
      <c r="Q296" s="1" cm="1">
        <f t="array" ref="Q296">_xlfn.SWITCH($A$2,"average", AVERAGE(Instances!Q296:Instances!Q296),"median", MEDIAN(Instances!Q296:Instances!Q296),"min", MIN(Instances!Q296:Instances!Q296),"max", MAX(Instances!Q296:Instances!Q296),"diff", MAX(Instances!Q296:Instances!Q296)-MIN(Instances!Q296:Instances!Q296))</f>
        <v>0</v>
      </c>
      <c r="R296" s="1">
        <f>MIN($B296,$D296,$F296,$H296,$J296,$L296,$N296,$P296)</f>
        <v>0</v>
      </c>
      <c r="S296" s="1">
        <f>MIN($C296,$E296,$G296,$I296,$K296,$M296,$O296,$Q296)</f>
        <v>0</v>
      </c>
      <c r="T296" s="1">
        <f>MEDIAN($B296,$D296,$F296,$H296,$J296,$L296,$N296,$P296)</f>
        <v>0</v>
      </c>
      <c r="U296" s="1">
        <f>MEDIAN($C296,$E296,$G296,$I296,$K296,$M296,$O296,$Q296)</f>
        <v>0</v>
      </c>
      <c r="V296" s="1">
        <f>MAX($B296,$D296,$F296,$H296,$J296,$L296,$N296,$P296)</f>
        <v>0</v>
      </c>
      <c r="W296" s="1">
        <f>MAX($C296,$E296,$G296,$I296,$K296,$M296,$O296,$Q296)</f>
        <v>0</v>
      </c>
    </row>
    <row r="297" spans="1:23">
      <c r="A297" s="1" t="s">
        <v>26</v>
      </c>
      <c r="B297" s="1"/>
      <c r="C297" s="1"/>
      <c r="D297" s="1" cm="1">
        <f t="array" ref="D297">_xlfn.SWITCH($A$2,"average", AVERAGE(Instances!D297:Instances!D297),"median", MEDIAN(Instances!D297:Instances!D297),"min", MIN(Instances!D297:Instances!D297),"max", MAX(Instances!D297:Instances!D297),"diff", MAX(Instances!D297:Instances!D297)-MIN(Instances!D297:Instances!D297))</f>
        <v>0</v>
      </c>
      <c r="E297" s="1" cm="1">
        <f t="array" ref="E297">_xlfn.SWITCH($A$2,"average", AVERAGE(Instances!E297:Instances!E297),"median", MEDIAN(Instances!E297:Instances!E297),"min", MIN(Instances!E297:Instances!E297),"max", MAX(Instances!E297:Instances!E297),"diff", MAX(Instances!E297:Instances!E297)-MIN(Instances!E297:Instances!E297))</f>
        <v>0</v>
      </c>
      <c r="F297" s="1" cm="1">
        <f t="array" ref="F297">_xlfn.SWITCH($A$2,"average", AVERAGE(Instances!F297:Instances!F297),"median", MEDIAN(Instances!F297:Instances!F297),"min", MIN(Instances!F297:Instances!F297),"max", MAX(Instances!F297:Instances!F297),"diff", MAX(Instances!F297:Instances!F297)-MIN(Instances!F297:Instances!F297))</f>
        <v>0</v>
      </c>
      <c r="G297" s="1" cm="1">
        <f t="array" ref="G297">_xlfn.SWITCH($A$2,"average", AVERAGE(Instances!G297:Instances!G297),"median", MEDIAN(Instances!G297:Instances!G297),"min", MIN(Instances!G297:Instances!G297),"max", MAX(Instances!G297:Instances!G297),"diff", MAX(Instances!G297:Instances!G297)-MIN(Instances!G297:Instances!G297))</f>
        <v>0</v>
      </c>
      <c r="H297" s="1"/>
      <c r="I297" s="1"/>
      <c r="J297" s="1" cm="1">
        <f t="array" ref="J297">_xlfn.SWITCH($A$2,"average", AVERAGE(Instances!J297:Instances!J297),"median", MEDIAN(Instances!J297:Instances!J297),"min", MIN(Instances!J297:Instances!J297),"max", MAX(Instances!J297:Instances!J297),"diff", MAX(Instances!J297:Instances!J297)-MIN(Instances!J297:Instances!J297))</f>
        <v>0</v>
      </c>
      <c r="K297" s="1" cm="1">
        <f t="array" ref="K297">_xlfn.SWITCH($A$2,"average", AVERAGE(Instances!K297:Instances!K297),"median", MEDIAN(Instances!K297:Instances!K297),"min", MIN(Instances!K297:Instances!K297),"max", MAX(Instances!K297:Instances!K297),"diff", MAX(Instances!K297:Instances!K297)-MIN(Instances!K297:Instances!K297))</f>
        <v>0</v>
      </c>
      <c r="L297" s="1" cm="1">
        <f t="array" ref="L297">_xlfn.SWITCH($A$2,"average", AVERAGE(Instances!L297:Instances!L297),"median", MEDIAN(Instances!L297:Instances!L297),"min", MIN(Instances!L297:Instances!L297),"max", MAX(Instances!L297:Instances!L297),"diff", MAX(Instances!L297:Instances!L297)-MIN(Instances!L297:Instances!L297))</f>
        <v>0</v>
      </c>
      <c r="M297" s="1" cm="1">
        <f t="array" ref="M297">_xlfn.SWITCH($A$2,"average", AVERAGE(Instances!M297:Instances!M297),"median", MEDIAN(Instances!M297:Instances!M297),"min", MIN(Instances!M297:Instances!M297),"max", MAX(Instances!M297:Instances!M297),"diff", MAX(Instances!M297:Instances!M297)-MIN(Instances!M297:Instances!M297))</f>
        <v>0</v>
      </c>
      <c r="N297" s="1" cm="1">
        <f t="array" ref="N297">_xlfn.SWITCH($A$2,"average", AVERAGE(Instances!N297:Instances!N297),"median", MEDIAN(Instances!N297:Instances!N297),"min", MIN(Instances!N297:Instances!N297),"max", MAX(Instances!N297:Instances!N297),"diff", MAX(Instances!N297:Instances!N297)-MIN(Instances!N297:Instances!N297))</f>
        <v>0</v>
      </c>
      <c r="O297" s="1" cm="1">
        <f t="array" ref="O297">_xlfn.SWITCH($A$2,"average", AVERAGE(Instances!O297:Instances!O297),"median", MEDIAN(Instances!O297:Instances!O297),"min", MIN(Instances!O297:Instances!O297),"max", MAX(Instances!O297:Instances!O297),"diff", MAX(Instances!O297:Instances!O297)-MIN(Instances!O297:Instances!O297))</f>
        <v>0</v>
      </c>
      <c r="P297" s="1" cm="1">
        <f t="array" ref="P297">_xlfn.SWITCH($A$2,"average", AVERAGE(Instances!P297:Instances!P297),"median", MEDIAN(Instances!P297:Instances!P297),"min", MIN(Instances!P297:Instances!P297),"max", MAX(Instances!P297:Instances!P297),"diff", MAX(Instances!P297:Instances!P297)-MIN(Instances!P297:Instances!P297))</f>
        <v>0</v>
      </c>
      <c r="Q297" s="1" cm="1">
        <f t="array" ref="Q297">_xlfn.SWITCH($A$2,"average", AVERAGE(Instances!Q297:Instances!Q297),"median", MEDIAN(Instances!Q297:Instances!Q297),"min", MIN(Instances!Q297:Instances!Q297),"max", MAX(Instances!Q297:Instances!Q297),"diff", MAX(Instances!Q297:Instances!Q297)-MIN(Instances!Q297:Instances!Q297))</f>
        <v>0</v>
      </c>
      <c r="R297" s="1">
        <f>MIN($B297,$D297,$F297,$H297,$J297,$L297,$N297,$P297)</f>
        <v>0</v>
      </c>
      <c r="S297" s="1">
        <f>MIN($C297,$E297,$G297,$I297,$K297,$M297,$O297,$Q297)</f>
        <v>0</v>
      </c>
      <c r="T297" s="1">
        <f>MEDIAN($B297,$D297,$F297,$H297,$J297,$L297,$N297,$P297)</f>
        <v>0</v>
      </c>
      <c r="U297" s="1">
        <f>MEDIAN($C297,$E297,$G297,$I297,$K297,$M297,$O297,$Q297)</f>
        <v>0</v>
      </c>
      <c r="V297" s="1">
        <f>MAX($B297,$D297,$F297,$H297,$J297,$L297,$N297,$P297)</f>
        <v>0</v>
      </c>
      <c r="W297" s="1">
        <f>MAX($C297,$E297,$G297,$I297,$K297,$M297,$O297,$Q297)</f>
        <v>0</v>
      </c>
    </row>
    <row r="298" spans="1:23">
      <c r="A298" s="1" t="s">
        <v>27</v>
      </c>
      <c r="B298" s="1"/>
      <c r="C298" s="1"/>
      <c r="D298" s="1" cm="1">
        <f t="array" ref="D298">_xlfn.SWITCH($A$2,"average", AVERAGE(Instances!D298:Instances!D298),"median", MEDIAN(Instances!D298:Instances!D298),"min", MIN(Instances!D298:Instances!D298),"max", MAX(Instances!D298:Instances!D298),"diff", MAX(Instances!D298:Instances!D298)-MIN(Instances!D298:Instances!D298))</f>
        <v>0</v>
      </c>
      <c r="E298" s="1" cm="1">
        <f t="array" ref="E298">_xlfn.SWITCH($A$2,"average", AVERAGE(Instances!E298:Instances!E298),"median", MEDIAN(Instances!E298:Instances!E298),"min", MIN(Instances!E298:Instances!E298),"max", MAX(Instances!E298:Instances!E298),"diff", MAX(Instances!E298:Instances!E298)-MIN(Instances!E298:Instances!E298))</f>
        <v>0</v>
      </c>
      <c r="F298" s="1" cm="1">
        <f t="array" ref="F298">_xlfn.SWITCH($A$2,"average", AVERAGE(Instances!F298:Instances!F298),"median", MEDIAN(Instances!F298:Instances!F298),"min", MIN(Instances!F298:Instances!F298),"max", MAX(Instances!F298:Instances!F298),"diff", MAX(Instances!F298:Instances!F298)-MIN(Instances!F298:Instances!F298))</f>
        <v>0</v>
      </c>
      <c r="G298" s="1" cm="1">
        <f t="array" ref="G298">_xlfn.SWITCH($A$2,"average", AVERAGE(Instances!G298:Instances!G298),"median", MEDIAN(Instances!G298:Instances!G298),"min", MIN(Instances!G298:Instances!G298),"max", MAX(Instances!G298:Instances!G298),"diff", MAX(Instances!G298:Instances!G298)-MIN(Instances!G298:Instances!G298))</f>
        <v>0</v>
      </c>
      <c r="H298" s="1"/>
      <c r="I298" s="1"/>
      <c r="J298" s="1" cm="1">
        <f t="array" ref="J298">_xlfn.SWITCH($A$2,"average", AVERAGE(Instances!J298:Instances!J298),"median", MEDIAN(Instances!J298:Instances!J298),"min", MIN(Instances!J298:Instances!J298),"max", MAX(Instances!J298:Instances!J298),"diff", MAX(Instances!J298:Instances!J298)-MIN(Instances!J298:Instances!J298))</f>
        <v>0</v>
      </c>
      <c r="K298" s="1" cm="1">
        <f t="array" ref="K298">_xlfn.SWITCH($A$2,"average", AVERAGE(Instances!K298:Instances!K298),"median", MEDIAN(Instances!K298:Instances!K298),"min", MIN(Instances!K298:Instances!K298),"max", MAX(Instances!K298:Instances!K298),"diff", MAX(Instances!K298:Instances!K298)-MIN(Instances!K298:Instances!K298))</f>
        <v>0</v>
      </c>
      <c r="L298" s="1" cm="1">
        <f t="array" ref="L298">_xlfn.SWITCH($A$2,"average", AVERAGE(Instances!L298:Instances!L298),"median", MEDIAN(Instances!L298:Instances!L298),"min", MIN(Instances!L298:Instances!L298),"max", MAX(Instances!L298:Instances!L298),"diff", MAX(Instances!L298:Instances!L298)-MIN(Instances!L298:Instances!L298))</f>
        <v>0</v>
      </c>
      <c r="M298" s="1" cm="1">
        <f t="array" ref="M298">_xlfn.SWITCH($A$2,"average", AVERAGE(Instances!M298:Instances!M298),"median", MEDIAN(Instances!M298:Instances!M298),"min", MIN(Instances!M298:Instances!M298),"max", MAX(Instances!M298:Instances!M298),"diff", MAX(Instances!M298:Instances!M298)-MIN(Instances!M298:Instances!M298))</f>
        <v>0</v>
      </c>
      <c r="N298" s="1" cm="1">
        <f t="array" ref="N298">_xlfn.SWITCH($A$2,"average", AVERAGE(Instances!N298:Instances!N298),"median", MEDIAN(Instances!N298:Instances!N298),"min", MIN(Instances!N298:Instances!N298),"max", MAX(Instances!N298:Instances!N298),"diff", MAX(Instances!N298:Instances!N298)-MIN(Instances!N298:Instances!N298))</f>
        <v>0</v>
      </c>
      <c r="O298" s="1" cm="1">
        <f t="array" ref="O298">_xlfn.SWITCH($A$2,"average", AVERAGE(Instances!O298:Instances!O298),"median", MEDIAN(Instances!O298:Instances!O298),"min", MIN(Instances!O298:Instances!O298),"max", MAX(Instances!O298:Instances!O298),"diff", MAX(Instances!O298:Instances!O298)-MIN(Instances!O298:Instances!O298))</f>
        <v>0</v>
      </c>
      <c r="P298" s="1" cm="1">
        <f t="array" ref="P298">_xlfn.SWITCH($A$2,"average", AVERAGE(Instances!P298:Instances!P298),"median", MEDIAN(Instances!P298:Instances!P298),"min", MIN(Instances!P298:Instances!P298),"max", MAX(Instances!P298:Instances!P298),"diff", MAX(Instances!P298:Instances!P298)-MIN(Instances!P298:Instances!P298))</f>
        <v>0</v>
      </c>
      <c r="Q298" s="1" cm="1">
        <f t="array" ref="Q298">_xlfn.SWITCH($A$2,"average", AVERAGE(Instances!Q298:Instances!Q298),"median", MEDIAN(Instances!Q298:Instances!Q298),"min", MIN(Instances!Q298:Instances!Q298),"max", MAX(Instances!Q298:Instances!Q298),"diff", MAX(Instances!Q298:Instances!Q298)-MIN(Instances!Q298:Instances!Q298))</f>
        <v>0</v>
      </c>
      <c r="R298" s="1">
        <f>MIN($B298,$D298,$F298,$H298,$J298,$L298,$N298,$P298)</f>
        <v>0</v>
      </c>
      <c r="S298" s="1">
        <f>MIN($C298,$E298,$G298,$I298,$K298,$M298,$O298,$Q298)</f>
        <v>0</v>
      </c>
      <c r="T298" s="1">
        <f>MEDIAN($B298,$D298,$F298,$H298,$J298,$L298,$N298,$P298)</f>
        <v>0</v>
      </c>
      <c r="U298" s="1">
        <f>MEDIAN($C298,$E298,$G298,$I298,$K298,$M298,$O298,$Q298)</f>
        <v>0</v>
      </c>
      <c r="V298" s="1">
        <f>MAX($B298,$D298,$F298,$H298,$J298,$L298,$N298,$P298)</f>
        <v>0</v>
      </c>
      <c r="W298" s="1">
        <f>MAX($C298,$E298,$G298,$I298,$K298,$M298,$O298,$Q298)</f>
        <v>0</v>
      </c>
    </row>
    <row r="299" spans="1:23">
      <c r="A299" s="1" t="s">
        <v>28</v>
      </c>
      <c r="B299" s="1"/>
      <c r="C299" s="1"/>
      <c r="D299" s="1" cm="1">
        <f t="array" ref="D299">_xlfn.SWITCH($A$2,"average", AVERAGE(Instances!D299:Instances!D299),"median", MEDIAN(Instances!D299:Instances!D299),"min", MIN(Instances!D299:Instances!D299),"max", MAX(Instances!D299:Instances!D299),"diff", MAX(Instances!D299:Instances!D299)-MIN(Instances!D299:Instances!D299))</f>
        <v>0</v>
      </c>
      <c r="E299" s="1" cm="1">
        <f t="array" ref="E299">_xlfn.SWITCH($A$2,"average", AVERAGE(Instances!E299:Instances!E299),"median", MEDIAN(Instances!E299:Instances!E299),"min", MIN(Instances!E299:Instances!E299),"max", MAX(Instances!E299:Instances!E299),"diff", MAX(Instances!E299:Instances!E299)-MIN(Instances!E299:Instances!E299))</f>
        <v>0</v>
      </c>
      <c r="F299" s="1" cm="1">
        <f t="array" ref="F299">_xlfn.SWITCH($A$2,"average", AVERAGE(Instances!F299:Instances!F299),"median", MEDIAN(Instances!F299:Instances!F299),"min", MIN(Instances!F299:Instances!F299),"max", MAX(Instances!F299:Instances!F299),"diff", MAX(Instances!F299:Instances!F299)-MIN(Instances!F299:Instances!F299))</f>
        <v>0</v>
      </c>
      <c r="G299" s="1" cm="1">
        <f t="array" ref="G299">_xlfn.SWITCH($A$2,"average", AVERAGE(Instances!G299:Instances!G299),"median", MEDIAN(Instances!G299:Instances!G299),"min", MIN(Instances!G299:Instances!G299),"max", MAX(Instances!G299:Instances!G299),"diff", MAX(Instances!G299:Instances!G299)-MIN(Instances!G299:Instances!G299))</f>
        <v>0</v>
      </c>
      <c r="H299" s="1"/>
      <c r="I299" s="1"/>
      <c r="J299" s="1" cm="1">
        <f t="array" ref="J299">_xlfn.SWITCH($A$2,"average", AVERAGE(Instances!J299:Instances!J299),"median", MEDIAN(Instances!J299:Instances!J299),"min", MIN(Instances!J299:Instances!J299),"max", MAX(Instances!J299:Instances!J299),"diff", MAX(Instances!J299:Instances!J299)-MIN(Instances!J299:Instances!J299))</f>
        <v>0</v>
      </c>
      <c r="K299" s="1" cm="1">
        <f t="array" ref="K299">_xlfn.SWITCH($A$2,"average", AVERAGE(Instances!K299:Instances!K299),"median", MEDIAN(Instances!K299:Instances!K299),"min", MIN(Instances!K299:Instances!K299),"max", MAX(Instances!K299:Instances!K299),"diff", MAX(Instances!K299:Instances!K299)-MIN(Instances!K299:Instances!K299))</f>
        <v>0</v>
      </c>
      <c r="L299" s="1" cm="1">
        <f t="array" ref="L299">_xlfn.SWITCH($A$2,"average", AVERAGE(Instances!L299:Instances!L299),"median", MEDIAN(Instances!L299:Instances!L299),"min", MIN(Instances!L299:Instances!L299),"max", MAX(Instances!L299:Instances!L299),"diff", MAX(Instances!L299:Instances!L299)-MIN(Instances!L299:Instances!L299))</f>
        <v>0</v>
      </c>
      <c r="M299" s="1" cm="1">
        <f t="array" ref="M299">_xlfn.SWITCH($A$2,"average", AVERAGE(Instances!M299:Instances!M299),"median", MEDIAN(Instances!M299:Instances!M299),"min", MIN(Instances!M299:Instances!M299),"max", MAX(Instances!M299:Instances!M299),"diff", MAX(Instances!M299:Instances!M299)-MIN(Instances!M299:Instances!M299))</f>
        <v>0</v>
      </c>
      <c r="N299" s="1" cm="1">
        <f t="array" ref="N299">_xlfn.SWITCH($A$2,"average", AVERAGE(Instances!N299:Instances!N299),"median", MEDIAN(Instances!N299:Instances!N299),"min", MIN(Instances!N299:Instances!N299),"max", MAX(Instances!N299:Instances!N299),"diff", MAX(Instances!N299:Instances!N299)-MIN(Instances!N299:Instances!N299))</f>
        <v>0</v>
      </c>
      <c r="O299" s="1" cm="1">
        <f t="array" ref="O299">_xlfn.SWITCH($A$2,"average", AVERAGE(Instances!O299:Instances!O299),"median", MEDIAN(Instances!O299:Instances!O299),"min", MIN(Instances!O299:Instances!O299),"max", MAX(Instances!O299:Instances!O299),"diff", MAX(Instances!O299:Instances!O299)-MIN(Instances!O299:Instances!O299))</f>
        <v>0</v>
      </c>
      <c r="P299" s="1" cm="1">
        <f t="array" ref="P299">_xlfn.SWITCH($A$2,"average", AVERAGE(Instances!P299:Instances!P299),"median", MEDIAN(Instances!P299:Instances!P299),"min", MIN(Instances!P299:Instances!P299),"max", MAX(Instances!P299:Instances!P299),"diff", MAX(Instances!P299:Instances!P299)-MIN(Instances!P299:Instances!P299))</f>
        <v>0</v>
      </c>
      <c r="Q299" s="1" cm="1">
        <f t="array" ref="Q299">_xlfn.SWITCH($A$2,"average", AVERAGE(Instances!Q299:Instances!Q299),"median", MEDIAN(Instances!Q299:Instances!Q299),"min", MIN(Instances!Q299:Instances!Q299),"max", MAX(Instances!Q299:Instances!Q299),"diff", MAX(Instances!Q299:Instances!Q299)-MIN(Instances!Q299:Instances!Q299))</f>
        <v>0</v>
      </c>
      <c r="R299" s="1">
        <f>MIN($B299,$D299,$F299,$H299,$J299,$L299,$N299,$P299)</f>
        <v>0</v>
      </c>
      <c r="S299" s="1">
        <f>MIN($C299,$E299,$G299,$I299,$K299,$M299,$O299,$Q299)</f>
        <v>0</v>
      </c>
      <c r="T299" s="1">
        <f>MEDIAN($B299,$D299,$F299,$H299,$J299,$L299,$N299,$P299)</f>
        <v>0</v>
      </c>
      <c r="U299" s="1">
        <f>MEDIAN($C299,$E299,$G299,$I299,$K299,$M299,$O299,$Q299)</f>
        <v>0</v>
      </c>
      <c r="V299" s="1">
        <f>MAX($B299,$D299,$F299,$H299,$J299,$L299,$N299,$P299)</f>
        <v>0</v>
      </c>
      <c r="W299" s="1">
        <f>MAX($C299,$E299,$G299,$I299,$K299,$M299,$O299,$Q299)</f>
        <v>0</v>
      </c>
    </row>
    <row r="300" spans="1:23">
      <c r="A300" s="1" t="s">
        <v>29</v>
      </c>
      <c r="B300" s="1"/>
      <c r="C300" s="1"/>
      <c r="D300" s="1" cm="1">
        <f t="array" ref="D300">_xlfn.SWITCH($A$2,"average", AVERAGE(Instances!D300:Instances!D300),"median", MEDIAN(Instances!D300:Instances!D300),"min", MIN(Instances!D300:Instances!D300),"max", MAX(Instances!D300:Instances!D300),"diff", MAX(Instances!D300:Instances!D300)-MIN(Instances!D300:Instances!D300))</f>
        <v>0</v>
      </c>
      <c r="E300" s="1" cm="1">
        <f t="array" ref="E300">_xlfn.SWITCH($A$2,"average", AVERAGE(Instances!E300:Instances!E300),"median", MEDIAN(Instances!E300:Instances!E300),"min", MIN(Instances!E300:Instances!E300),"max", MAX(Instances!E300:Instances!E300),"diff", MAX(Instances!E300:Instances!E300)-MIN(Instances!E300:Instances!E300))</f>
        <v>0</v>
      </c>
      <c r="F300" s="1" cm="1">
        <f t="array" ref="F300">_xlfn.SWITCH($A$2,"average", AVERAGE(Instances!F300:Instances!F300),"median", MEDIAN(Instances!F300:Instances!F300),"min", MIN(Instances!F300:Instances!F300),"max", MAX(Instances!F300:Instances!F300),"diff", MAX(Instances!F300:Instances!F300)-MIN(Instances!F300:Instances!F300))</f>
        <v>0</v>
      </c>
      <c r="G300" s="1" cm="1">
        <f t="array" ref="G300">_xlfn.SWITCH($A$2,"average", AVERAGE(Instances!G300:Instances!G300),"median", MEDIAN(Instances!G300:Instances!G300),"min", MIN(Instances!G300:Instances!G300),"max", MAX(Instances!G300:Instances!G300),"diff", MAX(Instances!G300:Instances!G300)-MIN(Instances!G300:Instances!G300))</f>
        <v>0</v>
      </c>
      <c r="H300" s="1"/>
      <c r="I300" s="1"/>
      <c r="J300" s="1" cm="1">
        <f t="array" ref="J300">_xlfn.SWITCH($A$2,"average", AVERAGE(Instances!J300:Instances!J300),"median", MEDIAN(Instances!J300:Instances!J300),"min", MIN(Instances!J300:Instances!J300),"max", MAX(Instances!J300:Instances!J300),"diff", MAX(Instances!J300:Instances!J300)-MIN(Instances!J300:Instances!J300))</f>
        <v>0</v>
      </c>
      <c r="K300" s="1" cm="1">
        <f t="array" ref="K300">_xlfn.SWITCH($A$2,"average", AVERAGE(Instances!K300:Instances!K300),"median", MEDIAN(Instances!K300:Instances!K300),"min", MIN(Instances!K300:Instances!K300),"max", MAX(Instances!K300:Instances!K300),"diff", MAX(Instances!K300:Instances!K300)-MIN(Instances!K300:Instances!K300))</f>
        <v>0</v>
      </c>
      <c r="L300" s="1" cm="1">
        <f t="array" ref="L300">_xlfn.SWITCH($A$2,"average", AVERAGE(Instances!L300:Instances!L300),"median", MEDIAN(Instances!L300:Instances!L300),"min", MIN(Instances!L300:Instances!L300),"max", MAX(Instances!L300:Instances!L300),"diff", MAX(Instances!L300:Instances!L300)-MIN(Instances!L300:Instances!L300))</f>
        <v>0</v>
      </c>
      <c r="M300" s="1" cm="1">
        <f t="array" ref="M300">_xlfn.SWITCH($A$2,"average", AVERAGE(Instances!M300:Instances!M300),"median", MEDIAN(Instances!M300:Instances!M300),"min", MIN(Instances!M300:Instances!M300),"max", MAX(Instances!M300:Instances!M300),"diff", MAX(Instances!M300:Instances!M300)-MIN(Instances!M300:Instances!M300))</f>
        <v>0</v>
      </c>
      <c r="N300" s="1" cm="1">
        <f t="array" ref="N300">_xlfn.SWITCH($A$2,"average", AVERAGE(Instances!N300:Instances!N300),"median", MEDIAN(Instances!N300:Instances!N300),"min", MIN(Instances!N300:Instances!N300),"max", MAX(Instances!N300:Instances!N300),"diff", MAX(Instances!N300:Instances!N300)-MIN(Instances!N300:Instances!N300))</f>
        <v>0</v>
      </c>
      <c r="O300" s="1" cm="1">
        <f t="array" ref="O300">_xlfn.SWITCH($A$2,"average", AVERAGE(Instances!O300:Instances!O300),"median", MEDIAN(Instances!O300:Instances!O300),"min", MIN(Instances!O300:Instances!O300),"max", MAX(Instances!O300:Instances!O300),"diff", MAX(Instances!O300:Instances!O300)-MIN(Instances!O300:Instances!O300))</f>
        <v>0</v>
      </c>
      <c r="P300" s="1" cm="1">
        <f t="array" ref="P300">_xlfn.SWITCH($A$2,"average", AVERAGE(Instances!P300:Instances!P300),"median", MEDIAN(Instances!P300:Instances!P300),"min", MIN(Instances!P300:Instances!P300),"max", MAX(Instances!P300:Instances!P300),"diff", MAX(Instances!P300:Instances!P300)-MIN(Instances!P300:Instances!P300))</f>
        <v>0</v>
      </c>
      <c r="Q300" s="1" cm="1">
        <f t="array" ref="Q300">_xlfn.SWITCH($A$2,"average", AVERAGE(Instances!Q300:Instances!Q300),"median", MEDIAN(Instances!Q300:Instances!Q300),"min", MIN(Instances!Q300:Instances!Q300),"max", MAX(Instances!Q300:Instances!Q300),"diff", MAX(Instances!Q300:Instances!Q300)-MIN(Instances!Q300:Instances!Q300))</f>
        <v>0</v>
      </c>
      <c r="R300" s="1">
        <f>MIN($B300,$D300,$F300,$H300,$J300,$L300,$N300,$P300)</f>
        <v>0</v>
      </c>
      <c r="S300" s="1">
        <f>MIN($C300,$E300,$G300,$I300,$K300,$M300,$O300,$Q300)</f>
        <v>0</v>
      </c>
      <c r="T300" s="1">
        <f>MEDIAN($B300,$D300,$F300,$H300,$J300,$L300,$N300,$P300)</f>
        <v>0</v>
      </c>
      <c r="U300" s="1">
        <f>MEDIAN($C300,$E300,$G300,$I300,$K300,$M300,$O300,$Q300)</f>
        <v>0</v>
      </c>
      <c r="V300" s="1">
        <f>MAX($B300,$D300,$F300,$H300,$J300,$L300,$N300,$P300)</f>
        <v>0</v>
      </c>
      <c r="W300" s="1">
        <f>MAX($C300,$E300,$G300,$I300,$K300,$M300,$O300,$Q300)</f>
        <v>0</v>
      </c>
    </row>
    <row r="301" spans="1:23">
      <c r="A301" s="1" t="s">
        <v>30</v>
      </c>
      <c r="B301" s="1"/>
      <c r="C301" s="1"/>
      <c r="D301" s="1" cm="1">
        <f t="array" ref="D301">_xlfn.SWITCH($A$2,"average", AVERAGE(Instances!D301:Instances!D301),"median", MEDIAN(Instances!D301:Instances!D301),"min", MIN(Instances!D301:Instances!D301),"max", MAX(Instances!D301:Instances!D301),"diff", MAX(Instances!D301:Instances!D301)-MIN(Instances!D301:Instances!D301))</f>
        <v>0</v>
      </c>
      <c r="E301" s="1" cm="1">
        <f t="array" ref="E301">_xlfn.SWITCH($A$2,"average", AVERAGE(Instances!E301:Instances!E301),"median", MEDIAN(Instances!E301:Instances!E301),"min", MIN(Instances!E301:Instances!E301),"max", MAX(Instances!E301:Instances!E301),"diff", MAX(Instances!E301:Instances!E301)-MIN(Instances!E301:Instances!E301))</f>
        <v>0</v>
      </c>
      <c r="F301" s="1" cm="1">
        <f t="array" ref="F301">_xlfn.SWITCH($A$2,"average", AVERAGE(Instances!F301:Instances!F301),"median", MEDIAN(Instances!F301:Instances!F301),"min", MIN(Instances!F301:Instances!F301),"max", MAX(Instances!F301:Instances!F301),"diff", MAX(Instances!F301:Instances!F301)-MIN(Instances!F301:Instances!F301))</f>
        <v>0</v>
      </c>
      <c r="G301" s="1" cm="1">
        <f t="array" ref="G301">_xlfn.SWITCH($A$2,"average", AVERAGE(Instances!G301:Instances!G301),"median", MEDIAN(Instances!G301:Instances!G301),"min", MIN(Instances!G301:Instances!G301),"max", MAX(Instances!G301:Instances!G301),"diff", MAX(Instances!G301:Instances!G301)-MIN(Instances!G301:Instances!G301))</f>
        <v>0</v>
      </c>
      <c r="H301" s="1"/>
      <c r="I301" s="1"/>
      <c r="J301" s="1" cm="1">
        <f t="array" ref="J301">_xlfn.SWITCH($A$2,"average", AVERAGE(Instances!J301:Instances!J301),"median", MEDIAN(Instances!J301:Instances!J301),"min", MIN(Instances!J301:Instances!J301),"max", MAX(Instances!J301:Instances!J301),"diff", MAX(Instances!J301:Instances!J301)-MIN(Instances!J301:Instances!J301))</f>
        <v>0</v>
      </c>
      <c r="K301" s="1" cm="1">
        <f t="array" ref="K301">_xlfn.SWITCH($A$2,"average", AVERAGE(Instances!K301:Instances!K301),"median", MEDIAN(Instances!K301:Instances!K301),"min", MIN(Instances!K301:Instances!K301),"max", MAX(Instances!K301:Instances!K301),"diff", MAX(Instances!K301:Instances!K301)-MIN(Instances!K301:Instances!K301))</f>
        <v>0</v>
      </c>
      <c r="L301" s="1" cm="1">
        <f t="array" ref="L301">_xlfn.SWITCH($A$2,"average", AVERAGE(Instances!L301:Instances!L301),"median", MEDIAN(Instances!L301:Instances!L301),"min", MIN(Instances!L301:Instances!L301),"max", MAX(Instances!L301:Instances!L301),"diff", MAX(Instances!L301:Instances!L301)-MIN(Instances!L301:Instances!L301))</f>
        <v>0</v>
      </c>
      <c r="M301" s="1" cm="1">
        <f t="array" ref="M301">_xlfn.SWITCH($A$2,"average", AVERAGE(Instances!M301:Instances!M301),"median", MEDIAN(Instances!M301:Instances!M301),"min", MIN(Instances!M301:Instances!M301),"max", MAX(Instances!M301:Instances!M301),"diff", MAX(Instances!M301:Instances!M301)-MIN(Instances!M301:Instances!M301))</f>
        <v>0</v>
      </c>
      <c r="N301" s="1" cm="1">
        <f t="array" ref="N301">_xlfn.SWITCH($A$2,"average", AVERAGE(Instances!N301:Instances!N301),"median", MEDIAN(Instances!N301:Instances!N301),"min", MIN(Instances!N301:Instances!N301),"max", MAX(Instances!N301:Instances!N301),"diff", MAX(Instances!N301:Instances!N301)-MIN(Instances!N301:Instances!N301))</f>
        <v>0</v>
      </c>
      <c r="O301" s="1" cm="1">
        <f t="array" ref="O301">_xlfn.SWITCH($A$2,"average", AVERAGE(Instances!O301:Instances!O301),"median", MEDIAN(Instances!O301:Instances!O301),"min", MIN(Instances!O301:Instances!O301),"max", MAX(Instances!O301:Instances!O301),"diff", MAX(Instances!O301:Instances!O301)-MIN(Instances!O301:Instances!O301))</f>
        <v>0</v>
      </c>
      <c r="P301" s="1" cm="1">
        <f t="array" ref="P301">_xlfn.SWITCH($A$2,"average", AVERAGE(Instances!P301:Instances!P301),"median", MEDIAN(Instances!P301:Instances!P301),"min", MIN(Instances!P301:Instances!P301),"max", MAX(Instances!P301:Instances!P301),"diff", MAX(Instances!P301:Instances!P301)-MIN(Instances!P301:Instances!P301))</f>
        <v>0</v>
      </c>
      <c r="Q301" s="1" cm="1">
        <f t="array" ref="Q301">_xlfn.SWITCH($A$2,"average", AVERAGE(Instances!Q301:Instances!Q301),"median", MEDIAN(Instances!Q301:Instances!Q301),"min", MIN(Instances!Q301:Instances!Q301),"max", MAX(Instances!Q301:Instances!Q301),"diff", MAX(Instances!Q301:Instances!Q301)-MIN(Instances!Q301:Instances!Q301))</f>
        <v>0</v>
      </c>
      <c r="R301" s="1">
        <f>MIN($B301,$D301,$F301,$H301,$J301,$L301,$N301,$P301)</f>
        <v>0</v>
      </c>
      <c r="S301" s="1">
        <f>MIN($C301,$E301,$G301,$I301,$K301,$M301,$O301,$Q301)</f>
        <v>0</v>
      </c>
      <c r="T301" s="1">
        <f>MEDIAN($B301,$D301,$F301,$H301,$J301,$L301,$N301,$P301)</f>
        <v>0</v>
      </c>
      <c r="U301" s="1">
        <f>MEDIAN($C301,$E301,$G301,$I301,$K301,$M301,$O301,$Q301)</f>
        <v>0</v>
      </c>
      <c r="V301" s="1">
        <f>MAX($B301,$D301,$F301,$H301,$J301,$L301,$N301,$P301)</f>
        <v>0</v>
      </c>
      <c r="W301" s="1">
        <f>MAX($C301,$E301,$G301,$I301,$K301,$M301,$O301,$Q301)</f>
        <v>0</v>
      </c>
    </row>
    <row r="302" spans="1:23">
      <c r="A302" s="1" t="s">
        <v>31</v>
      </c>
      <c r="B302" s="1"/>
      <c r="C302" s="1"/>
      <c r="D302" s="1" cm="1">
        <f t="array" ref="D302">_xlfn.SWITCH($A$2,"average", AVERAGE(Instances!D302:Instances!D302),"median", MEDIAN(Instances!D302:Instances!D302),"min", MIN(Instances!D302:Instances!D302),"max", MAX(Instances!D302:Instances!D302),"diff", MAX(Instances!D302:Instances!D302)-MIN(Instances!D302:Instances!D302))</f>
        <v>0</v>
      </c>
      <c r="E302" s="1" cm="1">
        <f t="array" ref="E302">_xlfn.SWITCH($A$2,"average", AVERAGE(Instances!E302:Instances!E302),"median", MEDIAN(Instances!E302:Instances!E302),"min", MIN(Instances!E302:Instances!E302),"max", MAX(Instances!E302:Instances!E302),"diff", MAX(Instances!E302:Instances!E302)-MIN(Instances!E302:Instances!E302))</f>
        <v>0</v>
      </c>
      <c r="F302" s="1" cm="1">
        <f t="array" ref="F302">_xlfn.SWITCH($A$2,"average", AVERAGE(Instances!F302:Instances!F302),"median", MEDIAN(Instances!F302:Instances!F302),"min", MIN(Instances!F302:Instances!F302),"max", MAX(Instances!F302:Instances!F302),"diff", MAX(Instances!F302:Instances!F302)-MIN(Instances!F302:Instances!F302))</f>
        <v>0</v>
      </c>
      <c r="G302" s="1" cm="1">
        <f t="array" ref="G302">_xlfn.SWITCH($A$2,"average", AVERAGE(Instances!G302:Instances!G302),"median", MEDIAN(Instances!G302:Instances!G302),"min", MIN(Instances!G302:Instances!G302),"max", MAX(Instances!G302:Instances!G302),"diff", MAX(Instances!G302:Instances!G302)-MIN(Instances!G302:Instances!G302))</f>
        <v>0</v>
      </c>
      <c r="H302" s="1"/>
      <c r="I302" s="1"/>
      <c r="J302" s="1" cm="1">
        <f t="array" ref="J302">_xlfn.SWITCH($A$2,"average", AVERAGE(Instances!J302:Instances!J302),"median", MEDIAN(Instances!J302:Instances!J302),"min", MIN(Instances!J302:Instances!J302),"max", MAX(Instances!J302:Instances!J302),"diff", MAX(Instances!J302:Instances!J302)-MIN(Instances!J302:Instances!J302))</f>
        <v>0</v>
      </c>
      <c r="K302" s="1" cm="1">
        <f t="array" ref="K302">_xlfn.SWITCH($A$2,"average", AVERAGE(Instances!K302:Instances!K302),"median", MEDIAN(Instances!K302:Instances!K302),"min", MIN(Instances!K302:Instances!K302),"max", MAX(Instances!K302:Instances!K302),"diff", MAX(Instances!K302:Instances!K302)-MIN(Instances!K302:Instances!K302))</f>
        <v>0</v>
      </c>
      <c r="L302" s="1" cm="1">
        <f t="array" ref="L302">_xlfn.SWITCH($A$2,"average", AVERAGE(Instances!L302:Instances!L302),"median", MEDIAN(Instances!L302:Instances!L302),"min", MIN(Instances!L302:Instances!L302),"max", MAX(Instances!L302:Instances!L302),"diff", MAX(Instances!L302:Instances!L302)-MIN(Instances!L302:Instances!L302))</f>
        <v>0</v>
      </c>
      <c r="M302" s="1" cm="1">
        <f t="array" ref="M302">_xlfn.SWITCH($A$2,"average", AVERAGE(Instances!M302:Instances!M302),"median", MEDIAN(Instances!M302:Instances!M302),"min", MIN(Instances!M302:Instances!M302),"max", MAX(Instances!M302:Instances!M302),"diff", MAX(Instances!M302:Instances!M302)-MIN(Instances!M302:Instances!M302))</f>
        <v>0</v>
      </c>
      <c r="N302" s="1" cm="1">
        <f t="array" ref="N302">_xlfn.SWITCH($A$2,"average", AVERAGE(Instances!N302:Instances!N302),"median", MEDIAN(Instances!N302:Instances!N302),"min", MIN(Instances!N302:Instances!N302),"max", MAX(Instances!N302:Instances!N302),"diff", MAX(Instances!N302:Instances!N302)-MIN(Instances!N302:Instances!N302))</f>
        <v>0</v>
      </c>
      <c r="O302" s="1" cm="1">
        <f t="array" ref="O302">_xlfn.SWITCH($A$2,"average", AVERAGE(Instances!O302:Instances!O302),"median", MEDIAN(Instances!O302:Instances!O302),"min", MIN(Instances!O302:Instances!O302),"max", MAX(Instances!O302:Instances!O302),"diff", MAX(Instances!O302:Instances!O302)-MIN(Instances!O302:Instances!O302))</f>
        <v>0</v>
      </c>
      <c r="P302" s="1" cm="1">
        <f t="array" ref="P302">_xlfn.SWITCH($A$2,"average", AVERAGE(Instances!P302:Instances!P302),"median", MEDIAN(Instances!P302:Instances!P302),"min", MIN(Instances!P302:Instances!P302),"max", MAX(Instances!P302:Instances!P302),"diff", MAX(Instances!P302:Instances!P302)-MIN(Instances!P302:Instances!P302))</f>
        <v>0</v>
      </c>
      <c r="Q302" s="1" cm="1">
        <f t="array" ref="Q302">_xlfn.SWITCH($A$2,"average", AVERAGE(Instances!Q302:Instances!Q302),"median", MEDIAN(Instances!Q302:Instances!Q302),"min", MIN(Instances!Q302:Instances!Q302),"max", MAX(Instances!Q302:Instances!Q302),"diff", MAX(Instances!Q302:Instances!Q302)-MIN(Instances!Q302:Instances!Q302))</f>
        <v>0</v>
      </c>
      <c r="R302" s="1">
        <f>MIN($B302,$D302,$F302,$H302,$J302,$L302,$N302,$P302)</f>
        <v>0</v>
      </c>
      <c r="S302" s="1">
        <f>MIN($C302,$E302,$G302,$I302,$K302,$M302,$O302,$Q302)</f>
        <v>0</v>
      </c>
      <c r="T302" s="1">
        <f>MEDIAN($B302,$D302,$F302,$H302,$J302,$L302,$N302,$P302)</f>
        <v>0</v>
      </c>
      <c r="U302" s="1">
        <f>MEDIAN($C302,$E302,$G302,$I302,$K302,$M302,$O302,$Q302)</f>
        <v>0</v>
      </c>
      <c r="V302" s="1">
        <f>MAX($B302,$D302,$F302,$H302,$J302,$L302,$N302,$P302)</f>
        <v>0</v>
      </c>
      <c r="W302" s="1">
        <f>MAX($C302,$E302,$G302,$I302,$K302,$M302,$O302,$Q302)</f>
        <v>0</v>
      </c>
    </row>
    <row r="303" spans="1:23">
      <c r="A303" s="1" t="s">
        <v>32</v>
      </c>
      <c r="B303" s="1"/>
      <c r="C303" s="1"/>
      <c r="D303" s="1" cm="1">
        <f t="array" ref="D303">_xlfn.SWITCH($A$2,"average", AVERAGE(Instances!D303:Instances!D303),"median", MEDIAN(Instances!D303:Instances!D303),"min", MIN(Instances!D303:Instances!D303),"max", MAX(Instances!D303:Instances!D303),"diff", MAX(Instances!D303:Instances!D303)-MIN(Instances!D303:Instances!D303))</f>
        <v>0</v>
      </c>
      <c r="E303" s="1" cm="1">
        <f t="array" ref="E303">_xlfn.SWITCH($A$2,"average", AVERAGE(Instances!E303:Instances!E303),"median", MEDIAN(Instances!E303:Instances!E303),"min", MIN(Instances!E303:Instances!E303),"max", MAX(Instances!E303:Instances!E303),"diff", MAX(Instances!E303:Instances!E303)-MIN(Instances!E303:Instances!E303))</f>
        <v>0</v>
      </c>
      <c r="F303" s="1" cm="1">
        <f t="array" ref="F303">_xlfn.SWITCH($A$2,"average", AVERAGE(Instances!F303:Instances!F303),"median", MEDIAN(Instances!F303:Instances!F303),"min", MIN(Instances!F303:Instances!F303),"max", MAX(Instances!F303:Instances!F303),"diff", MAX(Instances!F303:Instances!F303)-MIN(Instances!F303:Instances!F303))</f>
        <v>0</v>
      </c>
      <c r="G303" s="1" cm="1">
        <f t="array" ref="G303">_xlfn.SWITCH($A$2,"average", AVERAGE(Instances!G303:Instances!G303),"median", MEDIAN(Instances!G303:Instances!G303),"min", MIN(Instances!G303:Instances!G303),"max", MAX(Instances!G303:Instances!G303),"diff", MAX(Instances!G303:Instances!G303)-MIN(Instances!G303:Instances!G303))</f>
        <v>0</v>
      </c>
      <c r="H303" s="1"/>
      <c r="I303" s="1"/>
      <c r="J303" s="1" cm="1">
        <f t="array" ref="J303">_xlfn.SWITCH($A$2,"average", AVERAGE(Instances!J303:Instances!J303),"median", MEDIAN(Instances!J303:Instances!J303),"min", MIN(Instances!J303:Instances!J303),"max", MAX(Instances!J303:Instances!J303),"diff", MAX(Instances!J303:Instances!J303)-MIN(Instances!J303:Instances!J303))</f>
        <v>0</v>
      </c>
      <c r="K303" s="1" cm="1">
        <f t="array" ref="K303">_xlfn.SWITCH($A$2,"average", AVERAGE(Instances!K303:Instances!K303),"median", MEDIAN(Instances!K303:Instances!K303),"min", MIN(Instances!K303:Instances!K303),"max", MAX(Instances!K303:Instances!K303),"diff", MAX(Instances!K303:Instances!K303)-MIN(Instances!K303:Instances!K303))</f>
        <v>0</v>
      </c>
      <c r="L303" s="1" cm="1">
        <f t="array" ref="L303">_xlfn.SWITCH($A$2,"average", AVERAGE(Instances!L303:Instances!L303),"median", MEDIAN(Instances!L303:Instances!L303),"min", MIN(Instances!L303:Instances!L303),"max", MAX(Instances!L303:Instances!L303),"diff", MAX(Instances!L303:Instances!L303)-MIN(Instances!L303:Instances!L303))</f>
        <v>0</v>
      </c>
      <c r="M303" s="1" cm="1">
        <f t="array" ref="M303">_xlfn.SWITCH($A$2,"average", AVERAGE(Instances!M303:Instances!M303),"median", MEDIAN(Instances!M303:Instances!M303),"min", MIN(Instances!M303:Instances!M303),"max", MAX(Instances!M303:Instances!M303),"diff", MAX(Instances!M303:Instances!M303)-MIN(Instances!M303:Instances!M303))</f>
        <v>0</v>
      </c>
      <c r="N303" s="1" cm="1">
        <f t="array" ref="N303">_xlfn.SWITCH($A$2,"average", AVERAGE(Instances!N303:Instances!N303),"median", MEDIAN(Instances!N303:Instances!N303),"min", MIN(Instances!N303:Instances!N303),"max", MAX(Instances!N303:Instances!N303),"diff", MAX(Instances!N303:Instances!N303)-MIN(Instances!N303:Instances!N303))</f>
        <v>0</v>
      </c>
      <c r="O303" s="1" cm="1">
        <f t="array" ref="O303">_xlfn.SWITCH($A$2,"average", AVERAGE(Instances!O303:Instances!O303),"median", MEDIAN(Instances!O303:Instances!O303),"min", MIN(Instances!O303:Instances!O303),"max", MAX(Instances!O303:Instances!O303),"diff", MAX(Instances!O303:Instances!O303)-MIN(Instances!O303:Instances!O303))</f>
        <v>0</v>
      </c>
      <c r="P303" s="1" cm="1">
        <f t="array" ref="P303">_xlfn.SWITCH($A$2,"average", AVERAGE(Instances!P303:Instances!P303),"median", MEDIAN(Instances!P303:Instances!P303),"min", MIN(Instances!P303:Instances!P303),"max", MAX(Instances!P303:Instances!P303),"diff", MAX(Instances!P303:Instances!P303)-MIN(Instances!P303:Instances!P303))</f>
        <v>0</v>
      </c>
      <c r="Q303" s="1" cm="1">
        <f t="array" ref="Q303">_xlfn.SWITCH($A$2,"average", AVERAGE(Instances!Q303:Instances!Q303),"median", MEDIAN(Instances!Q303:Instances!Q303),"min", MIN(Instances!Q303:Instances!Q303),"max", MAX(Instances!Q303:Instances!Q303),"diff", MAX(Instances!Q303:Instances!Q303)-MIN(Instances!Q303:Instances!Q303))</f>
        <v>0</v>
      </c>
      <c r="R303" s="1">
        <f>MIN($B303,$D303,$F303,$H303,$J303,$L303,$N303,$P303)</f>
        <v>0</v>
      </c>
      <c r="S303" s="1">
        <f>MIN($C303,$E303,$G303,$I303,$K303,$M303,$O303,$Q303)</f>
        <v>0</v>
      </c>
      <c r="T303" s="1">
        <f>MEDIAN($B303,$D303,$F303,$H303,$J303,$L303,$N303,$P303)</f>
        <v>0</v>
      </c>
      <c r="U303" s="1">
        <f>MEDIAN($C303,$E303,$G303,$I303,$K303,$M303,$O303,$Q303)</f>
        <v>0</v>
      </c>
      <c r="V303" s="1">
        <f>MAX($B303,$D303,$F303,$H303,$J303,$L303,$N303,$P303)</f>
        <v>0</v>
      </c>
      <c r="W303" s="1">
        <f>MAX($C303,$E303,$G303,$I303,$K303,$M303,$O303,$Q303)</f>
        <v>0</v>
      </c>
    </row>
    <row r="304" spans="1:23">
      <c r="A304" s="1" t="s">
        <v>33</v>
      </c>
      <c r="B304" s="1"/>
      <c r="C304" s="1"/>
      <c r="D304" s="1" cm="1">
        <f t="array" ref="D304">_xlfn.SWITCH($A$2,"average", AVERAGE(Instances!D304:Instances!D304),"median", MEDIAN(Instances!D304:Instances!D304),"min", MIN(Instances!D304:Instances!D304),"max", MAX(Instances!D304:Instances!D304),"diff", MAX(Instances!D304:Instances!D304)-MIN(Instances!D304:Instances!D304))</f>
        <v>0</v>
      </c>
      <c r="E304" s="1" cm="1">
        <f t="array" ref="E304">_xlfn.SWITCH($A$2,"average", AVERAGE(Instances!E304:Instances!E304),"median", MEDIAN(Instances!E304:Instances!E304),"min", MIN(Instances!E304:Instances!E304),"max", MAX(Instances!E304:Instances!E304),"diff", MAX(Instances!E304:Instances!E304)-MIN(Instances!E304:Instances!E304))</f>
        <v>0</v>
      </c>
      <c r="F304" s="1" cm="1">
        <f t="array" ref="F304">_xlfn.SWITCH($A$2,"average", AVERAGE(Instances!F304:Instances!F304),"median", MEDIAN(Instances!F304:Instances!F304),"min", MIN(Instances!F304:Instances!F304),"max", MAX(Instances!F304:Instances!F304),"diff", MAX(Instances!F304:Instances!F304)-MIN(Instances!F304:Instances!F304))</f>
        <v>0</v>
      </c>
      <c r="G304" s="1" cm="1">
        <f t="array" ref="G304">_xlfn.SWITCH($A$2,"average", AVERAGE(Instances!G304:Instances!G304),"median", MEDIAN(Instances!G304:Instances!G304),"min", MIN(Instances!G304:Instances!G304),"max", MAX(Instances!G304:Instances!G304),"diff", MAX(Instances!G304:Instances!G304)-MIN(Instances!G304:Instances!G304))</f>
        <v>0</v>
      </c>
      <c r="H304" s="1"/>
      <c r="I304" s="1"/>
      <c r="J304" s="1" cm="1">
        <f t="array" ref="J304">_xlfn.SWITCH($A$2,"average", AVERAGE(Instances!J304:Instances!J304),"median", MEDIAN(Instances!J304:Instances!J304),"min", MIN(Instances!J304:Instances!J304),"max", MAX(Instances!J304:Instances!J304),"diff", MAX(Instances!J304:Instances!J304)-MIN(Instances!J304:Instances!J304))</f>
        <v>0</v>
      </c>
      <c r="K304" s="1" cm="1">
        <f t="array" ref="K304">_xlfn.SWITCH($A$2,"average", AVERAGE(Instances!K304:Instances!K304),"median", MEDIAN(Instances!K304:Instances!K304),"min", MIN(Instances!K304:Instances!K304),"max", MAX(Instances!K304:Instances!K304),"diff", MAX(Instances!K304:Instances!K304)-MIN(Instances!K304:Instances!K304))</f>
        <v>0</v>
      </c>
      <c r="L304" s="1" cm="1">
        <f t="array" ref="L304">_xlfn.SWITCH($A$2,"average", AVERAGE(Instances!L304:Instances!L304),"median", MEDIAN(Instances!L304:Instances!L304),"min", MIN(Instances!L304:Instances!L304),"max", MAX(Instances!L304:Instances!L304),"diff", MAX(Instances!L304:Instances!L304)-MIN(Instances!L304:Instances!L304))</f>
        <v>0</v>
      </c>
      <c r="M304" s="1" cm="1">
        <f t="array" ref="M304">_xlfn.SWITCH($A$2,"average", AVERAGE(Instances!M304:Instances!M304),"median", MEDIAN(Instances!M304:Instances!M304),"min", MIN(Instances!M304:Instances!M304),"max", MAX(Instances!M304:Instances!M304),"diff", MAX(Instances!M304:Instances!M304)-MIN(Instances!M304:Instances!M304))</f>
        <v>0</v>
      </c>
      <c r="N304" s="1" cm="1">
        <f t="array" ref="N304">_xlfn.SWITCH($A$2,"average", AVERAGE(Instances!N304:Instances!N304),"median", MEDIAN(Instances!N304:Instances!N304),"min", MIN(Instances!N304:Instances!N304),"max", MAX(Instances!N304:Instances!N304),"diff", MAX(Instances!N304:Instances!N304)-MIN(Instances!N304:Instances!N304))</f>
        <v>0</v>
      </c>
      <c r="O304" s="1" cm="1">
        <f t="array" ref="O304">_xlfn.SWITCH($A$2,"average", AVERAGE(Instances!O304:Instances!O304),"median", MEDIAN(Instances!O304:Instances!O304),"min", MIN(Instances!O304:Instances!O304),"max", MAX(Instances!O304:Instances!O304),"diff", MAX(Instances!O304:Instances!O304)-MIN(Instances!O304:Instances!O304))</f>
        <v>0</v>
      </c>
      <c r="P304" s="1" cm="1">
        <f t="array" ref="P304">_xlfn.SWITCH($A$2,"average", AVERAGE(Instances!P304:Instances!P304),"median", MEDIAN(Instances!P304:Instances!P304),"min", MIN(Instances!P304:Instances!P304),"max", MAX(Instances!P304:Instances!P304),"diff", MAX(Instances!P304:Instances!P304)-MIN(Instances!P304:Instances!P304))</f>
        <v>0</v>
      </c>
      <c r="Q304" s="1" cm="1">
        <f t="array" ref="Q304">_xlfn.SWITCH($A$2,"average", AVERAGE(Instances!Q304:Instances!Q304),"median", MEDIAN(Instances!Q304:Instances!Q304),"min", MIN(Instances!Q304:Instances!Q304),"max", MAX(Instances!Q304:Instances!Q304),"diff", MAX(Instances!Q304:Instances!Q304)-MIN(Instances!Q304:Instances!Q304))</f>
        <v>0</v>
      </c>
      <c r="R304" s="1">
        <f>MIN($B304,$D304,$F304,$H304,$J304,$L304,$N304,$P304)</f>
        <v>0</v>
      </c>
      <c r="S304" s="1">
        <f>MIN($C304,$E304,$G304,$I304,$K304,$M304,$O304,$Q304)</f>
        <v>0</v>
      </c>
      <c r="T304" s="1">
        <f>MEDIAN($B304,$D304,$F304,$H304,$J304,$L304,$N304,$P304)</f>
        <v>0</v>
      </c>
      <c r="U304" s="1">
        <f>MEDIAN($C304,$E304,$G304,$I304,$K304,$M304,$O304,$Q304)</f>
        <v>0</v>
      </c>
      <c r="V304" s="1">
        <f>MAX($B304,$D304,$F304,$H304,$J304,$L304,$N304,$P304)</f>
        <v>0</v>
      </c>
      <c r="W304" s="1">
        <f>MAX($C304,$E304,$G304,$I304,$K304,$M304,$O304,$Q304)</f>
        <v>0</v>
      </c>
    </row>
    <row r="305" spans="1:23">
      <c r="A305" s="1" t="s">
        <v>34</v>
      </c>
      <c r="B305" s="1"/>
      <c r="C305" s="1"/>
      <c r="D305" s="1" cm="1">
        <f t="array" ref="D305">_xlfn.SWITCH($A$2,"average", AVERAGE(Instances!D305:Instances!D305),"median", MEDIAN(Instances!D305:Instances!D305),"min", MIN(Instances!D305:Instances!D305),"max", MAX(Instances!D305:Instances!D305),"diff", MAX(Instances!D305:Instances!D305)-MIN(Instances!D305:Instances!D305))</f>
        <v>0</v>
      </c>
      <c r="E305" s="1" cm="1">
        <f t="array" ref="E305">_xlfn.SWITCH($A$2,"average", AVERAGE(Instances!E305:Instances!E305),"median", MEDIAN(Instances!E305:Instances!E305),"min", MIN(Instances!E305:Instances!E305),"max", MAX(Instances!E305:Instances!E305),"diff", MAX(Instances!E305:Instances!E305)-MIN(Instances!E305:Instances!E305))</f>
        <v>0</v>
      </c>
      <c r="F305" s="1" cm="1">
        <f t="array" ref="F305">_xlfn.SWITCH($A$2,"average", AVERAGE(Instances!F305:Instances!F305),"median", MEDIAN(Instances!F305:Instances!F305),"min", MIN(Instances!F305:Instances!F305),"max", MAX(Instances!F305:Instances!F305),"diff", MAX(Instances!F305:Instances!F305)-MIN(Instances!F305:Instances!F305))</f>
        <v>0</v>
      </c>
      <c r="G305" s="1" cm="1">
        <f t="array" ref="G305">_xlfn.SWITCH($A$2,"average", AVERAGE(Instances!G305:Instances!G305),"median", MEDIAN(Instances!G305:Instances!G305),"min", MIN(Instances!G305:Instances!G305),"max", MAX(Instances!G305:Instances!G305),"diff", MAX(Instances!G305:Instances!G305)-MIN(Instances!G305:Instances!G305))</f>
        <v>0</v>
      </c>
      <c r="H305" s="1"/>
      <c r="I305" s="1"/>
      <c r="J305" s="1" cm="1">
        <f t="array" ref="J305">_xlfn.SWITCH($A$2,"average", AVERAGE(Instances!J305:Instances!J305),"median", MEDIAN(Instances!J305:Instances!J305),"min", MIN(Instances!J305:Instances!J305),"max", MAX(Instances!J305:Instances!J305),"diff", MAX(Instances!J305:Instances!J305)-MIN(Instances!J305:Instances!J305))</f>
        <v>0</v>
      </c>
      <c r="K305" s="1" cm="1">
        <f t="array" ref="K305">_xlfn.SWITCH($A$2,"average", AVERAGE(Instances!K305:Instances!K305),"median", MEDIAN(Instances!K305:Instances!K305),"min", MIN(Instances!K305:Instances!K305),"max", MAX(Instances!K305:Instances!K305),"diff", MAX(Instances!K305:Instances!K305)-MIN(Instances!K305:Instances!K305))</f>
        <v>0</v>
      </c>
      <c r="L305" s="1" cm="1">
        <f t="array" ref="L305">_xlfn.SWITCH($A$2,"average", AVERAGE(Instances!L305:Instances!L305),"median", MEDIAN(Instances!L305:Instances!L305),"min", MIN(Instances!L305:Instances!L305),"max", MAX(Instances!L305:Instances!L305),"diff", MAX(Instances!L305:Instances!L305)-MIN(Instances!L305:Instances!L305))</f>
        <v>0</v>
      </c>
      <c r="M305" s="1" cm="1">
        <f t="array" ref="M305">_xlfn.SWITCH($A$2,"average", AVERAGE(Instances!M305:Instances!M305),"median", MEDIAN(Instances!M305:Instances!M305),"min", MIN(Instances!M305:Instances!M305),"max", MAX(Instances!M305:Instances!M305),"diff", MAX(Instances!M305:Instances!M305)-MIN(Instances!M305:Instances!M305))</f>
        <v>0</v>
      </c>
      <c r="N305" s="1" cm="1">
        <f t="array" ref="N305">_xlfn.SWITCH($A$2,"average", AVERAGE(Instances!N305:Instances!N305),"median", MEDIAN(Instances!N305:Instances!N305),"min", MIN(Instances!N305:Instances!N305),"max", MAX(Instances!N305:Instances!N305),"diff", MAX(Instances!N305:Instances!N305)-MIN(Instances!N305:Instances!N305))</f>
        <v>0</v>
      </c>
      <c r="O305" s="1" cm="1">
        <f t="array" ref="O305">_xlfn.SWITCH($A$2,"average", AVERAGE(Instances!O305:Instances!O305),"median", MEDIAN(Instances!O305:Instances!O305),"min", MIN(Instances!O305:Instances!O305),"max", MAX(Instances!O305:Instances!O305),"diff", MAX(Instances!O305:Instances!O305)-MIN(Instances!O305:Instances!O305))</f>
        <v>0</v>
      </c>
      <c r="P305" s="1" cm="1">
        <f t="array" ref="P305">_xlfn.SWITCH($A$2,"average", AVERAGE(Instances!P305:Instances!P305),"median", MEDIAN(Instances!P305:Instances!P305),"min", MIN(Instances!P305:Instances!P305),"max", MAX(Instances!P305:Instances!P305),"diff", MAX(Instances!P305:Instances!P305)-MIN(Instances!P305:Instances!P305))</f>
        <v>0</v>
      </c>
      <c r="Q305" s="1" cm="1">
        <f t="array" ref="Q305">_xlfn.SWITCH($A$2,"average", AVERAGE(Instances!Q305:Instances!Q305),"median", MEDIAN(Instances!Q305:Instances!Q305),"min", MIN(Instances!Q305:Instances!Q305),"max", MAX(Instances!Q305:Instances!Q305),"diff", MAX(Instances!Q305:Instances!Q305)-MIN(Instances!Q305:Instances!Q305))</f>
        <v>0</v>
      </c>
      <c r="R305" s="1">
        <f>MIN($B305,$D305,$F305,$H305,$J305,$L305,$N305,$P305)</f>
        <v>0</v>
      </c>
      <c r="S305" s="1">
        <f>MIN($C305,$E305,$G305,$I305,$K305,$M305,$O305,$Q305)</f>
        <v>0</v>
      </c>
      <c r="T305" s="1">
        <f>MEDIAN($B305,$D305,$F305,$H305,$J305,$L305,$N305,$P305)</f>
        <v>0</v>
      </c>
      <c r="U305" s="1">
        <f>MEDIAN($C305,$E305,$G305,$I305,$K305,$M305,$O305,$Q305)</f>
        <v>0</v>
      </c>
      <c r="V305" s="1">
        <f>MAX($B305,$D305,$F305,$H305,$J305,$L305,$N305,$P305)</f>
        <v>0</v>
      </c>
      <c r="W305" s="1">
        <f>MAX($C305,$E305,$G305,$I305,$K305,$M305,$O305,$Q305)</f>
        <v>0</v>
      </c>
    </row>
    <row r="306" spans="1:23">
      <c r="A306" s="1" t="s">
        <v>35</v>
      </c>
      <c r="B306" s="1"/>
      <c r="C306" s="1"/>
      <c r="D306" s="1" cm="1">
        <f t="array" ref="D306">_xlfn.SWITCH($A$2,"average", AVERAGE(Instances!D306:Instances!D306),"median", MEDIAN(Instances!D306:Instances!D306),"min", MIN(Instances!D306:Instances!D306),"max", MAX(Instances!D306:Instances!D306),"diff", MAX(Instances!D306:Instances!D306)-MIN(Instances!D306:Instances!D306))</f>
        <v>0</v>
      </c>
      <c r="E306" s="1" cm="1">
        <f t="array" ref="E306">_xlfn.SWITCH($A$2,"average", AVERAGE(Instances!E306:Instances!E306),"median", MEDIAN(Instances!E306:Instances!E306),"min", MIN(Instances!E306:Instances!E306),"max", MAX(Instances!E306:Instances!E306),"diff", MAX(Instances!E306:Instances!E306)-MIN(Instances!E306:Instances!E306))</f>
        <v>0</v>
      </c>
      <c r="F306" s="1" cm="1">
        <f t="array" ref="F306">_xlfn.SWITCH($A$2,"average", AVERAGE(Instances!F306:Instances!F306),"median", MEDIAN(Instances!F306:Instances!F306),"min", MIN(Instances!F306:Instances!F306),"max", MAX(Instances!F306:Instances!F306),"diff", MAX(Instances!F306:Instances!F306)-MIN(Instances!F306:Instances!F306))</f>
        <v>0</v>
      </c>
      <c r="G306" s="1" cm="1">
        <f t="array" ref="G306">_xlfn.SWITCH($A$2,"average", AVERAGE(Instances!G306:Instances!G306),"median", MEDIAN(Instances!G306:Instances!G306),"min", MIN(Instances!G306:Instances!G306),"max", MAX(Instances!G306:Instances!G306),"diff", MAX(Instances!G306:Instances!G306)-MIN(Instances!G306:Instances!G306))</f>
        <v>0</v>
      </c>
      <c r="H306" s="1"/>
      <c r="I306" s="1"/>
      <c r="J306" s="1" cm="1">
        <f t="array" ref="J306">_xlfn.SWITCH($A$2,"average", AVERAGE(Instances!J306:Instances!J306),"median", MEDIAN(Instances!J306:Instances!J306),"min", MIN(Instances!J306:Instances!J306),"max", MAX(Instances!J306:Instances!J306),"diff", MAX(Instances!J306:Instances!J306)-MIN(Instances!J306:Instances!J306))</f>
        <v>0</v>
      </c>
      <c r="K306" s="1" cm="1">
        <f t="array" ref="K306">_xlfn.SWITCH($A$2,"average", AVERAGE(Instances!K306:Instances!K306),"median", MEDIAN(Instances!K306:Instances!K306),"min", MIN(Instances!K306:Instances!K306),"max", MAX(Instances!K306:Instances!K306),"diff", MAX(Instances!K306:Instances!K306)-MIN(Instances!K306:Instances!K306))</f>
        <v>0</v>
      </c>
      <c r="L306" s="1" cm="1">
        <f t="array" ref="L306">_xlfn.SWITCH($A$2,"average", AVERAGE(Instances!L306:Instances!L306),"median", MEDIAN(Instances!L306:Instances!L306),"min", MIN(Instances!L306:Instances!L306),"max", MAX(Instances!L306:Instances!L306),"diff", MAX(Instances!L306:Instances!L306)-MIN(Instances!L306:Instances!L306))</f>
        <v>0</v>
      </c>
      <c r="M306" s="1" cm="1">
        <f t="array" ref="M306">_xlfn.SWITCH($A$2,"average", AVERAGE(Instances!M306:Instances!M306),"median", MEDIAN(Instances!M306:Instances!M306),"min", MIN(Instances!M306:Instances!M306),"max", MAX(Instances!M306:Instances!M306),"diff", MAX(Instances!M306:Instances!M306)-MIN(Instances!M306:Instances!M306))</f>
        <v>0</v>
      </c>
      <c r="N306" s="1" cm="1">
        <f t="array" ref="N306">_xlfn.SWITCH($A$2,"average", AVERAGE(Instances!N306:Instances!N306),"median", MEDIAN(Instances!N306:Instances!N306),"min", MIN(Instances!N306:Instances!N306),"max", MAX(Instances!N306:Instances!N306),"diff", MAX(Instances!N306:Instances!N306)-MIN(Instances!N306:Instances!N306))</f>
        <v>0</v>
      </c>
      <c r="O306" s="1" cm="1">
        <f t="array" ref="O306">_xlfn.SWITCH($A$2,"average", AVERAGE(Instances!O306:Instances!O306),"median", MEDIAN(Instances!O306:Instances!O306),"min", MIN(Instances!O306:Instances!O306),"max", MAX(Instances!O306:Instances!O306),"diff", MAX(Instances!O306:Instances!O306)-MIN(Instances!O306:Instances!O306))</f>
        <v>0</v>
      </c>
      <c r="P306" s="1" cm="1">
        <f t="array" ref="P306">_xlfn.SWITCH($A$2,"average", AVERAGE(Instances!P306:Instances!P306),"median", MEDIAN(Instances!P306:Instances!P306),"min", MIN(Instances!P306:Instances!P306),"max", MAX(Instances!P306:Instances!P306),"diff", MAX(Instances!P306:Instances!P306)-MIN(Instances!P306:Instances!P306))</f>
        <v>0</v>
      </c>
      <c r="Q306" s="1" cm="1">
        <f t="array" ref="Q306">_xlfn.SWITCH($A$2,"average", AVERAGE(Instances!Q306:Instances!Q306),"median", MEDIAN(Instances!Q306:Instances!Q306),"min", MIN(Instances!Q306:Instances!Q306),"max", MAX(Instances!Q306:Instances!Q306),"diff", MAX(Instances!Q306:Instances!Q306)-MIN(Instances!Q306:Instances!Q306))</f>
        <v>0</v>
      </c>
      <c r="R306" s="1">
        <f>MIN($B306,$D306,$F306,$H306,$J306,$L306,$N306,$P306)</f>
        <v>0</v>
      </c>
      <c r="S306" s="1">
        <f>MIN($C306,$E306,$G306,$I306,$K306,$M306,$O306,$Q306)</f>
        <v>0</v>
      </c>
      <c r="T306" s="1">
        <f>MEDIAN($B306,$D306,$F306,$H306,$J306,$L306,$N306,$P306)</f>
        <v>0</v>
      </c>
      <c r="U306" s="1">
        <f>MEDIAN($C306,$E306,$G306,$I306,$K306,$M306,$O306,$Q306)</f>
        <v>0</v>
      </c>
      <c r="V306" s="1">
        <f>MAX($B306,$D306,$F306,$H306,$J306,$L306,$N306,$P306)</f>
        <v>0</v>
      </c>
      <c r="W306" s="1">
        <f>MAX($C306,$E306,$G306,$I306,$K306,$M306,$O306,$Q306)</f>
        <v>0</v>
      </c>
    </row>
    <row r="307" spans="1:23">
      <c r="A307" s="1" t="s">
        <v>36</v>
      </c>
      <c r="B307" s="1"/>
      <c r="C307" s="1"/>
      <c r="D307" s="1" cm="1">
        <f t="array" ref="D307">_xlfn.SWITCH($A$2,"average", AVERAGE(Instances!D307:Instances!D307),"median", MEDIAN(Instances!D307:Instances!D307),"min", MIN(Instances!D307:Instances!D307),"max", MAX(Instances!D307:Instances!D307),"diff", MAX(Instances!D307:Instances!D307)-MIN(Instances!D307:Instances!D307))</f>
        <v>0</v>
      </c>
      <c r="E307" s="1" cm="1">
        <f t="array" ref="E307">_xlfn.SWITCH($A$2,"average", AVERAGE(Instances!E307:Instances!E307),"median", MEDIAN(Instances!E307:Instances!E307),"min", MIN(Instances!E307:Instances!E307),"max", MAX(Instances!E307:Instances!E307),"diff", MAX(Instances!E307:Instances!E307)-MIN(Instances!E307:Instances!E307))</f>
        <v>0</v>
      </c>
      <c r="F307" s="1" cm="1">
        <f t="array" ref="F307">_xlfn.SWITCH($A$2,"average", AVERAGE(Instances!F307:Instances!F307),"median", MEDIAN(Instances!F307:Instances!F307),"min", MIN(Instances!F307:Instances!F307),"max", MAX(Instances!F307:Instances!F307),"diff", MAX(Instances!F307:Instances!F307)-MIN(Instances!F307:Instances!F307))</f>
        <v>0</v>
      </c>
      <c r="G307" s="1" cm="1">
        <f t="array" ref="G307">_xlfn.SWITCH($A$2,"average", AVERAGE(Instances!G307:Instances!G307),"median", MEDIAN(Instances!G307:Instances!G307),"min", MIN(Instances!G307:Instances!G307),"max", MAX(Instances!G307:Instances!G307),"diff", MAX(Instances!G307:Instances!G307)-MIN(Instances!G307:Instances!G307))</f>
        <v>0</v>
      </c>
      <c r="H307" s="1"/>
      <c r="I307" s="1"/>
      <c r="J307" s="1" cm="1">
        <f t="array" ref="J307">_xlfn.SWITCH($A$2,"average", AVERAGE(Instances!J307:Instances!J307),"median", MEDIAN(Instances!J307:Instances!J307),"min", MIN(Instances!J307:Instances!J307),"max", MAX(Instances!J307:Instances!J307),"diff", MAX(Instances!J307:Instances!J307)-MIN(Instances!J307:Instances!J307))</f>
        <v>0</v>
      </c>
      <c r="K307" s="1" cm="1">
        <f t="array" ref="K307">_xlfn.SWITCH($A$2,"average", AVERAGE(Instances!K307:Instances!K307),"median", MEDIAN(Instances!K307:Instances!K307),"min", MIN(Instances!K307:Instances!K307),"max", MAX(Instances!K307:Instances!K307),"diff", MAX(Instances!K307:Instances!K307)-MIN(Instances!K307:Instances!K307))</f>
        <v>0</v>
      </c>
      <c r="L307" s="1" cm="1">
        <f t="array" ref="L307">_xlfn.SWITCH($A$2,"average", AVERAGE(Instances!L307:Instances!L307),"median", MEDIAN(Instances!L307:Instances!L307),"min", MIN(Instances!L307:Instances!L307),"max", MAX(Instances!L307:Instances!L307),"diff", MAX(Instances!L307:Instances!L307)-MIN(Instances!L307:Instances!L307))</f>
        <v>0</v>
      </c>
      <c r="M307" s="1" cm="1">
        <f t="array" ref="M307">_xlfn.SWITCH($A$2,"average", AVERAGE(Instances!M307:Instances!M307),"median", MEDIAN(Instances!M307:Instances!M307),"min", MIN(Instances!M307:Instances!M307),"max", MAX(Instances!M307:Instances!M307),"diff", MAX(Instances!M307:Instances!M307)-MIN(Instances!M307:Instances!M307))</f>
        <v>0</v>
      </c>
      <c r="N307" s="1" cm="1">
        <f t="array" ref="N307">_xlfn.SWITCH($A$2,"average", AVERAGE(Instances!N307:Instances!N307),"median", MEDIAN(Instances!N307:Instances!N307),"min", MIN(Instances!N307:Instances!N307),"max", MAX(Instances!N307:Instances!N307),"diff", MAX(Instances!N307:Instances!N307)-MIN(Instances!N307:Instances!N307))</f>
        <v>0</v>
      </c>
      <c r="O307" s="1" cm="1">
        <f t="array" ref="O307">_xlfn.SWITCH($A$2,"average", AVERAGE(Instances!O307:Instances!O307),"median", MEDIAN(Instances!O307:Instances!O307),"min", MIN(Instances!O307:Instances!O307),"max", MAX(Instances!O307:Instances!O307),"diff", MAX(Instances!O307:Instances!O307)-MIN(Instances!O307:Instances!O307))</f>
        <v>0</v>
      </c>
      <c r="P307" s="1" cm="1">
        <f t="array" ref="P307">_xlfn.SWITCH($A$2,"average", AVERAGE(Instances!P307:Instances!P307),"median", MEDIAN(Instances!P307:Instances!P307),"min", MIN(Instances!P307:Instances!P307),"max", MAX(Instances!P307:Instances!P307),"diff", MAX(Instances!P307:Instances!P307)-MIN(Instances!P307:Instances!P307))</f>
        <v>0</v>
      </c>
      <c r="Q307" s="1" cm="1">
        <f t="array" ref="Q307">_xlfn.SWITCH($A$2,"average", AVERAGE(Instances!Q307:Instances!Q307),"median", MEDIAN(Instances!Q307:Instances!Q307),"min", MIN(Instances!Q307:Instances!Q307),"max", MAX(Instances!Q307:Instances!Q307),"diff", MAX(Instances!Q307:Instances!Q307)-MIN(Instances!Q307:Instances!Q307))</f>
        <v>0</v>
      </c>
      <c r="R307" s="1">
        <f>MIN($B307,$D307,$F307,$H307,$J307,$L307,$N307,$P307)</f>
        <v>0</v>
      </c>
      <c r="S307" s="1">
        <f>MIN($C307,$E307,$G307,$I307,$K307,$M307,$O307,$Q307)</f>
        <v>0</v>
      </c>
      <c r="T307" s="1">
        <f>MEDIAN($B307,$D307,$F307,$H307,$J307,$L307,$N307,$P307)</f>
        <v>0</v>
      </c>
      <c r="U307" s="1">
        <f>MEDIAN($C307,$E307,$G307,$I307,$K307,$M307,$O307,$Q307)</f>
        <v>0</v>
      </c>
      <c r="V307" s="1">
        <f>MAX($B307,$D307,$F307,$H307,$J307,$L307,$N307,$P307)</f>
        <v>0</v>
      </c>
      <c r="W307" s="1">
        <f>MAX($C307,$E307,$G307,$I307,$K307,$M307,$O307,$Q307)</f>
        <v>0</v>
      </c>
    </row>
    <row r="308" spans="1:23">
      <c r="A308" s="1" t="s">
        <v>37</v>
      </c>
      <c r="B308" s="1"/>
      <c r="C308" s="1"/>
      <c r="D308" s="1" cm="1">
        <f t="array" ref="D308">_xlfn.SWITCH($A$2,"average", AVERAGE(Instances!D308:Instances!D308),"median", MEDIAN(Instances!D308:Instances!D308),"min", MIN(Instances!D308:Instances!D308),"max", MAX(Instances!D308:Instances!D308),"diff", MAX(Instances!D308:Instances!D308)-MIN(Instances!D308:Instances!D308))</f>
        <v>0</v>
      </c>
      <c r="E308" s="1" cm="1">
        <f t="array" ref="E308">_xlfn.SWITCH($A$2,"average", AVERAGE(Instances!E308:Instances!E308),"median", MEDIAN(Instances!E308:Instances!E308),"min", MIN(Instances!E308:Instances!E308),"max", MAX(Instances!E308:Instances!E308),"diff", MAX(Instances!E308:Instances!E308)-MIN(Instances!E308:Instances!E308))</f>
        <v>0</v>
      </c>
      <c r="F308" s="1" cm="1">
        <f t="array" ref="F308">_xlfn.SWITCH($A$2,"average", AVERAGE(Instances!F308:Instances!F308),"median", MEDIAN(Instances!F308:Instances!F308),"min", MIN(Instances!F308:Instances!F308),"max", MAX(Instances!F308:Instances!F308),"diff", MAX(Instances!F308:Instances!F308)-MIN(Instances!F308:Instances!F308))</f>
        <v>0</v>
      </c>
      <c r="G308" s="1" cm="1">
        <f t="array" ref="G308">_xlfn.SWITCH($A$2,"average", AVERAGE(Instances!G308:Instances!G308),"median", MEDIAN(Instances!G308:Instances!G308),"min", MIN(Instances!G308:Instances!G308),"max", MAX(Instances!G308:Instances!G308),"diff", MAX(Instances!G308:Instances!G308)-MIN(Instances!G308:Instances!G308))</f>
        <v>0</v>
      </c>
      <c r="H308" s="1"/>
      <c r="I308" s="1"/>
      <c r="J308" s="1" cm="1">
        <f t="array" ref="J308">_xlfn.SWITCH($A$2,"average", AVERAGE(Instances!J308:Instances!J308),"median", MEDIAN(Instances!J308:Instances!J308),"min", MIN(Instances!J308:Instances!J308),"max", MAX(Instances!J308:Instances!J308),"diff", MAX(Instances!J308:Instances!J308)-MIN(Instances!J308:Instances!J308))</f>
        <v>0</v>
      </c>
      <c r="K308" s="1" cm="1">
        <f t="array" ref="K308">_xlfn.SWITCH($A$2,"average", AVERAGE(Instances!K308:Instances!K308),"median", MEDIAN(Instances!K308:Instances!K308),"min", MIN(Instances!K308:Instances!K308),"max", MAX(Instances!K308:Instances!K308),"diff", MAX(Instances!K308:Instances!K308)-MIN(Instances!K308:Instances!K308))</f>
        <v>0</v>
      </c>
      <c r="L308" s="1" cm="1">
        <f t="array" ref="L308">_xlfn.SWITCH($A$2,"average", AVERAGE(Instances!L308:Instances!L308),"median", MEDIAN(Instances!L308:Instances!L308),"min", MIN(Instances!L308:Instances!L308),"max", MAX(Instances!L308:Instances!L308),"diff", MAX(Instances!L308:Instances!L308)-MIN(Instances!L308:Instances!L308))</f>
        <v>0</v>
      </c>
      <c r="M308" s="1" cm="1">
        <f t="array" ref="M308">_xlfn.SWITCH($A$2,"average", AVERAGE(Instances!M308:Instances!M308),"median", MEDIAN(Instances!M308:Instances!M308),"min", MIN(Instances!M308:Instances!M308),"max", MAX(Instances!M308:Instances!M308),"diff", MAX(Instances!M308:Instances!M308)-MIN(Instances!M308:Instances!M308))</f>
        <v>0</v>
      </c>
      <c r="N308" s="1" cm="1">
        <f t="array" ref="N308">_xlfn.SWITCH($A$2,"average", AVERAGE(Instances!N308:Instances!N308),"median", MEDIAN(Instances!N308:Instances!N308),"min", MIN(Instances!N308:Instances!N308),"max", MAX(Instances!N308:Instances!N308),"diff", MAX(Instances!N308:Instances!N308)-MIN(Instances!N308:Instances!N308))</f>
        <v>0</v>
      </c>
      <c r="O308" s="1" cm="1">
        <f t="array" ref="O308">_xlfn.SWITCH($A$2,"average", AVERAGE(Instances!O308:Instances!O308),"median", MEDIAN(Instances!O308:Instances!O308),"min", MIN(Instances!O308:Instances!O308),"max", MAX(Instances!O308:Instances!O308),"diff", MAX(Instances!O308:Instances!O308)-MIN(Instances!O308:Instances!O308))</f>
        <v>0</v>
      </c>
      <c r="P308" s="1" cm="1">
        <f t="array" ref="P308">_xlfn.SWITCH($A$2,"average", AVERAGE(Instances!P308:Instances!P308),"median", MEDIAN(Instances!P308:Instances!P308),"min", MIN(Instances!P308:Instances!P308),"max", MAX(Instances!P308:Instances!P308),"diff", MAX(Instances!P308:Instances!P308)-MIN(Instances!P308:Instances!P308))</f>
        <v>0</v>
      </c>
      <c r="Q308" s="1" cm="1">
        <f t="array" ref="Q308">_xlfn.SWITCH($A$2,"average", AVERAGE(Instances!Q308:Instances!Q308),"median", MEDIAN(Instances!Q308:Instances!Q308),"min", MIN(Instances!Q308:Instances!Q308),"max", MAX(Instances!Q308:Instances!Q308),"diff", MAX(Instances!Q308:Instances!Q308)-MIN(Instances!Q308:Instances!Q308))</f>
        <v>0</v>
      </c>
      <c r="R308" s="1">
        <f>MIN($B308,$D308,$F308,$H308,$J308,$L308,$N308,$P308)</f>
        <v>0</v>
      </c>
      <c r="S308" s="1">
        <f>MIN($C308,$E308,$G308,$I308,$K308,$M308,$O308,$Q308)</f>
        <v>0</v>
      </c>
      <c r="T308" s="1">
        <f>MEDIAN($B308,$D308,$F308,$H308,$J308,$L308,$N308,$P308)</f>
        <v>0</v>
      </c>
      <c r="U308" s="1">
        <f>MEDIAN($C308,$E308,$G308,$I308,$K308,$M308,$O308,$Q308)</f>
        <v>0</v>
      </c>
      <c r="V308" s="1">
        <f>MAX($B308,$D308,$F308,$H308,$J308,$L308,$N308,$P308)</f>
        <v>0</v>
      </c>
      <c r="W308" s="1">
        <f>MAX($C308,$E308,$G308,$I308,$K308,$M308,$O308,$Q308)</f>
        <v>0</v>
      </c>
    </row>
    <row r="309" spans="1:23">
      <c r="A309" s="1" t="s">
        <v>38</v>
      </c>
      <c r="B309" s="1"/>
      <c r="C309" s="1"/>
      <c r="D309" s="1" cm="1">
        <f t="array" ref="D309">_xlfn.SWITCH($A$2,"average", AVERAGE(Instances!D309:Instances!D309),"median", MEDIAN(Instances!D309:Instances!D309),"min", MIN(Instances!D309:Instances!D309),"max", MAX(Instances!D309:Instances!D309),"diff", MAX(Instances!D309:Instances!D309)-MIN(Instances!D309:Instances!D309))</f>
        <v>0</v>
      </c>
      <c r="E309" s="1" cm="1">
        <f t="array" ref="E309">_xlfn.SWITCH($A$2,"average", AVERAGE(Instances!E309:Instances!E309),"median", MEDIAN(Instances!E309:Instances!E309),"min", MIN(Instances!E309:Instances!E309),"max", MAX(Instances!E309:Instances!E309),"diff", MAX(Instances!E309:Instances!E309)-MIN(Instances!E309:Instances!E309))</f>
        <v>0</v>
      </c>
      <c r="F309" s="1" cm="1">
        <f t="array" ref="F309">_xlfn.SWITCH($A$2,"average", AVERAGE(Instances!F309:Instances!F309),"median", MEDIAN(Instances!F309:Instances!F309),"min", MIN(Instances!F309:Instances!F309),"max", MAX(Instances!F309:Instances!F309),"diff", MAX(Instances!F309:Instances!F309)-MIN(Instances!F309:Instances!F309))</f>
        <v>0</v>
      </c>
      <c r="G309" s="1" cm="1">
        <f t="array" ref="G309">_xlfn.SWITCH($A$2,"average", AVERAGE(Instances!G309:Instances!G309),"median", MEDIAN(Instances!G309:Instances!G309),"min", MIN(Instances!G309:Instances!G309),"max", MAX(Instances!G309:Instances!G309),"diff", MAX(Instances!G309:Instances!G309)-MIN(Instances!G309:Instances!G309))</f>
        <v>0</v>
      </c>
      <c r="H309" s="1"/>
      <c r="I309" s="1"/>
      <c r="J309" s="1" cm="1">
        <f t="array" ref="J309">_xlfn.SWITCH($A$2,"average", AVERAGE(Instances!J309:Instances!J309),"median", MEDIAN(Instances!J309:Instances!J309),"min", MIN(Instances!J309:Instances!J309),"max", MAX(Instances!J309:Instances!J309),"diff", MAX(Instances!J309:Instances!J309)-MIN(Instances!J309:Instances!J309))</f>
        <v>0</v>
      </c>
      <c r="K309" s="1" cm="1">
        <f t="array" ref="K309">_xlfn.SWITCH($A$2,"average", AVERAGE(Instances!K309:Instances!K309),"median", MEDIAN(Instances!K309:Instances!K309),"min", MIN(Instances!K309:Instances!K309),"max", MAX(Instances!K309:Instances!K309),"diff", MAX(Instances!K309:Instances!K309)-MIN(Instances!K309:Instances!K309))</f>
        <v>0</v>
      </c>
      <c r="L309" s="1" cm="1">
        <f t="array" ref="L309">_xlfn.SWITCH($A$2,"average", AVERAGE(Instances!L309:Instances!L309),"median", MEDIAN(Instances!L309:Instances!L309),"min", MIN(Instances!L309:Instances!L309),"max", MAX(Instances!L309:Instances!L309),"diff", MAX(Instances!L309:Instances!L309)-MIN(Instances!L309:Instances!L309))</f>
        <v>0</v>
      </c>
      <c r="M309" s="1" cm="1">
        <f t="array" ref="M309">_xlfn.SWITCH($A$2,"average", AVERAGE(Instances!M309:Instances!M309),"median", MEDIAN(Instances!M309:Instances!M309),"min", MIN(Instances!M309:Instances!M309),"max", MAX(Instances!M309:Instances!M309),"diff", MAX(Instances!M309:Instances!M309)-MIN(Instances!M309:Instances!M309))</f>
        <v>0</v>
      </c>
      <c r="N309" s="1" cm="1">
        <f t="array" ref="N309">_xlfn.SWITCH($A$2,"average", AVERAGE(Instances!N309:Instances!N309),"median", MEDIAN(Instances!N309:Instances!N309),"min", MIN(Instances!N309:Instances!N309),"max", MAX(Instances!N309:Instances!N309),"diff", MAX(Instances!N309:Instances!N309)-MIN(Instances!N309:Instances!N309))</f>
        <v>0</v>
      </c>
      <c r="O309" s="1" cm="1">
        <f t="array" ref="O309">_xlfn.SWITCH($A$2,"average", AVERAGE(Instances!O309:Instances!O309),"median", MEDIAN(Instances!O309:Instances!O309),"min", MIN(Instances!O309:Instances!O309),"max", MAX(Instances!O309:Instances!O309),"diff", MAX(Instances!O309:Instances!O309)-MIN(Instances!O309:Instances!O309))</f>
        <v>0</v>
      </c>
      <c r="P309" s="1" cm="1">
        <f t="array" ref="P309">_xlfn.SWITCH($A$2,"average", AVERAGE(Instances!P309:Instances!P309),"median", MEDIAN(Instances!P309:Instances!P309),"min", MIN(Instances!P309:Instances!P309),"max", MAX(Instances!P309:Instances!P309),"diff", MAX(Instances!P309:Instances!P309)-MIN(Instances!P309:Instances!P309))</f>
        <v>0</v>
      </c>
      <c r="Q309" s="1" cm="1">
        <f t="array" ref="Q309">_xlfn.SWITCH($A$2,"average", AVERAGE(Instances!Q309:Instances!Q309),"median", MEDIAN(Instances!Q309:Instances!Q309),"min", MIN(Instances!Q309:Instances!Q309),"max", MAX(Instances!Q309:Instances!Q309),"diff", MAX(Instances!Q309:Instances!Q309)-MIN(Instances!Q309:Instances!Q309))</f>
        <v>0</v>
      </c>
      <c r="R309" s="1">
        <f>MIN($B309,$D309,$F309,$H309,$J309,$L309,$N309,$P309)</f>
        <v>0</v>
      </c>
      <c r="S309" s="1">
        <f>MIN($C309,$E309,$G309,$I309,$K309,$M309,$O309,$Q309)</f>
        <v>0</v>
      </c>
      <c r="T309" s="1">
        <f>MEDIAN($B309,$D309,$F309,$H309,$J309,$L309,$N309,$P309)</f>
        <v>0</v>
      </c>
      <c r="U309" s="1">
        <f>MEDIAN($C309,$E309,$G309,$I309,$K309,$M309,$O309,$Q309)</f>
        <v>0</v>
      </c>
      <c r="V309" s="1">
        <f>MAX($B309,$D309,$F309,$H309,$J309,$L309,$N309,$P309)</f>
        <v>0</v>
      </c>
      <c r="W309" s="1">
        <f>MAX($C309,$E309,$G309,$I309,$K309,$M309,$O309,$Q309)</f>
        <v>0</v>
      </c>
    </row>
    <row r="310" spans="1:23">
      <c r="A310" s="1" t="s">
        <v>39</v>
      </c>
      <c r="B310" s="1"/>
      <c r="C310" s="1"/>
      <c r="D310" s="1" cm="1">
        <f t="array" ref="D310">_xlfn.SWITCH($A$2,"average", AVERAGE(Instances!D310:Instances!D310),"median", MEDIAN(Instances!D310:Instances!D310),"min", MIN(Instances!D310:Instances!D310),"max", MAX(Instances!D310:Instances!D310),"diff", MAX(Instances!D310:Instances!D310)-MIN(Instances!D310:Instances!D310))</f>
        <v>0</v>
      </c>
      <c r="E310" s="1" cm="1">
        <f t="array" ref="E310">_xlfn.SWITCH($A$2,"average", AVERAGE(Instances!E310:Instances!E310),"median", MEDIAN(Instances!E310:Instances!E310),"min", MIN(Instances!E310:Instances!E310),"max", MAX(Instances!E310:Instances!E310),"diff", MAX(Instances!E310:Instances!E310)-MIN(Instances!E310:Instances!E310))</f>
        <v>0</v>
      </c>
      <c r="F310" s="1" cm="1">
        <f t="array" ref="F310">_xlfn.SWITCH($A$2,"average", AVERAGE(Instances!F310:Instances!F310),"median", MEDIAN(Instances!F310:Instances!F310),"min", MIN(Instances!F310:Instances!F310),"max", MAX(Instances!F310:Instances!F310),"diff", MAX(Instances!F310:Instances!F310)-MIN(Instances!F310:Instances!F310))</f>
        <v>0</v>
      </c>
      <c r="G310" s="1" cm="1">
        <f t="array" ref="G310">_xlfn.SWITCH($A$2,"average", AVERAGE(Instances!G310:Instances!G310),"median", MEDIAN(Instances!G310:Instances!G310),"min", MIN(Instances!G310:Instances!G310),"max", MAX(Instances!G310:Instances!G310),"diff", MAX(Instances!G310:Instances!G310)-MIN(Instances!G310:Instances!G310))</f>
        <v>0</v>
      </c>
      <c r="H310" s="1"/>
      <c r="I310" s="1"/>
      <c r="J310" s="1" cm="1">
        <f t="array" ref="J310">_xlfn.SWITCH($A$2,"average", AVERAGE(Instances!J310:Instances!J310),"median", MEDIAN(Instances!J310:Instances!J310),"min", MIN(Instances!J310:Instances!J310),"max", MAX(Instances!J310:Instances!J310),"diff", MAX(Instances!J310:Instances!J310)-MIN(Instances!J310:Instances!J310))</f>
        <v>0</v>
      </c>
      <c r="K310" s="1" cm="1">
        <f t="array" ref="K310">_xlfn.SWITCH($A$2,"average", AVERAGE(Instances!K310:Instances!K310),"median", MEDIAN(Instances!K310:Instances!K310),"min", MIN(Instances!K310:Instances!K310),"max", MAX(Instances!K310:Instances!K310),"diff", MAX(Instances!K310:Instances!K310)-MIN(Instances!K310:Instances!K310))</f>
        <v>0</v>
      </c>
      <c r="L310" s="1" cm="1">
        <f t="array" ref="L310">_xlfn.SWITCH($A$2,"average", AVERAGE(Instances!L310:Instances!L310),"median", MEDIAN(Instances!L310:Instances!L310),"min", MIN(Instances!L310:Instances!L310),"max", MAX(Instances!L310:Instances!L310),"diff", MAX(Instances!L310:Instances!L310)-MIN(Instances!L310:Instances!L310))</f>
        <v>0</v>
      </c>
      <c r="M310" s="1" cm="1">
        <f t="array" ref="M310">_xlfn.SWITCH($A$2,"average", AVERAGE(Instances!M310:Instances!M310),"median", MEDIAN(Instances!M310:Instances!M310),"min", MIN(Instances!M310:Instances!M310),"max", MAX(Instances!M310:Instances!M310),"diff", MAX(Instances!M310:Instances!M310)-MIN(Instances!M310:Instances!M310))</f>
        <v>0</v>
      </c>
      <c r="N310" s="1" cm="1">
        <f t="array" ref="N310">_xlfn.SWITCH($A$2,"average", AVERAGE(Instances!N310:Instances!N310),"median", MEDIAN(Instances!N310:Instances!N310),"min", MIN(Instances!N310:Instances!N310),"max", MAX(Instances!N310:Instances!N310),"diff", MAX(Instances!N310:Instances!N310)-MIN(Instances!N310:Instances!N310))</f>
        <v>0</v>
      </c>
      <c r="O310" s="1" cm="1">
        <f t="array" ref="O310">_xlfn.SWITCH($A$2,"average", AVERAGE(Instances!O310:Instances!O310),"median", MEDIAN(Instances!O310:Instances!O310),"min", MIN(Instances!O310:Instances!O310),"max", MAX(Instances!O310:Instances!O310),"diff", MAX(Instances!O310:Instances!O310)-MIN(Instances!O310:Instances!O310))</f>
        <v>0</v>
      </c>
      <c r="P310" s="1" cm="1">
        <f t="array" ref="P310">_xlfn.SWITCH($A$2,"average", AVERAGE(Instances!P310:Instances!P310),"median", MEDIAN(Instances!P310:Instances!P310),"min", MIN(Instances!P310:Instances!P310),"max", MAX(Instances!P310:Instances!P310),"diff", MAX(Instances!P310:Instances!P310)-MIN(Instances!P310:Instances!P310))</f>
        <v>0</v>
      </c>
      <c r="Q310" s="1" cm="1">
        <f t="array" ref="Q310">_xlfn.SWITCH($A$2,"average", AVERAGE(Instances!Q310:Instances!Q310),"median", MEDIAN(Instances!Q310:Instances!Q310),"min", MIN(Instances!Q310:Instances!Q310),"max", MAX(Instances!Q310:Instances!Q310),"diff", MAX(Instances!Q310:Instances!Q310)-MIN(Instances!Q310:Instances!Q310))</f>
        <v>0</v>
      </c>
      <c r="R310" s="1">
        <f>MIN($B310,$D310,$F310,$H310,$J310,$L310,$N310,$P310)</f>
        <v>0</v>
      </c>
      <c r="S310" s="1">
        <f>MIN($C310,$E310,$G310,$I310,$K310,$M310,$O310,$Q310)</f>
        <v>0</v>
      </c>
      <c r="T310" s="1">
        <f>MEDIAN($B310,$D310,$F310,$H310,$J310,$L310,$N310,$P310)</f>
        <v>0</v>
      </c>
      <c r="U310" s="1">
        <f>MEDIAN($C310,$E310,$G310,$I310,$K310,$M310,$O310,$Q310)</f>
        <v>0</v>
      </c>
      <c r="V310" s="1">
        <f>MAX($B310,$D310,$F310,$H310,$J310,$L310,$N310,$P310)</f>
        <v>0</v>
      </c>
      <c r="W310" s="1">
        <f>MAX($C310,$E310,$G310,$I310,$K310,$M310,$O310,$Q310)</f>
        <v>0</v>
      </c>
    </row>
    <row r="311" spans="1:23">
      <c r="A311" s="1" t="s">
        <v>40</v>
      </c>
      <c r="B311" s="1"/>
      <c r="C311" s="1"/>
      <c r="D311" s="1" cm="1">
        <f t="array" ref="D311">_xlfn.SWITCH($A$2,"average", AVERAGE(Instances!D311:Instances!D311),"median", MEDIAN(Instances!D311:Instances!D311),"min", MIN(Instances!D311:Instances!D311),"max", MAX(Instances!D311:Instances!D311),"diff", MAX(Instances!D311:Instances!D311)-MIN(Instances!D311:Instances!D311))</f>
        <v>0</v>
      </c>
      <c r="E311" s="1" cm="1">
        <f t="array" ref="E311">_xlfn.SWITCH($A$2,"average", AVERAGE(Instances!E311:Instances!E311),"median", MEDIAN(Instances!E311:Instances!E311),"min", MIN(Instances!E311:Instances!E311),"max", MAX(Instances!E311:Instances!E311),"diff", MAX(Instances!E311:Instances!E311)-MIN(Instances!E311:Instances!E311))</f>
        <v>0</v>
      </c>
      <c r="F311" s="1" cm="1">
        <f t="array" ref="F311">_xlfn.SWITCH($A$2,"average", AVERAGE(Instances!F311:Instances!F311),"median", MEDIAN(Instances!F311:Instances!F311),"min", MIN(Instances!F311:Instances!F311),"max", MAX(Instances!F311:Instances!F311),"diff", MAX(Instances!F311:Instances!F311)-MIN(Instances!F311:Instances!F311))</f>
        <v>0</v>
      </c>
      <c r="G311" s="1" cm="1">
        <f t="array" ref="G311">_xlfn.SWITCH($A$2,"average", AVERAGE(Instances!G311:Instances!G311),"median", MEDIAN(Instances!G311:Instances!G311),"min", MIN(Instances!G311:Instances!G311),"max", MAX(Instances!G311:Instances!G311),"diff", MAX(Instances!G311:Instances!G311)-MIN(Instances!G311:Instances!G311))</f>
        <v>0</v>
      </c>
      <c r="H311" s="1"/>
      <c r="I311" s="1"/>
      <c r="J311" s="1" cm="1">
        <f t="array" ref="J311">_xlfn.SWITCH($A$2,"average", AVERAGE(Instances!J311:Instances!J311),"median", MEDIAN(Instances!J311:Instances!J311),"min", MIN(Instances!J311:Instances!J311),"max", MAX(Instances!J311:Instances!J311),"diff", MAX(Instances!J311:Instances!J311)-MIN(Instances!J311:Instances!J311))</f>
        <v>0</v>
      </c>
      <c r="K311" s="1" cm="1">
        <f t="array" ref="K311">_xlfn.SWITCH($A$2,"average", AVERAGE(Instances!K311:Instances!K311),"median", MEDIAN(Instances!K311:Instances!K311),"min", MIN(Instances!K311:Instances!K311),"max", MAX(Instances!K311:Instances!K311),"diff", MAX(Instances!K311:Instances!K311)-MIN(Instances!K311:Instances!K311))</f>
        <v>0</v>
      </c>
      <c r="L311" s="1" cm="1">
        <f t="array" ref="L311">_xlfn.SWITCH($A$2,"average", AVERAGE(Instances!L311:Instances!L311),"median", MEDIAN(Instances!L311:Instances!L311),"min", MIN(Instances!L311:Instances!L311),"max", MAX(Instances!L311:Instances!L311),"diff", MAX(Instances!L311:Instances!L311)-MIN(Instances!L311:Instances!L311))</f>
        <v>0</v>
      </c>
      <c r="M311" s="1" cm="1">
        <f t="array" ref="M311">_xlfn.SWITCH($A$2,"average", AVERAGE(Instances!M311:Instances!M311),"median", MEDIAN(Instances!M311:Instances!M311),"min", MIN(Instances!M311:Instances!M311),"max", MAX(Instances!M311:Instances!M311),"diff", MAX(Instances!M311:Instances!M311)-MIN(Instances!M311:Instances!M311))</f>
        <v>0</v>
      </c>
      <c r="N311" s="1" cm="1">
        <f t="array" ref="N311">_xlfn.SWITCH($A$2,"average", AVERAGE(Instances!N311:Instances!N311),"median", MEDIAN(Instances!N311:Instances!N311),"min", MIN(Instances!N311:Instances!N311),"max", MAX(Instances!N311:Instances!N311),"diff", MAX(Instances!N311:Instances!N311)-MIN(Instances!N311:Instances!N311))</f>
        <v>0</v>
      </c>
      <c r="O311" s="1" cm="1">
        <f t="array" ref="O311">_xlfn.SWITCH($A$2,"average", AVERAGE(Instances!O311:Instances!O311),"median", MEDIAN(Instances!O311:Instances!O311),"min", MIN(Instances!O311:Instances!O311),"max", MAX(Instances!O311:Instances!O311),"diff", MAX(Instances!O311:Instances!O311)-MIN(Instances!O311:Instances!O311))</f>
        <v>0</v>
      </c>
      <c r="P311" s="1" cm="1">
        <f t="array" ref="P311">_xlfn.SWITCH($A$2,"average", AVERAGE(Instances!P311:Instances!P311),"median", MEDIAN(Instances!P311:Instances!P311),"min", MIN(Instances!P311:Instances!P311),"max", MAX(Instances!P311:Instances!P311),"diff", MAX(Instances!P311:Instances!P311)-MIN(Instances!P311:Instances!P311))</f>
        <v>0</v>
      </c>
      <c r="Q311" s="1" cm="1">
        <f t="array" ref="Q311">_xlfn.SWITCH($A$2,"average", AVERAGE(Instances!Q311:Instances!Q311),"median", MEDIAN(Instances!Q311:Instances!Q311),"min", MIN(Instances!Q311:Instances!Q311),"max", MAX(Instances!Q311:Instances!Q311),"diff", MAX(Instances!Q311:Instances!Q311)-MIN(Instances!Q311:Instances!Q311))</f>
        <v>0</v>
      </c>
      <c r="R311" s="1">
        <f>MIN($B311,$D311,$F311,$H311,$J311,$L311,$N311,$P311)</f>
        <v>0</v>
      </c>
      <c r="S311" s="1">
        <f>MIN($C311,$E311,$G311,$I311,$K311,$M311,$O311,$Q311)</f>
        <v>0</v>
      </c>
      <c r="T311" s="1">
        <f>MEDIAN($B311,$D311,$F311,$H311,$J311,$L311,$N311,$P311)</f>
        <v>0</v>
      </c>
      <c r="U311" s="1">
        <f>MEDIAN($C311,$E311,$G311,$I311,$K311,$M311,$O311,$Q311)</f>
        <v>0</v>
      </c>
      <c r="V311" s="1">
        <f>MAX($B311,$D311,$F311,$H311,$J311,$L311,$N311,$P311)</f>
        <v>0</v>
      </c>
      <c r="W311" s="1">
        <f>MAX($C311,$E311,$G311,$I311,$K311,$M311,$O311,$Q311)</f>
        <v>0</v>
      </c>
    </row>
    <row r="312" spans="1:23">
      <c r="A312" s="1" t="s">
        <v>41</v>
      </c>
      <c r="B312" s="1"/>
      <c r="C312" s="1"/>
      <c r="D312" s="1" cm="1">
        <f t="array" ref="D312">_xlfn.SWITCH($A$2,"average", AVERAGE(Instances!D312:Instances!D312),"median", MEDIAN(Instances!D312:Instances!D312),"min", MIN(Instances!D312:Instances!D312),"max", MAX(Instances!D312:Instances!D312),"diff", MAX(Instances!D312:Instances!D312)-MIN(Instances!D312:Instances!D312))</f>
        <v>0</v>
      </c>
      <c r="E312" s="1" cm="1">
        <f t="array" ref="E312">_xlfn.SWITCH($A$2,"average", AVERAGE(Instances!E312:Instances!E312),"median", MEDIAN(Instances!E312:Instances!E312),"min", MIN(Instances!E312:Instances!E312),"max", MAX(Instances!E312:Instances!E312),"diff", MAX(Instances!E312:Instances!E312)-MIN(Instances!E312:Instances!E312))</f>
        <v>0</v>
      </c>
      <c r="F312" s="1" cm="1">
        <f t="array" ref="F312">_xlfn.SWITCH($A$2,"average", AVERAGE(Instances!F312:Instances!F312),"median", MEDIAN(Instances!F312:Instances!F312),"min", MIN(Instances!F312:Instances!F312),"max", MAX(Instances!F312:Instances!F312),"diff", MAX(Instances!F312:Instances!F312)-MIN(Instances!F312:Instances!F312))</f>
        <v>0</v>
      </c>
      <c r="G312" s="1" cm="1">
        <f t="array" ref="G312">_xlfn.SWITCH($A$2,"average", AVERAGE(Instances!G312:Instances!G312),"median", MEDIAN(Instances!G312:Instances!G312),"min", MIN(Instances!G312:Instances!G312),"max", MAX(Instances!G312:Instances!G312),"diff", MAX(Instances!G312:Instances!G312)-MIN(Instances!G312:Instances!G312))</f>
        <v>0</v>
      </c>
      <c r="H312" s="1"/>
      <c r="I312" s="1"/>
      <c r="J312" s="1" cm="1">
        <f t="array" ref="J312">_xlfn.SWITCH($A$2,"average", AVERAGE(Instances!J312:Instances!J312),"median", MEDIAN(Instances!J312:Instances!J312),"min", MIN(Instances!J312:Instances!J312),"max", MAX(Instances!J312:Instances!J312),"diff", MAX(Instances!J312:Instances!J312)-MIN(Instances!J312:Instances!J312))</f>
        <v>0</v>
      </c>
      <c r="K312" s="1" cm="1">
        <f t="array" ref="K312">_xlfn.SWITCH($A$2,"average", AVERAGE(Instances!K312:Instances!K312),"median", MEDIAN(Instances!K312:Instances!K312),"min", MIN(Instances!K312:Instances!K312),"max", MAX(Instances!K312:Instances!K312),"diff", MAX(Instances!K312:Instances!K312)-MIN(Instances!K312:Instances!K312))</f>
        <v>0</v>
      </c>
      <c r="L312" s="1" cm="1">
        <f t="array" ref="L312">_xlfn.SWITCH($A$2,"average", AVERAGE(Instances!L312:Instances!L312),"median", MEDIAN(Instances!L312:Instances!L312),"min", MIN(Instances!L312:Instances!L312),"max", MAX(Instances!L312:Instances!L312),"diff", MAX(Instances!L312:Instances!L312)-MIN(Instances!L312:Instances!L312))</f>
        <v>0</v>
      </c>
      <c r="M312" s="1" cm="1">
        <f t="array" ref="M312">_xlfn.SWITCH($A$2,"average", AVERAGE(Instances!M312:Instances!M312),"median", MEDIAN(Instances!M312:Instances!M312),"min", MIN(Instances!M312:Instances!M312),"max", MAX(Instances!M312:Instances!M312),"diff", MAX(Instances!M312:Instances!M312)-MIN(Instances!M312:Instances!M312))</f>
        <v>0</v>
      </c>
      <c r="N312" s="1" cm="1">
        <f t="array" ref="N312">_xlfn.SWITCH($A$2,"average", AVERAGE(Instances!N312:Instances!N312),"median", MEDIAN(Instances!N312:Instances!N312),"min", MIN(Instances!N312:Instances!N312),"max", MAX(Instances!N312:Instances!N312),"diff", MAX(Instances!N312:Instances!N312)-MIN(Instances!N312:Instances!N312))</f>
        <v>0</v>
      </c>
      <c r="O312" s="1" cm="1">
        <f t="array" ref="O312">_xlfn.SWITCH($A$2,"average", AVERAGE(Instances!O312:Instances!O312),"median", MEDIAN(Instances!O312:Instances!O312),"min", MIN(Instances!O312:Instances!O312),"max", MAX(Instances!O312:Instances!O312),"diff", MAX(Instances!O312:Instances!O312)-MIN(Instances!O312:Instances!O312))</f>
        <v>0</v>
      </c>
      <c r="P312" s="1" cm="1">
        <f t="array" ref="P312">_xlfn.SWITCH($A$2,"average", AVERAGE(Instances!P312:Instances!P312),"median", MEDIAN(Instances!P312:Instances!P312),"min", MIN(Instances!P312:Instances!P312),"max", MAX(Instances!P312:Instances!P312),"diff", MAX(Instances!P312:Instances!P312)-MIN(Instances!P312:Instances!P312))</f>
        <v>0</v>
      </c>
      <c r="Q312" s="1" cm="1">
        <f t="array" ref="Q312">_xlfn.SWITCH($A$2,"average", AVERAGE(Instances!Q312:Instances!Q312),"median", MEDIAN(Instances!Q312:Instances!Q312),"min", MIN(Instances!Q312:Instances!Q312),"max", MAX(Instances!Q312:Instances!Q312),"diff", MAX(Instances!Q312:Instances!Q312)-MIN(Instances!Q312:Instances!Q312))</f>
        <v>0</v>
      </c>
      <c r="R312" s="1">
        <f>MIN($B312,$D312,$F312,$H312,$J312,$L312,$N312,$P312)</f>
        <v>0</v>
      </c>
      <c r="S312" s="1">
        <f>MIN($C312,$E312,$G312,$I312,$K312,$M312,$O312,$Q312)</f>
        <v>0</v>
      </c>
      <c r="T312" s="1">
        <f>MEDIAN($B312,$D312,$F312,$H312,$J312,$L312,$N312,$P312)</f>
        <v>0</v>
      </c>
      <c r="U312" s="1">
        <f>MEDIAN($C312,$E312,$G312,$I312,$K312,$M312,$O312,$Q312)</f>
        <v>0</v>
      </c>
      <c r="V312" s="1">
        <f>MAX($B312,$D312,$F312,$H312,$J312,$L312,$N312,$P312)</f>
        <v>0</v>
      </c>
      <c r="W312" s="1">
        <f>MAX($C312,$E312,$G312,$I312,$K312,$M312,$O312,$Q312)</f>
        <v>0</v>
      </c>
    </row>
    <row r="313" spans="1:23">
      <c r="A313" s="1" t="s">
        <v>42</v>
      </c>
      <c r="B313" s="1"/>
      <c r="C313" s="1"/>
      <c r="D313" s="1" cm="1">
        <f t="array" ref="D313">_xlfn.SWITCH($A$2,"average", AVERAGE(Instances!D313:Instances!D313),"median", MEDIAN(Instances!D313:Instances!D313),"min", MIN(Instances!D313:Instances!D313),"max", MAX(Instances!D313:Instances!D313),"diff", MAX(Instances!D313:Instances!D313)-MIN(Instances!D313:Instances!D313))</f>
        <v>0</v>
      </c>
      <c r="E313" s="1" cm="1">
        <f t="array" ref="E313">_xlfn.SWITCH($A$2,"average", AVERAGE(Instances!E313:Instances!E313),"median", MEDIAN(Instances!E313:Instances!E313),"min", MIN(Instances!E313:Instances!E313),"max", MAX(Instances!E313:Instances!E313),"diff", MAX(Instances!E313:Instances!E313)-MIN(Instances!E313:Instances!E313))</f>
        <v>0</v>
      </c>
      <c r="F313" s="1" cm="1">
        <f t="array" ref="F313">_xlfn.SWITCH($A$2,"average", AVERAGE(Instances!F313:Instances!F313),"median", MEDIAN(Instances!F313:Instances!F313),"min", MIN(Instances!F313:Instances!F313),"max", MAX(Instances!F313:Instances!F313),"diff", MAX(Instances!F313:Instances!F313)-MIN(Instances!F313:Instances!F313))</f>
        <v>0</v>
      </c>
      <c r="G313" s="1" cm="1">
        <f t="array" ref="G313">_xlfn.SWITCH($A$2,"average", AVERAGE(Instances!G313:Instances!G313),"median", MEDIAN(Instances!G313:Instances!G313),"min", MIN(Instances!G313:Instances!G313),"max", MAX(Instances!G313:Instances!G313),"diff", MAX(Instances!G313:Instances!G313)-MIN(Instances!G313:Instances!G313))</f>
        <v>0</v>
      </c>
      <c r="H313" s="1"/>
      <c r="I313" s="1"/>
      <c r="J313" s="1" cm="1">
        <f t="array" ref="J313">_xlfn.SWITCH($A$2,"average", AVERAGE(Instances!J313:Instances!J313),"median", MEDIAN(Instances!J313:Instances!J313),"min", MIN(Instances!J313:Instances!J313),"max", MAX(Instances!J313:Instances!J313),"diff", MAX(Instances!J313:Instances!J313)-MIN(Instances!J313:Instances!J313))</f>
        <v>0</v>
      </c>
      <c r="K313" s="1" cm="1">
        <f t="array" ref="K313">_xlfn.SWITCH($A$2,"average", AVERAGE(Instances!K313:Instances!K313),"median", MEDIAN(Instances!K313:Instances!K313),"min", MIN(Instances!K313:Instances!K313),"max", MAX(Instances!K313:Instances!K313),"diff", MAX(Instances!K313:Instances!K313)-MIN(Instances!K313:Instances!K313))</f>
        <v>0</v>
      </c>
      <c r="L313" s="1" cm="1">
        <f t="array" ref="L313">_xlfn.SWITCH($A$2,"average", AVERAGE(Instances!L313:Instances!L313),"median", MEDIAN(Instances!L313:Instances!L313),"min", MIN(Instances!L313:Instances!L313),"max", MAX(Instances!L313:Instances!L313),"diff", MAX(Instances!L313:Instances!L313)-MIN(Instances!L313:Instances!L313))</f>
        <v>0</v>
      </c>
      <c r="M313" s="1" cm="1">
        <f t="array" ref="M313">_xlfn.SWITCH($A$2,"average", AVERAGE(Instances!M313:Instances!M313),"median", MEDIAN(Instances!M313:Instances!M313),"min", MIN(Instances!M313:Instances!M313),"max", MAX(Instances!M313:Instances!M313),"diff", MAX(Instances!M313:Instances!M313)-MIN(Instances!M313:Instances!M313))</f>
        <v>0</v>
      </c>
      <c r="N313" s="1" cm="1">
        <f t="array" ref="N313">_xlfn.SWITCH($A$2,"average", AVERAGE(Instances!N313:Instances!N313),"median", MEDIAN(Instances!N313:Instances!N313),"min", MIN(Instances!N313:Instances!N313),"max", MAX(Instances!N313:Instances!N313),"diff", MAX(Instances!N313:Instances!N313)-MIN(Instances!N313:Instances!N313))</f>
        <v>0</v>
      </c>
      <c r="O313" s="1" cm="1">
        <f t="array" ref="O313">_xlfn.SWITCH($A$2,"average", AVERAGE(Instances!O313:Instances!O313),"median", MEDIAN(Instances!O313:Instances!O313),"min", MIN(Instances!O313:Instances!O313),"max", MAX(Instances!O313:Instances!O313),"diff", MAX(Instances!O313:Instances!O313)-MIN(Instances!O313:Instances!O313))</f>
        <v>0</v>
      </c>
      <c r="P313" s="1" cm="1">
        <f t="array" ref="P313">_xlfn.SWITCH($A$2,"average", AVERAGE(Instances!P313:Instances!P313),"median", MEDIAN(Instances!P313:Instances!P313),"min", MIN(Instances!P313:Instances!P313),"max", MAX(Instances!P313:Instances!P313),"diff", MAX(Instances!P313:Instances!P313)-MIN(Instances!P313:Instances!P313))</f>
        <v>0</v>
      </c>
      <c r="Q313" s="1" cm="1">
        <f t="array" ref="Q313">_xlfn.SWITCH($A$2,"average", AVERAGE(Instances!Q313:Instances!Q313),"median", MEDIAN(Instances!Q313:Instances!Q313),"min", MIN(Instances!Q313:Instances!Q313),"max", MAX(Instances!Q313:Instances!Q313),"diff", MAX(Instances!Q313:Instances!Q313)-MIN(Instances!Q313:Instances!Q313))</f>
        <v>0</v>
      </c>
      <c r="R313" s="1">
        <f>MIN($B313,$D313,$F313,$H313,$J313,$L313,$N313,$P313)</f>
        <v>0</v>
      </c>
      <c r="S313" s="1">
        <f>MIN($C313,$E313,$G313,$I313,$K313,$M313,$O313,$Q313)</f>
        <v>0</v>
      </c>
      <c r="T313" s="1">
        <f>MEDIAN($B313,$D313,$F313,$H313,$J313,$L313,$N313,$P313)</f>
        <v>0</v>
      </c>
      <c r="U313" s="1">
        <f>MEDIAN($C313,$E313,$G313,$I313,$K313,$M313,$O313,$Q313)</f>
        <v>0</v>
      </c>
      <c r="V313" s="1">
        <f>MAX($B313,$D313,$F313,$H313,$J313,$L313,$N313,$P313)</f>
        <v>0</v>
      </c>
      <c r="W313" s="1">
        <f>MAX($C313,$E313,$G313,$I313,$K313,$M313,$O313,$Q313)</f>
        <v>0</v>
      </c>
    </row>
    <row r="314" spans="1:23">
      <c r="A314" s="1" t="s">
        <v>43</v>
      </c>
      <c r="B314" s="1"/>
      <c r="C314" s="1"/>
      <c r="D314" s="1" cm="1">
        <f t="array" ref="D314">_xlfn.SWITCH($A$2,"average", AVERAGE(Instances!D314:Instances!D314),"median", MEDIAN(Instances!D314:Instances!D314),"min", MIN(Instances!D314:Instances!D314),"max", MAX(Instances!D314:Instances!D314),"diff", MAX(Instances!D314:Instances!D314)-MIN(Instances!D314:Instances!D314))</f>
        <v>0</v>
      </c>
      <c r="E314" s="1" cm="1">
        <f t="array" ref="E314">_xlfn.SWITCH($A$2,"average", AVERAGE(Instances!E314:Instances!E314),"median", MEDIAN(Instances!E314:Instances!E314),"min", MIN(Instances!E314:Instances!E314),"max", MAX(Instances!E314:Instances!E314),"diff", MAX(Instances!E314:Instances!E314)-MIN(Instances!E314:Instances!E314))</f>
        <v>0</v>
      </c>
      <c r="F314" s="1" cm="1">
        <f t="array" ref="F314">_xlfn.SWITCH($A$2,"average", AVERAGE(Instances!F314:Instances!F314),"median", MEDIAN(Instances!F314:Instances!F314),"min", MIN(Instances!F314:Instances!F314),"max", MAX(Instances!F314:Instances!F314),"diff", MAX(Instances!F314:Instances!F314)-MIN(Instances!F314:Instances!F314))</f>
        <v>0</v>
      </c>
      <c r="G314" s="1" cm="1">
        <f t="array" ref="G314">_xlfn.SWITCH($A$2,"average", AVERAGE(Instances!G314:Instances!G314),"median", MEDIAN(Instances!G314:Instances!G314),"min", MIN(Instances!G314:Instances!G314),"max", MAX(Instances!G314:Instances!G314),"diff", MAX(Instances!G314:Instances!G314)-MIN(Instances!G314:Instances!G314))</f>
        <v>0</v>
      </c>
      <c r="H314" s="1"/>
      <c r="I314" s="1"/>
      <c r="J314" s="1" cm="1">
        <f t="array" ref="J314">_xlfn.SWITCH($A$2,"average", AVERAGE(Instances!J314:Instances!J314),"median", MEDIAN(Instances!J314:Instances!J314),"min", MIN(Instances!J314:Instances!J314),"max", MAX(Instances!J314:Instances!J314),"diff", MAX(Instances!J314:Instances!J314)-MIN(Instances!J314:Instances!J314))</f>
        <v>0</v>
      </c>
      <c r="K314" s="1" cm="1">
        <f t="array" ref="K314">_xlfn.SWITCH($A$2,"average", AVERAGE(Instances!K314:Instances!K314),"median", MEDIAN(Instances!K314:Instances!K314),"min", MIN(Instances!K314:Instances!K314),"max", MAX(Instances!K314:Instances!K314),"diff", MAX(Instances!K314:Instances!K314)-MIN(Instances!K314:Instances!K314))</f>
        <v>0</v>
      </c>
      <c r="L314" s="1" cm="1">
        <f t="array" ref="L314">_xlfn.SWITCH($A$2,"average", AVERAGE(Instances!L314:Instances!L314),"median", MEDIAN(Instances!L314:Instances!L314),"min", MIN(Instances!L314:Instances!L314),"max", MAX(Instances!L314:Instances!L314),"diff", MAX(Instances!L314:Instances!L314)-MIN(Instances!L314:Instances!L314))</f>
        <v>0</v>
      </c>
      <c r="M314" s="1" cm="1">
        <f t="array" ref="M314">_xlfn.SWITCH($A$2,"average", AVERAGE(Instances!M314:Instances!M314),"median", MEDIAN(Instances!M314:Instances!M314),"min", MIN(Instances!M314:Instances!M314),"max", MAX(Instances!M314:Instances!M314),"diff", MAX(Instances!M314:Instances!M314)-MIN(Instances!M314:Instances!M314))</f>
        <v>0</v>
      </c>
      <c r="N314" s="1" cm="1">
        <f t="array" ref="N314">_xlfn.SWITCH($A$2,"average", AVERAGE(Instances!N314:Instances!N314),"median", MEDIAN(Instances!N314:Instances!N314),"min", MIN(Instances!N314:Instances!N314),"max", MAX(Instances!N314:Instances!N314),"diff", MAX(Instances!N314:Instances!N314)-MIN(Instances!N314:Instances!N314))</f>
        <v>0</v>
      </c>
      <c r="O314" s="1" cm="1">
        <f t="array" ref="O314">_xlfn.SWITCH($A$2,"average", AVERAGE(Instances!O314:Instances!O314),"median", MEDIAN(Instances!O314:Instances!O314),"min", MIN(Instances!O314:Instances!O314),"max", MAX(Instances!O314:Instances!O314),"diff", MAX(Instances!O314:Instances!O314)-MIN(Instances!O314:Instances!O314))</f>
        <v>0</v>
      </c>
      <c r="P314" s="1" cm="1">
        <f t="array" ref="P314">_xlfn.SWITCH($A$2,"average", AVERAGE(Instances!P314:Instances!P314),"median", MEDIAN(Instances!P314:Instances!P314),"min", MIN(Instances!P314:Instances!P314),"max", MAX(Instances!P314:Instances!P314),"diff", MAX(Instances!P314:Instances!P314)-MIN(Instances!P314:Instances!P314))</f>
        <v>0</v>
      </c>
      <c r="Q314" s="1" cm="1">
        <f t="array" ref="Q314">_xlfn.SWITCH($A$2,"average", AVERAGE(Instances!Q314:Instances!Q314),"median", MEDIAN(Instances!Q314:Instances!Q314),"min", MIN(Instances!Q314:Instances!Q314),"max", MAX(Instances!Q314:Instances!Q314),"diff", MAX(Instances!Q314:Instances!Q314)-MIN(Instances!Q314:Instances!Q314))</f>
        <v>0</v>
      </c>
      <c r="R314" s="1">
        <f>MIN($B314,$D314,$F314,$H314,$J314,$L314,$N314,$P314)</f>
        <v>0</v>
      </c>
      <c r="S314" s="1">
        <f>MIN($C314,$E314,$G314,$I314,$K314,$M314,$O314,$Q314)</f>
        <v>0</v>
      </c>
      <c r="T314" s="1">
        <f>MEDIAN($B314,$D314,$F314,$H314,$J314,$L314,$N314,$P314)</f>
        <v>0</v>
      </c>
      <c r="U314" s="1">
        <f>MEDIAN($C314,$E314,$G314,$I314,$K314,$M314,$O314,$Q314)</f>
        <v>0</v>
      </c>
      <c r="V314" s="1">
        <f>MAX($B314,$D314,$F314,$H314,$J314,$L314,$N314,$P314)</f>
        <v>0</v>
      </c>
      <c r="W314" s="1">
        <f>MAX($C314,$E314,$G314,$I314,$K314,$M314,$O314,$Q314)</f>
        <v>0</v>
      </c>
    </row>
    <row r="315" spans="1:23">
      <c r="A315" s="1" t="s">
        <v>44</v>
      </c>
      <c r="B315" s="1"/>
      <c r="C315" s="1"/>
      <c r="D315" s="1" cm="1">
        <f t="array" ref="D315">_xlfn.SWITCH($A$2,"average", AVERAGE(Instances!D315:Instances!D315),"median", MEDIAN(Instances!D315:Instances!D315),"min", MIN(Instances!D315:Instances!D315),"max", MAX(Instances!D315:Instances!D315),"diff", MAX(Instances!D315:Instances!D315)-MIN(Instances!D315:Instances!D315))</f>
        <v>0</v>
      </c>
      <c r="E315" s="1" cm="1">
        <f t="array" ref="E315">_xlfn.SWITCH($A$2,"average", AVERAGE(Instances!E315:Instances!E315),"median", MEDIAN(Instances!E315:Instances!E315),"min", MIN(Instances!E315:Instances!E315),"max", MAX(Instances!E315:Instances!E315),"diff", MAX(Instances!E315:Instances!E315)-MIN(Instances!E315:Instances!E315))</f>
        <v>0</v>
      </c>
      <c r="F315" s="1" cm="1">
        <f t="array" ref="F315">_xlfn.SWITCH($A$2,"average", AVERAGE(Instances!F315:Instances!F315),"median", MEDIAN(Instances!F315:Instances!F315),"min", MIN(Instances!F315:Instances!F315),"max", MAX(Instances!F315:Instances!F315),"diff", MAX(Instances!F315:Instances!F315)-MIN(Instances!F315:Instances!F315))</f>
        <v>0</v>
      </c>
      <c r="G315" s="1" cm="1">
        <f t="array" ref="G315">_xlfn.SWITCH($A$2,"average", AVERAGE(Instances!G315:Instances!G315),"median", MEDIAN(Instances!G315:Instances!G315),"min", MIN(Instances!G315:Instances!G315),"max", MAX(Instances!G315:Instances!G315),"diff", MAX(Instances!G315:Instances!G315)-MIN(Instances!G315:Instances!G315))</f>
        <v>0</v>
      </c>
      <c r="H315" s="1"/>
      <c r="I315" s="1"/>
      <c r="J315" s="1" cm="1">
        <f t="array" ref="J315">_xlfn.SWITCH($A$2,"average", AVERAGE(Instances!J315:Instances!J315),"median", MEDIAN(Instances!J315:Instances!J315),"min", MIN(Instances!J315:Instances!J315),"max", MAX(Instances!J315:Instances!J315),"diff", MAX(Instances!J315:Instances!J315)-MIN(Instances!J315:Instances!J315))</f>
        <v>0</v>
      </c>
      <c r="K315" s="1" cm="1">
        <f t="array" ref="K315">_xlfn.SWITCH($A$2,"average", AVERAGE(Instances!K315:Instances!K315),"median", MEDIAN(Instances!K315:Instances!K315),"min", MIN(Instances!K315:Instances!K315),"max", MAX(Instances!K315:Instances!K315),"diff", MAX(Instances!K315:Instances!K315)-MIN(Instances!K315:Instances!K315))</f>
        <v>0</v>
      </c>
      <c r="L315" s="1" cm="1">
        <f t="array" ref="L315">_xlfn.SWITCH($A$2,"average", AVERAGE(Instances!L315:Instances!L315),"median", MEDIAN(Instances!L315:Instances!L315),"min", MIN(Instances!L315:Instances!L315),"max", MAX(Instances!L315:Instances!L315),"diff", MAX(Instances!L315:Instances!L315)-MIN(Instances!L315:Instances!L315))</f>
        <v>0</v>
      </c>
      <c r="M315" s="1" cm="1">
        <f t="array" ref="M315">_xlfn.SWITCH($A$2,"average", AVERAGE(Instances!M315:Instances!M315),"median", MEDIAN(Instances!M315:Instances!M315),"min", MIN(Instances!M315:Instances!M315),"max", MAX(Instances!M315:Instances!M315),"diff", MAX(Instances!M315:Instances!M315)-MIN(Instances!M315:Instances!M315))</f>
        <v>0</v>
      </c>
      <c r="N315" s="1" cm="1">
        <f t="array" ref="N315">_xlfn.SWITCH($A$2,"average", AVERAGE(Instances!N315:Instances!N315),"median", MEDIAN(Instances!N315:Instances!N315),"min", MIN(Instances!N315:Instances!N315),"max", MAX(Instances!N315:Instances!N315),"diff", MAX(Instances!N315:Instances!N315)-MIN(Instances!N315:Instances!N315))</f>
        <v>0</v>
      </c>
      <c r="O315" s="1" cm="1">
        <f t="array" ref="O315">_xlfn.SWITCH($A$2,"average", AVERAGE(Instances!O315:Instances!O315),"median", MEDIAN(Instances!O315:Instances!O315),"min", MIN(Instances!O315:Instances!O315),"max", MAX(Instances!O315:Instances!O315),"diff", MAX(Instances!O315:Instances!O315)-MIN(Instances!O315:Instances!O315))</f>
        <v>0</v>
      </c>
      <c r="P315" s="1" cm="1">
        <f t="array" ref="P315">_xlfn.SWITCH($A$2,"average", AVERAGE(Instances!P315:Instances!P315),"median", MEDIAN(Instances!P315:Instances!P315),"min", MIN(Instances!P315:Instances!P315),"max", MAX(Instances!P315:Instances!P315),"diff", MAX(Instances!P315:Instances!P315)-MIN(Instances!P315:Instances!P315))</f>
        <v>0</v>
      </c>
      <c r="Q315" s="1" cm="1">
        <f t="array" ref="Q315">_xlfn.SWITCH($A$2,"average", AVERAGE(Instances!Q315:Instances!Q315),"median", MEDIAN(Instances!Q315:Instances!Q315),"min", MIN(Instances!Q315:Instances!Q315),"max", MAX(Instances!Q315:Instances!Q315),"diff", MAX(Instances!Q315:Instances!Q315)-MIN(Instances!Q315:Instances!Q315))</f>
        <v>0</v>
      </c>
      <c r="R315" s="1">
        <f>MIN($B315,$D315,$F315,$H315,$J315,$L315,$N315,$P315)</f>
        <v>0</v>
      </c>
      <c r="S315" s="1">
        <f>MIN($C315,$E315,$G315,$I315,$K315,$M315,$O315,$Q315)</f>
        <v>0</v>
      </c>
      <c r="T315" s="1">
        <f>MEDIAN($B315,$D315,$F315,$H315,$J315,$L315,$N315,$P315)</f>
        <v>0</v>
      </c>
      <c r="U315" s="1">
        <f>MEDIAN($C315,$E315,$G315,$I315,$K315,$M315,$O315,$Q315)</f>
        <v>0</v>
      </c>
      <c r="V315" s="1">
        <f>MAX($B315,$D315,$F315,$H315,$J315,$L315,$N315,$P315)</f>
        <v>0</v>
      </c>
      <c r="W315" s="1">
        <f>MAX($C315,$E315,$G315,$I315,$K315,$M315,$O315,$Q315)</f>
        <v>0</v>
      </c>
    </row>
    <row r="316" spans="1:23">
      <c r="A316" s="1" t="s">
        <v>45</v>
      </c>
      <c r="B316" s="1"/>
      <c r="C316" s="1"/>
      <c r="D316" s="1" cm="1">
        <f t="array" ref="D316">_xlfn.SWITCH($A$2,"average", AVERAGE(Instances!D316:Instances!D316),"median", MEDIAN(Instances!D316:Instances!D316),"min", MIN(Instances!D316:Instances!D316),"max", MAX(Instances!D316:Instances!D316),"diff", MAX(Instances!D316:Instances!D316)-MIN(Instances!D316:Instances!D316))</f>
        <v>0</v>
      </c>
      <c r="E316" s="1" cm="1">
        <f t="array" ref="E316">_xlfn.SWITCH($A$2,"average", AVERAGE(Instances!E316:Instances!E316),"median", MEDIAN(Instances!E316:Instances!E316),"min", MIN(Instances!E316:Instances!E316),"max", MAX(Instances!E316:Instances!E316),"diff", MAX(Instances!E316:Instances!E316)-MIN(Instances!E316:Instances!E316))</f>
        <v>0</v>
      </c>
      <c r="F316" s="1" cm="1">
        <f t="array" ref="F316">_xlfn.SWITCH($A$2,"average", AVERAGE(Instances!F316:Instances!F316),"median", MEDIAN(Instances!F316:Instances!F316),"min", MIN(Instances!F316:Instances!F316),"max", MAX(Instances!F316:Instances!F316),"diff", MAX(Instances!F316:Instances!F316)-MIN(Instances!F316:Instances!F316))</f>
        <v>0</v>
      </c>
      <c r="G316" s="1" cm="1">
        <f t="array" ref="G316">_xlfn.SWITCH($A$2,"average", AVERAGE(Instances!G316:Instances!G316),"median", MEDIAN(Instances!G316:Instances!G316),"min", MIN(Instances!G316:Instances!G316),"max", MAX(Instances!G316:Instances!G316),"diff", MAX(Instances!G316:Instances!G316)-MIN(Instances!G316:Instances!G316))</f>
        <v>0</v>
      </c>
      <c r="H316" s="1"/>
      <c r="I316" s="1"/>
      <c r="J316" s="1" cm="1">
        <f t="array" ref="J316">_xlfn.SWITCH($A$2,"average", AVERAGE(Instances!J316:Instances!J316),"median", MEDIAN(Instances!J316:Instances!J316),"min", MIN(Instances!J316:Instances!J316),"max", MAX(Instances!J316:Instances!J316),"diff", MAX(Instances!J316:Instances!J316)-MIN(Instances!J316:Instances!J316))</f>
        <v>0</v>
      </c>
      <c r="K316" s="1" cm="1">
        <f t="array" ref="K316">_xlfn.SWITCH($A$2,"average", AVERAGE(Instances!K316:Instances!K316),"median", MEDIAN(Instances!K316:Instances!K316),"min", MIN(Instances!K316:Instances!K316),"max", MAX(Instances!K316:Instances!K316),"diff", MAX(Instances!K316:Instances!K316)-MIN(Instances!K316:Instances!K316))</f>
        <v>0</v>
      </c>
      <c r="L316" s="1" cm="1">
        <f t="array" ref="L316">_xlfn.SWITCH($A$2,"average", AVERAGE(Instances!L316:Instances!L316),"median", MEDIAN(Instances!L316:Instances!L316),"min", MIN(Instances!L316:Instances!L316),"max", MAX(Instances!L316:Instances!L316),"diff", MAX(Instances!L316:Instances!L316)-MIN(Instances!L316:Instances!L316))</f>
        <v>0</v>
      </c>
      <c r="M316" s="1" cm="1">
        <f t="array" ref="M316">_xlfn.SWITCH($A$2,"average", AVERAGE(Instances!M316:Instances!M316),"median", MEDIAN(Instances!M316:Instances!M316),"min", MIN(Instances!M316:Instances!M316),"max", MAX(Instances!M316:Instances!M316),"diff", MAX(Instances!M316:Instances!M316)-MIN(Instances!M316:Instances!M316))</f>
        <v>0</v>
      </c>
      <c r="N316" s="1" cm="1">
        <f t="array" ref="N316">_xlfn.SWITCH($A$2,"average", AVERAGE(Instances!N316:Instances!N316),"median", MEDIAN(Instances!N316:Instances!N316),"min", MIN(Instances!N316:Instances!N316),"max", MAX(Instances!N316:Instances!N316),"diff", MAX(Instances!N316:Instances!N316)-MIN(Instances!N316:Instances!N316))</f>
        <v>0</v>
      </c>
      <c r="O316" s="1" cm="1">
        <f t="array" ref="O316">_xlfn.SWITCH($A$2,"average", AVERAGE(Instances!O316:Instances!O316),"median", MEDIAN(Instances!O316:Instances!O316),"min", MIN(Instances!O316:Instances!O316),"max", MAX(Instances!O316:Instances!O316),"diff", MAX(Instances!O316:Instances!O316)-MIN(Instances!O316:Instances!O316))</f>
        <v>0</v>
      </c>
      <c r="P316" s="1" cm="1">
        <f t="array" ref="P316">_xlfn.SWITCH($A$2,"average", AVERAGE(Instances!P316:Instances!P316),"median", MEDIAN(Instances!P316:Instances!P316),"min", MIN(Instances!P316:Instances!P316),"max", MAX(Instances!P316:Instances!P316),"diff", MAX(Instances!P316:Instances!P316)-MIN(Instances!P316:Instances!P316))</f>
        <v>0</v>
      </c>
      <c r="Q316" s="1" cm="1">
        <f t="array" ref="Q316">_xlfn.SWITCH($A$2,"average", AVERAGE(Instances!Q316:Instances!Q316),"median", MEDIAN(Instances!Q316:Instances!Q316),"min", MIN(Instances!Q316:Instances!Q316),"max", MAX(Instances!Q316:Instances!Q316),"diff", MAX(Instances!Q316:Instances!Q316)-MIN(Instances!Q316:Instances!Q316))</f>
        <v>0</v>
      </c>
      <c r="R316" s="1">
        <f>MIN($B316,$D316,$F316,$H316,$J316,$L316,$N316,$P316)</f>
        <v>0</v>
      </c>
      <c r="S316" s="1">
        <f>MIN($C316,$E316,$G316,$I316,$K316,$M316,$O316,$Q316)</f>
        <v>0</v>
      </c>
      <c r="T316" s="1">
        <f>MEDIAN($B316,$D316,$F316,$H316,$J316,$L316,$N316,$P316)</f>
        <v>0</v>
      </c>
      <c r="U316" s="1">
        <f>MEDIAN($C316,$E316,$G316,$I316,$K316,$M316,$O316,$Q316)</f>
        <v>0</v>
      </c>
      <c r="V316" s="1">
        <f>MAX($B316,$D316,$F316,$H316,$J316,$L316,$N316,$P316)</f>
        <v>0</v>
      </c>
      <c r="W316" s="1">
        <f>MAX($C316,$E316,$G316,$I316,$K316,$M316,$O316,$Q316)</f>
        <v>0</v>
      </c>
    </row>
    <row r="317" spans="1:23">
      <c r="A317" s="1" t="s">
        <v>46</v>
      </c>
      <c r="B317" s="1"/>
      <c r="C317" s="1"/>
      <c r="D317" s="1" cm="1">
        <f t="array" ref="D317">_xlfn.SWITCH($A$2,"average", AVERAGE(Instances!D317:Instances!D317),"median", MEDIAN(Instances!D317:Instances!D317),"min", MIN(Instances!D317:Instances!D317),"max", MAX(Instances!D317:Instances!D317),"diff", MAX(Instances!D317:Instances!D317)-MIN(Instances!D317:Instances!D317))</f>
        <v>0</v>
      </c>
      <c r="E317" s="1" cm="1">
        <f t="array" ref="E317">_xlfn.SWITCH($A$2,"average", AVERAGE(Instances!E317:Instances!E317),"median", MEDIAN(Instances!E317:Instances!E317),"min", MIN(Instances!E317:Instances!E317),"max", MAX(Instances!E317:Instances!E317),"diff", MAX(Instances!E317:Instances!E317)-MIN(Instances!E317:Instances!E317))</f>
        <v>0</v>
      </c>
      <c r="F317" s="1" cm="1">
        <f t="array" ref="F317">_xlfn.SWITCH($A$2,"average", AVERAGE(Instances!F317:Instances!F317),"median", MEDIAN(Instances!F317:Instances!F317),"min", MIN(Instances!F317:Instances!F317),"max", MAX(Instances!F317:Instances!F317),"diff", MAX(Instances!F317:Instances!F317)-MIN(Instances!F317:Instances!F317))</f>
        <v>0</v>
      </c>
      <c r="G317" s="1" cm="1">
        <f t="array" ref="G317">_xlfn.SWITCH($A$2,"average", AVERAGE(Instances!G317:Instances!G317),"median", MEDIAN(Instances!G317:Instances!G317),"min", MIN(Instances!G317:Instances!G317),"max", MAX(Instances!G317:Instances!G317),"diff", MAX(Instances!G317:Instances!G317)-MIN(Instances!G317:Instances!G317))</f>
        <v>0</v>
      </c>
      <c r="H317" s="1"/>
      <c r="I317" s="1"/>
      <c r="J317" s="1" cm="1">
        <f t="array" ref="J317">_xlfn.SWITCH($A$2,"average", AVERAGE(Instances!J317:Instances!J317),"median", MEDIAN(Instances!J317:Instances!J317),"min", MIN(Instances!J317:Instances!J317),"max", MAX(Instances!J317:Instances!J317),"diff", MAX(Instances!J317:Instances!J317)-MIN(Instances!J317:Instances!J317))</f>
        <v>0</v>
      </c>
      <c r="K317" s="1" cm="1">
        <f t="array" ref="K317">_xlfn.SWITCH($A$2,"average", AVERAGE(Instances!K317:Instances!K317),"median", MEDIAN(Instances!K317:Instances!K317),"min", MIN(Instances!K317:Instances!K317),"max", MAX(Instances!K317:Instances!K317),"diff", MAX(Instances!K317:Instances!K317)-MIN(Instances!K317:Instances!K317))</f>
        <v>0</v>
      </c>
      <c r="L317" s="1" cm="1">
        <f t="array" ref="L317">_xlfn.SWITCH($A$2,"average", AVERAGE(Instances!L317:Instances!L317),"median", MEDIAN(Instances!L317:Instances!L317),"min", MIN(Instances!L317:Instances!L317),"max", MAX(Instances!L317:Instances!L317),"diff", MAX(Instances!L317:Instances!L317)-MIN(Instances!L317:Instances!L317))</f>
        <v>0</v>
      </c>
      <c r="M317" s="1" cm="1">
        <f t="array" ref="M317">_xlfn.SWITCH($A$2,"average", AVERAGE(Instances!M317:Instances!M317),"median", MEDIAN(Instances!M317:Instances!M317),"min", MIN(Instances!M317:Instances!M317),"max", MAX(Instances!M317:Instances!M317),"diff", MAX(Instances!M317:Instances!M317)-MIN(Instances!M317:Instances!M317))</f>
        <v>0</v>
      </c>
      <c r="N317" s="1" cm="1">
        <f t="array" ref="N317">_xlfn.SWITCH($A$2,"average", AVERAGE(Instances!N317:Instances!N317),"median", MEDIAN(Instances!N317:Instances!N317),"min", MIN(Instances!N317:Instances!N317),"max", MAX(Instances!N317:Instances!N317),"diff", MAX(Instances!N317:Instances!N317)-MIN(Instances!N317:Instances!N317))</f>
        <v>0</v>
      </c>
      <c r="O317" s="1" cm="1">
        <f t="array" ref="O317">_xlfn.SWITCH($A$2,"average", AVERAGE(Instances!O317:Instances!O317),"median", MEDIAN(Instances!O317:Instances!O317),"min", MIN(Instances!O317:Instances!O317),"max", MAX(Instances!O317:Instances!O317),"diff", MAX(Instances!O317:Instances!O317)-MIN(Instances!O317:Instances!O317))</f>
        <v>0</v>
      </c>
      <c r="P317" s="1" cm="1">
        <f t="array" ref="P317">_xlfn.SWITCH($A$2,"average", AVERAGE(Instances!P317:Instances!P317),"median", MEDIAN(Instances!P317:Instances!P317),"min", MIN(Instances!P317:Instances!P317),"max", MAX(Instances!P317:Instances!P317),"diff", MAX(Instances!P317:Instances!P317)-MIN(Instances!P317:Instances!P317))</f>
        <v>0</v>
      </c>
      <c r="Q317" s="1" cm="1">
        <f t="array" ref="Q317">_xlfn.SWITCH($A$2,"average", AVERAGE(Instances!Q317:Instances!Q317),"median", MEDIAN(Instances!Q317:Instances!Q317),"min", MIN(Instances!Q317:Instances!Q317),"max", MAX(Instances!Q317:Instances!Q317),"diff", MAX(Instances!Q317:Instances!Q317)-MIN(Instances!Q317:Instances!Q317))</f>
        <v>0</v>
      </c>
      <c r="R317" s="1">
        <f>MIN($B317,$D317,$F317,$H317,$J317,$L317,$N317,$P317)</f>
        <v>0</v>
      </c>
      <c r="S317" s="1">
        <f>MIN($C317,$E317,$G317,$I317,$K317,$M317,$O317,$Q317)</f>
        <v>0</v>
      </c>
      <c r="T317" s="1">
        <f>MEDIAN($B317,$D317,$F317,$H317,$J317,$L317,$N317,$P317)</f>
        <v>0</v>
      </c>
      <c r="U317" s="1">
        <f>MEDIAN($C317,$E317,$G317,$I317,$K317,$M317,$O317,$Q317)</f>
        <v>0</v>
      </c>
      <c r="V317" s="1">
        <f>MAX($B317,$D317,$F317,$H317,$J317,$L317,$N317,$P317)</f>
        <v>0</v>
      </c>
      <c r="W317" s="1">
        <f>MAX($C317,$E317,$G317,$I317,$K317,$M317,$O317,$Q317)</f>
        <v>0</v>
      </c>
    </row>
    <row r="318" spans="1:23">
      <c r="A318" s="1" t="s">
        <v>47</v>
      </c>
      <c r="B318" s="1"/>
      <c r="C318" s="1"/>
      <c r="D318" s="1" cm="1">
        <f t="array" ref="D318">_xlfn.SWITCH($A$2,"average", AVERAGE(Instances!D318:Instances!D318),"median", MEDIAN(Instances!D318:Instances!D318),"min", MIN(Instances!D318:Instances!D318),"max", MAX(Instances!D318:Instances!D318),"diff", MAX(Instances!D318:Instances!D318)-MIN(Instances!D318:Instances!D318))</f>
        <v>0</v>
      </c>
      <c r="E318" s="1" cm="1">
        <f t="array" ref="E318">_xlfn.SWITCH($A$2,"average", AVERAGE(Instances!E318:Instances!E318),"median", MEDIAN(Instances!E318:Instances!E318),"min", MIN(Instances!E318:Instances!E318),"max", MAX(Instances!E318:Instances!E318),"diff", MAX(Instances!E318:Instances!E318)-MIN(Instances!E318:Instances!E318))</f>
        <v>0</v>
      </c>
      <c r="F318" s="1" cm="1">
        <f t="array" ref="F318">_xlfn.SWITCH($A$2,"average", AVERAGE(Instances!F318:Instances!F318),"median", MEDIAN(Instances!F318:Instances!F318),"min", MIN(Instances!F318:Instances!F318),"max", MAX(Instances!F318:Instances!F318),"diff", MAX(Instances!F318:Instances!F318)-MIN(Instances!F318:Instances!F318))</f>
        <v>0</v>
      </c>
      <c r="G318" s="1" cm="1">
        <f t="array" ref="G318">_xlfn.SWITCH($A$2,"average", AVERAGE(Instances!G318:Instances!G318),"median", MEDIAN(Instances!G318:Instances!G318),"min", MIN(Instances!G318:Instances!G318),"max", MAX(Instances!G318:Instances!G318),"diff", MAX(Instances!G318:Instances!G318)-MIN(Instances!G318:Instances!G318))</f>
        <v>0</v>
      </c>
      <c r="H318" s="1"/>
      <c r="I318" s="1"/>
      <c r="J318" s="1" cm="1">
        <f t="array" ref="J318">_xlfn.SWITCH($A$2,"average", AVERAGE(Instances!J318:Instances!J318),"median", MEDIAN(Instances!J318:Instances!J318),"min", MIN(Instances!J318:Instances!J318),"max", MAX(Instances!J318:Instances!J318),"diff", MAX(Instances!J318:Instances!J318)-MIN(Instances!J318:Instances!J318))</f>
        <v>0</v>
      </c>
      <c r="K318" s="1" cm="1">
        <f t="array" ref="K318">_xlfn.SWITCH($A$2,"average", AVERAGE(Instances!K318:Instances!K318),"median", MEDIAN(Instances!K318:Instances!K318),"min", MIN(Instances!K318:Instances!K318),"max", MAX(Instances!K318:Instances!K318),"diff", MAX(Instances!K318:Instances!K318)-MIN(Instances!K318:Instances!K318))</f>
        <v>0</v>
      </c>
      <c r="L318" s="1" cm="1">
        <f t="array" ref="L318">_xlfn.SWITCH($A$2,"average", AVERAGE(Instances!L318:Instances!L318),"median", MEDIAN(Instances!L318:Instances!L318),"min", MIN(Instances!L318:Instances!L318),"max", MAX(Instances!L318:Instances!L318),"diff", MAX(Instances!L318:Instances!L318)-MIN(Instances!L318:Instances!L318))</f>
        <v>0</v>
      </c>
      <c r="M318" s="1" cm="1">
        <f t="array" ref="M318">_xlfn.SWITCH($A$2,"average", AVERAGE(Instances!M318:Instances!M318),"median", MEDIAN(Instances!M318:Instances!M318),"min", MIN(Instances!M318:Instances!M318),"max", MAX(Instances!M318:Instances!M318),"diff", MAX(Instances!M318:Instances!M318)-MIN(Instances!M318:Instances!M318))</f>
        <v>0</v>
      </c>
      <c r="N318" s="1" cm="1">
        <f t="array" ref="N318">_xlfn.SWITCH($A$2,"average", AVERAGE(Instances!N318:Instances!N318),"median", MEDIAN(Instances!N318:Instances!N318),"min", MIN(Instances!N318:Instances!N318),"max", MAX(Instances!N318:Instances!N318),"diff", MAX(Instances!N318:Instances!N318)-MIN(Instances!N318:Instances!N318))</f>
        <v>0</v>
      </c>
      <c r="O318" s="1" cm="1">
        <f t="array" ref="O318">_xlfn.SWITCH($A$2,"average", AVERAGE(Instances!O318:Instances!O318),"median", MEDIAN(Instances!O318:Instances!O318),"min", MIN(Instances!O318:Instances!O318),"max", MAX(Instances!O318:Instances!O318),"diff", MAX(Instances!O318:Instances!O318)-MIN(Instances!O318:Instances!O318))</f>
        <v>0</v>
      </c>
      <c r="P318" s="1" cm="1">
        <f t="array" ref="P318">_xlfn.SWITCH($A$2,"average", AVERAGE(Instances!P318:Instances!P318),"median", MEDIAN(Instances!P318:Instances!P318),"min", MIN(Instances!P318:Instances!P318),"max", MAX(Instances!P318:Instances!P318),"diff", MAX(Instances!P318:Instances!P318)-MIN(Instances!P318:Instances!P318))</f>
        <v>0</v>
      </c>
      <c r="Q318" s="1" cm="1">
        <f t="array" ref="Q318">_xlfn.SWITCH($A$2,"average", AVERAGE(Instances!Q318:Instances!Q318),"median", MEDIAN(Instances!Q318:Instances!Q318),"min", MIN(Instances!Q318:Instances!Q318),"max", MAX(Instances!Q318:Instances!Q318),"diff", MAX(Instances!Q318:Instances!Q318)-MIN(Instances!Q318:Instances!Q318))</f>
        <v>0</v>
      </c>
      <c r="R318" s="1">
        <f>MIN($B318,$D318,$F318,$H318,$J318,$L318,$N318,$P318)</f>
        <v>0</v>
      </c>
      <c r="S318" s="1">
        <f>MIN($C318,$E318,$G318,$I318,$K318,$M318,$O318,$Q318)</f>
        <v>0</v>
      </c>
      <c r="T318" s="1">
        <f>MEDIAN($B318,$D318,$F318,$H318,$J318,$L318,$N318,$P318)</f>
        <v>0</v>
      </c>
      <c r="U318" s="1">
        <f>MEDIAN($C318,$E318,$G318,$I318,$K318,$M318,$O318,$Q318)</f>
        <v>0</v>
      </c>
      <c r="V318" s="1">
        <f>MAX($B318,$D318,$F318,$H318,$J318,$L318,$N318,$P318)</f>
        <v>0</v>
      </c>
      <c r="W318" s="1">
        <f>MAX($C318,$E318,$G318,$I318,$K318,$M318,$O318,$Q318)</f>
        <v>0</v>
      </c>
    </row>
    <row r="319" spans="1:23">
      <c r="A319" s="1" t="s">
        <v>48</v>
      </c>
      <c r="B319" s="1"/>
      <c r="C319" s="1"/>
      <c r="D319" s="1" cm="1">
        <f t="array" ref="D319">_xlfn.SWITCH($A$2,"average", AVERAGE(Instances!D319:Instances!D319),"median", MEDIAN(Instances!D319:Instances!D319),"min", MIN(Instances!D319:Instances!D319),"max", MAX(Instances!D319:Instances!D319),"diff", MAX(Instances!D319:Instances!D319)-MIN(Instances!D319:Instances!D319))</f>
        <v>0</v>
      </c>
      <c r="E319" s="1" cm="1">
        <f t="array" ref="E319">_xlfn.SWITCH($A$2,"average", AVERAGE(Instances!E319:Instances!E319),"median", MEDIAN(Instances!E319:Instances!E319),"min", MIN(Instances!E319:Instances!E319),"max", MAX(Instances!E319:Instances!E319),"diff", MAX(Instances!E319:Instances!E319)-MIN(Instances!E319:Instances!E319))</f>
        <v>0</v>
      </c>
      <c r="F319" s="1" cm="1">
        <f t="array" ref="F319">_xlfn.SWITCH($A$2,"average", AVERAGE(Instances!F319:Instances!F319),"median", MEDIAN(Instances!F319:Instances!F319),"min", MIN(Instances!F319:Instances!F319),"max", MAX(Instances!F319:Instances!F319),"diff", MAX(Instances!F319:Instances!F319)-MIN(Instances!F319:Instances!F319))</f>
        <v>0</v>
      </c>
      <c r="G319" s="1" cm="1">
        <f t="array" ref="G319">_xlfn.SWITCH($A$2,"average", AVERAGE(Instances!G319:Instances!G319),"median", MEDIAN(Instances!G319:Instances!G319),"min", MIN(Instances!G319:Instances!G319),"max", MAX(Instances!G319:Instances!G319),"diff", MAX(Instances!G319:Instances!G319)-MIN(Instances!G319:Instances!G319))</f>
        <v>0</v>
      </c>
      <c r="H319" s="1"/>
      <c r="I319" s="1"/>
      <c r="J319" s="1" cm="1">
        <f t="array" ref="J319">_xlfn.SWITCH($A$2,"average", AVERAGE(Instances!J319:Instances!J319),"median", MEDIAN(Instances!J319:Instances!J319),"min", MIN(Instances!J319:Instances!J319),"max", MAX(Instances!J319:Instances!J319),"diff", MAX(Instances!J319:Instances!J319)-MIN(Instances!J319:Instances!J319))</f>
        <v>0</v>
      </c>
      <c r="K319" s="1" cm="1">
        <f t="array" ref="K319">_xlfn.SWITCH($A$2,"average", AVERAGE(Instances!K319:Instances!K319),"median", MEDIAN(Instances!K319:Instances!K319),"min", MIN(Instances!K319:Instances!K319),"max", MAX(Instances!K319:Instances!K319),"diff", MAX(Instances!K319:Instances!K319)-MIN(Instances!K319:Instances!K319))</f>
        <v>0</v>
      </c>
      <c r="L319" s="1" cm="1">
        <f t="array" ref="L319">_xlfn.SWITCH($A$2,"average", AVERAGE(Instances!L319:Instances!L319),"median", MEDIAN(Instances!L319:Instances!L319),"min", MIN(Instances!L319:Instances!L319),"max", MAX(Instances!L319:Instances!L319),"diff", MAX(Instances!L319:Instances!L319)-MIN(Instances!L319:Instances!L319))</f>
        <v>0</v>
      </c>
      <c r="M319" s="1" cm="1">
        <f t="array" ref="M319">_xlfn.SWITCH($A$2,"average", AVERAGE(Instances!M319:Instances!M319),"median", MEDIAN(Instances!M319:Instances!M319),"min", MIN(Instances!M319:Instances!M319),"max", MAX(Instances!M319:Instances!M319),"diff", MAX(Instances!M319:Instances!M319)-MIN(Instances!M319:Instances!M319))</f>
        <v>0</v>
      </c>
      <c r="N319" s="1" cm="1">
        <f t="array" ref="N319">_xlfn.SWITCH($A$2,"average", AVERAGE(Instances!N319:Instances!N319),"median", MEDIAN(Instances!N319:Instances!N319),"min", MIN(Instances!N319:Instances!N319),"max", MAX(Instances!N319:Instances!N319),"diff", MAX(Instances!N319:Instances!N319)-MIN(Instances!N319:Instances!N319))</f>
        <v>0</v>
      </c>
      <c r="O319" s="1" cm="1">
        <f t="array" ref="O319">_xlfn.SWITCH($A$2,"average", AVERAGE(Instances!O319:Instances!O319),"median", MEDIAN(Instances!O319:Instances!O319),"min", MIN(Instances!O319:Instances!O319),"max", MAX(Instances!O319:Instances!O319),"diff", MAX(Instances!O319:Instances!O319)-MIN(Instances!O319:Instances!O319))</f>
        <v>0</v>
      </c>
      <c r="P319" s="1" cm="1">
        <f t="array" ref="P319">_xlfn.SWITCH($A$2,"average", AVERAGE(Instances!P319:Instances!P319),"median", MEDIAN(Instances!P319:Instances!P319),"min", MIN(Instances!P319:Instances!P319),"max", MAX(Instances!P319:Instances!P319),"diff", MAX(Instances!P319:Instances!P319)-MIN(Instances!P319:Instances!P319))</f>
        <v>0</v>
      </c>
      <c r="Q319" s="1" cm="1">
        <f t="array" ref="Q319">_xlfn.SWITCH($A$2,"average", AVERAGE(Instances!Q319:Instances!Q319),"median", MEDIAN(Instances!Q319:Instances!Q319),"min", MIN(Instances!Q319:Instances!Q319),"max", MAX(Instances!Q319:Instances!Q319),"diff", MAX(Instances!Q319:Instances!Q319)-MIN(Instances!Q319:Instances!Q319))</f>
        <v>0</v>
      </c>
      <c r="R319" s="1">
        <f>MIN($B319,$D319,$F319,$H319,$J319,$L319,$N319,$P319)</f>
        <v>0</v>
      </c>
      <c r="S319" s="1">
        <f>MIN($C319,$E319,$G319,$I319,$K319,$M319,$O319,$Q319)</f>
        <v>0</v>
      </c>
      <c r="T319" s="1">
        <f>MEDIAN($B319,$D319,$F319,$H319,$J319,$L319,$N319,$P319)</f>
        <v>0</v>
      </c>
      <c r="U319" s="1">
        <f>MEDIAN($C319,$E319,$G319,$I319,$K319,$M319,$O319,$Q319)</f>
        <v>0</v>
      </c>
      <c r="V319" s="1">
        <f>MAX($B319,$D319,$F319,$H319,$J319,$L319,$N319,$P319)</f>
        <v>0</v>
      </c>
      <c r="W319" s="1">
        <f>MAX($C319,$E319,$G319,$I319,$K319,$M319,$O319,$Q319)</f>
        <v>0</v>
      </c>
    </row>
    <row r="320" spans="1:23">
      <c r="A320" s="1" t="s">
        <v>49</v>
      </c>
      <c r="B320" s="1"/>
      <c r="C320" s="1"/>
      <c r="D320" s="1" cm="1">
        <f t="array" ref="D320">_xlfn.SWITCH($A$2,"average", AVERAGE(Instances!D320:Instances!D320),"median", MEDIAN(Instances!D320:Instances!D320),"min", MIN(Instances!D320:Instances!D320),"max", MAX(Instances!D320:Instances!D320),"diff", MAX(Instances!D320:Instances!D320)-MIN(Instances!D320:Instances!D320))</f>
        <v>0</v>
      </c>
      <c r="E320" s="1" cm="1">
        <f t="array" ref="E320">_xlfn.SWITCH($A$2,"average", AVERAGE(Instances!E320:Instances!E320),"median", MEDIAN(Instances!E320:Instances!E320),"min", MIN(Instances!E320:Instances!E320),"max", MAX(Instances!E320:Instances!E320),"diff", MAX(Instances!E320:Instances!E320)-MIN(Instances!E320:Instances!E320))</f>
        <v>0</v>
      </c>
      <c r="F320" s="1" cm="1">
        <f t="array" ref="F320">_xlfn.SWITCH($A$2,"average", AVERAGE(Instances!F320:Instances!F320),"median", MEDIAN(Instances!F320:Instances!F320),"min", MIN(Instances!F320:Instances!F320),"max", MAX(Instances!F320:Instances!F320),"diff", MAX(Instances!F320:Instances!F320)-MIN(Instances!F320:Instances!F320))</f>
        <v>0</v>
      </c>
      <c r="G320" s="1" cm="1">
        <f t="array" ref="G320">_xlfn.SWITCH($A$2,"average", AVERAGE(Instances!G320:Instances!G320),"median", MEDIAN(Instances!G320:Instances!G320),"min", MIN(Instances!G320:Instances!G320),"max", MAX(Instances!G320:Instances!G320),"diff", MAX(Instances!G320:Instances!G320)-MIN(Instances!G320:Instances!G320))</f>
        <v>0</v>
      </c>
      <c r="H320" s="1"/>
      <c r="I320" s="1"/>
      <c r="J320" s="1" cm="1">
        <f t="array" ref="J320">_xlfn.SWITCH($A$2,"average", AVERAGE(Instances!J320:Instances!J320),"median", MEDIAN(Instances!J320:Instances!J320),"min", MIN(Instances!J320:Instances!J320),"max", MAX(Instances!J320:Instances!J320),"diff", MAX(Instances!J320:Instances!J320)-MIN(Instances!J320:Instances!J320))</f>
        <v>0</v>
      </c>
      <c r="K320" s="1" cm="1">
        <f t="array" ref="K320">_xlfn.SWITCH($A$2,"average", AVERAGE(Instances!K320:Instances!K320),"median", MEDIAN(Instances!K320:Instances!K320),"min", MIN(Instances!K320:Instances!K320),"max", MAX(Instances!K320:Instances!K320),"diff", MAX(Instances!K320:Instances!K320)-MIN(Instances!K320:Instances!K320))</f>
        <v>0</v>
      </c>
      <c r="L320" s="1" cm="1">
        <f t="array" ref="L320">_xlfn.SWITCH($A$2,"average", AVERAGE(Instances!L320:Instances!L320),"median", MEDIAN(Instances!L320:Instances!L320),"min", MIN(Instances!L320:Instances!L320),"max", MAX(Instances!L320:Instances!L320),"diff", MAX(Instances!L320:Instances!L320)-MIN(Instances!L320:Instances!L320))</f>
        <v>0</v>
      </c>
      <c r="M320" s="1" cm="1">
        <f t="array" ref="M320">_xlfn.SWITCH($A$2,"average", AVERAGE(Instances!M320:Instances!M320),"median", MEDIAN(Instances!M320:Instances!M320),"min", MIN(Instances!M320:Instances!M320),"max", MAX(Instances!M320:Instances!M320),"diff", MAX(Instances!M320:Instances!M320)-MIN(Instances!M320:Instances!M320))</f>
        <v>0</v>
      </c>
      <c r="N320" s="1" cm="1">
        <f t="array" ref="N320">_xlfn.SWITCH($A$2,"average", AVERAGE(Instances!N320:Instances!N320),"median", MEDIAN(Instances!N320:Instances!N320),"min", MIN(Instances!N320:Instances!N320),"max", MAX(Instances!N320:Instances!N320),"diff", MAX(Instances!N320:Instances!N320)-MIN(Instances!N320:Instances!N320))</f>
        <v>0</v>
      </c>
      <c r="O320" s="1" cm="1">
        <f t="array" ref="O320">_xlfn.SWITCH($A$2,"average", AVERAGE(Instances!O320:Instances!O320),"median", MEDIAN(Instances!O320:Instances!O320),"min", MIN(Instances!O320:Instances!O320),"max", MAX(Instances!O320:Instances!O320),"diff", MAX(Instances!O320:Instances!O320)-MIN(Instances!O320:Instances!O320))</f>
        <v>0</v>
      </c>
      <c r="P320" s="1" cm="1">
        <f t="array" ref="P320">_xlfn.SWITCH($A$2,"average", AVERAGE(Instances!P320:Instances!P320),"median", MEDIAN(Instances!P320:Instances!P320),"min", MIN(Instances!P320:Instances!P320),"max", MAX(Instances!P320:Instances!P320),"diff", MAX(Instances!P320:Instances!P320)-MIN(Instances!P320:Instances!P320))</f>
        <v>0</v>
      </c>
      <c r="Q320" s="1" cm="1">
        <f t="array" ref="Q320">_xlfn.SWITCH($A$2,"average", AVERAGE(Instances!Q320:Instances!Q320),"median", MEDIAN(Instances!Q320:Instances!Q320),"min", MIN(Instances!Q320:Instances!Q320),"max", MAX(Instances!Q320:Instances!Q320),"diff", MAX(Instances!Q320:Instances!Q320)-MIN(Instances!Q320:Instances!Q320))</f>
        <v>0</v>
      </c>
      <c r="R320" s="1">
        <f>MIN($B320,$D320,$F320,$H320,$J320,$L320,$N320,$P320)</f>
        <v>0</v>
      </c>
      <c r="S320" s="1">
        <f>MIN($C320,$E320,$G320,$I320,$K320,$M320,$O320,$Q320)</f>
        <v>0</v>
      </c>
      <c r="T320" s="1">
        <f>MEDIAN($B320,$D320,$F320,$H320,$J320,$L320,$N320,$P320)</f>
        <v>0</v>
      </c>
      <c r="U320" s="1">
        <f>MEDIAN($C320,$E320,$G320,$I320,$K320,$M320,$O320,$Q320)</f>
        <v>0</v>
      </c>
      <c r="V320" s="1">
        <f>MAX($B320,$D320,$F320,$H320,$J320,$L320,$N320,$P320)</f>
        <v>0</v>
      </c>
      <c r="W320" s="1">
        <f>MAX($C320,$E320,$G320,$I320,$K320,$M320,$O320,$Q320)</f>
        <v>0</v>
      </c>
    </row>
    <row r="321" spans="1:23">
      <c r="A321" s="1" t="s">
        <v>50</v>
      </c>
      <c r="B321" s="1"/>
      <c r="C321" s="1"/>
      <c r="D321" s="1" cm="1">
        <f t="array" ref="D321">_xlfn.SWITCH($A$2,"average", AVERAGE(Instances!D321:Instances!D321),"median", MEDIAN(Instances!D321:Instances!D321),"min", MIN(Instances!D321:Instances!D321),"max", MAX(Instances!D321:Instances!D321),"diff", MAX(Instances!D321:Instances!D321)-MIN(Instances!D321:Instances!D321))</f>
        <v>0</v>
      </c>
      <c r="E321" s="1" cm="1">
        <f t="array" ref="E321">_xlfn.SWITCH($A$2,"average", AVERAGE(Instances!E321:Instances!E321),"median", MEDIAN(Instances!E321:Instances!E321),"min", MIN(Instances!E321:Instances!E321),"max", MAX(Instances!E321:Instances!E321),"diff", MAX(Instances!E321:Instances!E321)-MIN(Instances!E321:Instances!E321))</f>
        <v>0</v>
      </c>
      <c r="F321" s="1" cm="1">
        <f t="array" ref="F321">_xlfn.SWITCH($A$2,"average", AVERAGE(Instances!F321:Instances!F321),"median", MEDIAN(Instances!F321:Instances!F321),"min", MIN(Instances!F321:Instances!F321),"max", MAX(Instances!F321:Instances!F321),"diff", MAX(Instances!F321:Instances!F321)-MIN(Instances!F321:Instances!F321))</f>
        <v>0</v>
      </c>
      <c r="G321" s="1" cm="1">
        <f t="array" ref="G321">_xlfn.SWITCH($A$2,"average", AVERAGE(Instances!G321:Instances!G321),"median", MEDIAN(Instances!G321:Instances!G321),"min", MIN(Instances!G321:Instances!G321),"max", MAX(Instances!G321:Instances!G321),"diff", MAX(Instances!G321:Instances!G321)-MIN(Instances!G321:Instances!G321))</f>
        <v>0</v>
      </c>
      <c r="H321" s="1"/>
      <c r="I321" s="1"/>
      <c r="J321" s="1" cm="1">
        <f t="array" ref="J321">_xlfn.SWITCH($A$2,"average", AVERAGE(Instances!J321:Instances!J321),"median", MEDIAN(Instances!J321:Instances!J321),"min", MIN(Instances!J321:Instances!J321),"max", MAX(Instances!J321:Instances!J321),"diff", MAX(Instances!J321:Instances!J321)-MIN(Instances!J321:Instances!J321))</f>
        <v>0</v>
      </c>
      <c r="K321" s="1" cm="1">
        <f t="array" ref="K321">_xlfn.SWITCH($A$2,"average", AVERAGE(Instances!K321:Instances!K321),"median", MEDIAN(Instances!K321:Instances!K321),"min", MIN(Instances!K321:Instances!K321),"max", MAX(Instances!K321:Instances!K321),"diff", MAX(Instances!K321:Instances!K321)-MIN(Instances!K321:Instances!K321))</f>
        <v>0</v>
      </c>
      <c r="L321" s="1" cm="1">
        <f t="array" ref="L321">_xlfn.SWITCH($A$2,"average", AVERAGE(Instances!L321:Instances!L321),"median", MEDIAN(Instances!L321:Instances!L321),"min", MIN(Instances!L321:Instances!L321),"max", MAX(Instances!L321:Instances!L321),"diff", MAX(Instances!L321:Instances!L321)-MIN(Instances!L321:Instances!L321))</f>
        <v>0</v>
      </c>
      <c r="M321" s="1" cm="1">
        <f t="array" ref="M321">_xlfn.SWITCH($A$2,"average", AVERAGE(Instances!M321:Instances!M321),"median", MEDIAN(Instances!M321:Instances!M321),"min", MIN(Instances!M321:Instances!M321),"max", MAX(Instances!M321:Instances!M321),"diff", MAX(Instances!M321:Instances!M321)-MIN(Instances!M321:Instances!M321))</f>
        <v>0</v>
      </c>
      <c r="N321" s="1" cm="1">
        <f t="array" ref="N321">_xlfn.SWITCH($A$2,"average", AVERAGE(Instances!N321:Instances!N321),"median", MEDIAN(Instances!N321:Instances!N321),"min", MIN(Instances!N321:Instances!N321),"max", MAX(Instances!N321:Instances!N321),"diff", MAX(Instances!N321:Instances!N321)-MIN(Instances!N321:Instances!N321))</f>
        <v>0</v>
      </c>
      <c r="O321" s="1" cm="1">
        <f t="array" ref="O321">_xlfn.SWITCH($A$2,"average", AVERAGE(Instances!O321:Instances!O321),"median", MEDIAN(Instances!O321:Instances!O321),"min", MIN(Instances!O321:Instances!O321),"max", MAX(Instances!O321:Instances!O321),"diff", MAX(Instances!O321:Instances!O321)-MIN(Instances!O321:Instances!O321))</f>
        <v>0</v>
      </c>
      <c r="P321" s="1" cm="1">
        <f t="array" ref="P321">_xlfn.SWITCH($A$2,"average", AVERAGE(Instances!P321:Instances!P321),"median", MEDIAN(Instances!P321:Instances!P321),"min", MIN(Instances!P321:Instances!P321),"max", MAX(Instances!P321:Instances!P321),"diff", MAX(Instances!P321:Instances!P321)-MIN(Instances!P321:Instances!P321))</f>
        <v>0</v>
      </c>
      <c r="Q321" s="1" cm="1">
        <f t="array" ref="Q321">_xlfn.SWITCH($A$2,"average", AVERAGE(Instances!Q321:Instances!Q321),"median", MEDIAN(Instances!Q321:Instances!Q321),"min", MIN(Instances!Q321:Instances!Q321),"max", MAX(Instances!Q321:Instances!Q321),"diff", MAX(Instances!Q321:Instances!Q321)-MIN(Instances!Q321:Instances!Q321))</f>
        <v>0</v>
      </c>
      <c r="R321" s="1">
        <f>MIN($B321,$D321,$F321,$H321,$J321,$L321,$N321,$P321)</f>
        <v>0</v>
      </c>
      <c r="S321" s="1">
        <f>MIN($C321,$E321,$G321,$I321,$K321,$M321,$O321,$Q321)</f>
        <v>0</v>
      </c>
      <c r="T321" s="1">
        <f>MEDIAN($B321,$D321,$F321,$H321,$J321,$L321,$N321,$P321)</f>
        <v>0</v>
      </c>
      <c r="U321" s="1">
        <f>MEDIAN($C321,$E321,$G321,$I321,$K321,$M321,$O321,$Q321)</f>
        <v>0</v>
      </c>
      <c r="V321" s="1">
        <f>MAX($B321,$D321,$F321,$H321,$J321,$L321,$N321,$P321)</f>
        <v>0</v>
      </c>
      <c r="W321" s="1">
        <f>MAX($C321,$E321,$G321,$I321,$K321,$M321,$O321,$Q321)</f>
        <v>0</v>
      </c>
    </row>
    <row r="322" spans="1:23">
      <c r="A322" s="1" t="s">
        <v>51</v>
      </c>
      <c r="B322" s="1"/>
      <c r="C322" s="1"/>
      <c r="D322" s="1" cm="1">
        <f t="array" ref="D322">_xlfn.SWITCH($A$2,"average", AVERAGE(Instances!D322:Instances!D322),"median", MEDIAN(Instances!D322:Instances!D322),"min", MIN(Instances!D322:Instances!D322),"max", MAX(Instances!D322:Instances!D322),"diff", MAX(Instances!D322:Instances!D322)-MIN(Instances!D322:Instances!D322))</f>
        <v>0</v>
      </c>
      <c r="E322" s="1" cm="1">
        <f t="array" ref="E322">_xlfn.SWITCH($A$2,"average", AVERAGE(Instances!E322:Instances!E322),"median", MEDIAN(Instances!E322:Instances!E322),"min", MIN(Instances!E322:Instances!E322),"max", MAX(Instances!E322:Instances!E322),"diff", MAX(Instances!E322:Instances!E322)-MIN(Instances!E322:Instances!E322))</f>
        <v>0</v>
      </c>
      <c r="F322" s="1" cm="1">
        <f t="array" ref="F322">_xlfn.SWITCH($A$2,"average", AVERAGE(Instances!F322:Instances!F322),"median", MEDIAN(Instances!F322:Instances!F322),"min", MIN(Instances!F322:Instances!F322),"max", MAX(Instances!F322:Instances!F322),"diff", MAX(Instances!F322:Instances!F322)-MIN(Instances!F322:Instances!F322))</f>
        <v>0</v>
      </c>
      <c r="G322" s="1" cm="1">
        <f t="array" ref="G322">_xlfn.SWITCH($A$2,"average", AVERAGE(Instances!G322:Instances!G322),"median", MEDIAN(Instances!G322:Instances!G322),"min", MIN(Instances!G322:Instances!G322),"max", MAX(Instances!G322:Instances!G322),"diff", MAX(Instances!G322:Instances!G322)-MIN(Instances!G322:Instances!G322))</f>
        <v>0</v>
      </c>
      <c r="H322" s="1"/>
      <c r="I322" s="1"/>
      <c r="J322" s="1" cm="1">
        <f t="array" ref="J322">_xlfn.SWITCH($A$2,"average", AVERAGE(Instances!J322:Instances!J322),"median", MEDIAN(Instances!J322:Instances!J322),"min", MIN(Instances!J322:Instances!J322),"max", MAX(Instances!J322:Instances!J322),"diff", MAX(Instances!J322:Instances!J322)-MIN(Instances!J322:Instances!J322))</f>
        <v>0</v>
      </c>
      <c r="K322" s="1" cm="1">
        <f t="array" ref="K322">_xlfn.SWITCH($A$2,"average", AVERAGE(Instances!K322:Instances!K322),"median", MEDIAN(Instances!K322:Instances!K322),"min", MIN(Instances!K322:Instances!K322),"max", MAX(Instances!K322:Instances!K322),"diff", MAX(Instances!K322:Instances!K322)-MIN(Instances!K322:Instances!K322))</f>
        <v>0</v>
      </c>
      <c r="L322" s="1" cm="1">
        <f t="array" ref="L322">_xlfn.SWITCH($A$2,"average", AVERAGE(Instances!L322:Instances!L322),"median", MEDIAN(Instances!L322:Instances!L322),"min", MIN(Instances!L322:Instances!L322),"max", MAX(Instances!L322:Instances!L322),"diff", MAX(Instances!L322:Instances!L322)-MIN(Instances!L322:Instances!L322))</f>
        <v>0</v>
      </c>
      <c r="M322" s="1" cm="1">
        <f t="array" ref="M322">_xlfn.SWITCH($A$2,"average", AVERAGE(Instances!M322:Instances!M322),"median", MEDIAN(Instances!M322:Instances!M322),"min", MIN(Instances!M322:Instances!M322),"max", MAX(Instances!M322:Instances!M322),"diff", MAX(Instances!M322:Instances!M322)-MIN(Instances!M322:Instances!M322))</f>
        <v>0</v>
      </c>
      <c r="N322" s="1" cm="1">
        <f t="array" ref="N322">_xlfn.SWITCH($A$2,"average", AVERAGE(Instances!N322:Instances!N322),"median", MEDIAN(Instances!N322:Instances!N322),"min", MIN(Instances!N322:Instances!N322),"max", MAX(Instances!N322:Instances!N322),"diff", MAX(Instances!N322:Instances!N322)-MIN(Instances!N322:Instances!N322))</f>
        <v>0</v>
      </c>
      <c r="O322" s="1" cm="1">
        <f t="array" ref="O322">_xlfn.SWITCH($A$2,"average", AVERAGE(Instances!O322:Instances!O322),"median", MEDIAN(Instances!O322:Instances!O322),"min", MIN(Instances!O322:Instances!O322),"max", MAX(Instances!O322:Instances!O322),"diff", MAX(Instances!O322:Instances!O322)-MIN(Instances!O322:Instances!O322))</f>
        <v>0</v>
      </c>
      <c r="P322" s="1" cm="1">
        <f t="array" ref="P322">_xlfn.SWITCH($A$2,"average", AVERAGE(Instances!P322:Instances!P322),"median", MEDIAN(Instances!P322:Instances!P322),"min", MIN(Instances!P322:Instances!P322),"max", MAX(Instances!P322:Instances!P322),"diff", MAX(Instances!P322:Instances!P322)-MIN(Instances!P322:Instances!P322))</f>
        <v>0</v>
      </c>
      <c r="Q322" s="1" cm="1">
        <f t="array" ref="Q322">_xlfn.SWITCH($A$2,"average", AVERAGE(Instances!Q322:Instances!Q322),"median", MEDIAN(Instances!Q322:Instances!Q322),"min", MIN(Instances!Q322:Instances!Q322),"max", MAX(Instances!Q322:Instances!Q322),"diff", MAX(Instances!Q322:Instances!Q322)-MIN(Instances!Q322:Instances!Q322))</f>
        <v>0</v>
      </c>
      <c r="R322" s="1">
        <f>MIN($B322,$D322,$F322,$H322,$J322,$L322,$N322,$P322)</f>
        <v>0</v>
      </c>
      <c r="S322" s="1">
        <f>MIN($C322,$E322,$G322,$I322,$K322,$M322,$O322,$Q322)</f>
        <v>0</v>
      </c>
      <c r="T322" s="1">
        <f>MEDIAN($B322,$D322,$F322,$H322,$J322,$L322,$N322,$P322)</f>
        <v>0</v>
      </c>
      <c r="U322" s="1">
        <f>MEDIAN($C322,$E322,$G322,$I322,$K322,$M322,$O322,$Q322)</f>
        <v>0</v>
      </c>
      <c r="V322" s="1">
        <f>MAX($B322,$D322,$F322,$H322,$J322,$L322,$N322,$P322)</f>
        <v>0</v>
      </c>
      <c r="W322" s="1">
        <f>MAX($C322,$E322,$G322,$I322,$K322,$M322,$O322,$Q322)</f>
        <v>0</v>
      </c>
    </row>
    <row r="323" spans="1:23">
      <c r="A323" s="1" t="s">
        <v>52</v>
      </c>
      <c r="B323" s="1"/>
      <c r="C323" s="1"/>
      <c r="D323" s="1" cm="1">
        <f t="array" ref="D323">_xlfn.SWITCH($A$2,"average", AVERAGE(Instances!D323:Instances!D323),"median", MEDIAN(Instances!D323:Instances!D323),"min", MIN(Instances!D323:Instances!D323),"max", MAX(Instances!D323:Instances!D323),"diff", MAX(Instances!D323:Instances!D323)-MIN(Instances!D323:Instances!D323))</f>
        <v>0</v>
      </c>
      <c r="E323" s="1" cm="1">
        <f t="array" ref="E323">_xlfn.SWITCH($A$2,"average", AVERAGE(Instances!E323:Instances!E323),"median", MEDIAN(Instances!E323:Instances!E323),"min", MIN(Instances!E323:Instances!E323),"max", MAX(Instances!E323:Instances!E323),"diff", MAX(Instances!E323:Instances!E323)-MIN(Instances!E323:Instances!E323))</f>
        <v>0</v>
      </c>
      <c r="F323" s="1" cm="1">
        <f t="array" ref="F323">_xlfn.SWITCH($A$2,"average", AVERAGE(Instances!F323:Instances!F323),"median", MEDIAN(Instances!F323:Instances!F323),"min", MIN(Instances!F323:Instances!F323),"max", MAX(Instances!F323:Instances!F323),"diff", MAX(Instances!F323:Instances!F323)-MIN(Instances!F323:Instances!F323))</f>
        <v>0</v>
      </c>
      <c r="G323" s="1" cm="1">
        <f t="array" ref="G323">_xlfn.SWITCH($A$2,"average", AVERAGE(Instances!G323:Instances!G323),"median", MEDIAN(Instances!G323:Instances!G323),"min", MIN(Instances!G323:Instances!G323),"max", MAX(Instances!G323:Instances!G323),"diff", MAX(Instances!G323:Instances!G323)-MIN(Instances!G323:Instances!G323))</f>
        <v>0</v>
      </c>
      <c r="H323" s="1"/>
      <c r="I323" s="1"/>
      <c r="J323" s="1" cm="1">
        <f t="array" ref="J323">_xlfn.SWITCH($A$2,"average", AVERAGE(Instances!J323:Instances!J323),"median", MEDIAN(Instances!J323:Instances!J323),"min", MIN(Instances!J323:Instances!J323),"max", MAX(Instances!J323:Instances!J323),"diff", MAX(Instances!J323:Instances!J323)-MIN(Instances!J323:Instances!J323))</f>
        <v>0</v>
      </c>
      <c r="K323" s="1" cm="1">
        <f t="array" ref="K323">_xlfn.SWITCH($A$2,"average", AVERAGE(Instances!K323:Instances!K323),"median", MEDIAN(Instances!K323:Instances!K323),"min", MIN(Instances!K323:Instances!K323),"max", MAX(Instances!K323:Instances!K323),"diff", MAX(Instances!K323:Instances!K323)-MIN(Instances!K323:Instances!K323))</f>
        <v>0</v>
      </c>
      <c r="L323" s="1" cm="1">
        <f t="array" ref="L323">_xlfn.SWITCH($A$2,"average", AVERAGE(Instances!L323:Instances!L323),"median", MEDIAN(Instances!L323:Instances!L323),"min", MIN(Instances!L323:Instances!L323),"max", MAX(Instances!L323:Instances!L323),"diff", MAX(Instances!L323:Instances!L323)-MIN(Instances!L323:Instances!L323))</f>
        <v>0</v>
      </c>
      <c r="M323" s="1" cm="1">
        <f t="array" ref="M323">_xlfn.SWITCH($A$2,"average", AVERAGE(Instances!M323:Instances!M323),"median", MEDIAN(Instances!M323:Instances!M323),"min", MIN(Instances!M323:Instances!M323),"max", MAX(Instances!M323:Instances!M323),"diff", MAX(Instances!M323:Instances!M323)-MIN(Instances!M323:Instances!M323))</f>
        <v>0</v>
      </c>
      <c r="N323" s="1" cm="1">
        <f t="array" ref="N323">_xlfn.SWITCH($A$2,"average", AVERAGE(Instances!N323:Instances!N323),"median", MEDIAN(Instances!N323:Instances!N323),"min", MIN(Instances!N323:Instances!N323),"max", MAX(Instances!N323:Instances!N323),"diff", MAX(Instances!N323:Instances!N323)-MIN(Instances!N323:Instances!N323))</f>
        <v>0</v>
      </c>
      <c r="O323" s="1" cm="1">
        <f t="array" ref="O323">_xlfn.SWITCH($A$2,"average", AVERAGE(Instances!O323:Instances!O323),"median", MEDIAN(Instances!O323:Instances!O323),"min", MIN(Instances!O323:Instances!O323),"max", MAX(Instances!O323:Instances!O323),"diff", MAX(Instances!O323:Instances!O323)-MIN(Instances!O323:Instances!O323))</f>
        <v>0</v>
      </c>
      <c r="P323" s="1" cm="1">
        <f t="array" ref="P323">_xlfn.SWITCH($A$2,"average", AVERAGE(Instances!P323:Instances!P323),"median", MEDIAN(Instances!P323:Instances!P323),"min", MIN(Instances!P323:Instances!P323),"max", MAX(Instances!P323:Instances!P323),"diff", MAX(Instances!P323:Instances!P323)-MIN(Instances!P323:Instances!P323))</f>
        <v>0</v>
      </c>
      <c r="Q323" s="1" cm="1">
        <f t="array" ref="Q323">_xlfn.SWITCH($A$2,"average", AVERAGE(Instances!Q323:Instances!Q323),"median", MEDIAN(Instances!Q323:Instances!Q323),"min", MIN(Instances!Q323:Instances!Q323),"max", MAX(Instances!Q323:Instances!Q323),"diff", MAX(Instances!Q323:Instances!Q323)-MIN(Instances!Q323:Instances!Q323))</f>
        <v>0</v>
      </c>
      <c r="R323" s="1">
        <f>MIN($B323,$D323,$F323,$H323,$J323,$L323,$N323,$P323)</f>
        <v>0</v>
      </c>
      <c r="S323" s="1">
        <f>MIN($C323,$E323,$G323,$I323,$K323,$M323,$O323,$Q323)</f>
        <v>0</v>
      </c>
      <c r="T323" s="1">
        <f>MEDIAN($B323,$D323,$F323,$H323,$J323,$L323,$N323,$P323)</f>
        <v>0</v>
      </c>
      <c r="U323" s="1">
        <f>MEDIAN($C323,$E323,$G323,$I323,$K323,$M323,$O323,$Q323)</f>
        <v>0</v>
      </c>
      <c r="V323" s="1">
        <f>MAX($B323,$D323,$F323,$H323,$J323,$L323,$N323,$P323)</f>
        <v>0</v>
      </c>
      <c r="W323" s="1">
        <f>MAX($C323,$E323,$G323,$I323,$K323,$M323,$O323,$Q323)</f>
        <v>0</v>
      </c>
    </row>
    <row r="324" spans="1:23">
      <c r="A324" s="1" t="s">
        <v>53</v>
      </c>
      <c r="B324" s="1"/>
      <c r="C324" s="1"/>
      <c r="D324" s="1" cm="1">
        <f t="array" ref="D324">_xlfn.SWITCH($A$2,"average", AVERAGE(Instances!D324:Instances!D324),"median", MEDIAN(Instances!D324:Instances!D324),"min", MIN(Instances!D324:Instances!D324),"max", MAX(Instances!D324:Instances!D324),"diff", MAX(Instances!D324:Instances!D324)-MIN(Instances!D324:Instances!D324))</f>
        <v>0</v>
      </c>
      <c r="E324" s="1" cm="1">
        <f t="array" ref="E324">_xlfn.SWITCH($A$2,"average", AVERAGE(Instances!E324:Instances!E324),"median", MEDIAN(Instances!E324:Instances!E324),"min", MIN(Instances!E324:Instances!E324),"max", MAX(Instances!E324:Instances!E324),"diff", MAX(Instances!E324:Instances!E324)-MIN(Instances!E324:Instances!E324))</f>
        <v>0</v>
      </c>
      <c r="F324" s="1" cm="1">
        <f t="array" ref="F324">_xlfn.SWITCH($A$2,"average", AVERAGE(Instances!F324:Instances!F324),"median", MEDIAN(Instances!F324:Instances!F324),"min", MIN(Instances!F324:Instances!F324),"max", MAX(Instances!F324:Instances!F324),"diff", MAX(Instances!F324:Instances!F324)-MIN(Instances!F324:Instances!F324))</f>
        <v>0</v>
      </c>
      <c r="G324" s="1" cm="1">
        <f t="array" ref="G324">_xlfn.SWITCH($A$2,"average", AVERAGE(Instances!G324:Instances!G324),"median", MEDIAN(Instances!G324:Instances!G324),"min", MIN(Instances!G324:Instances!G324),"max", MAX(Instances!G324:Instances!G324),"diff", MAX(Instances!G324:Instances!G324)-MIN(Instances!G324:Instances!G324))</f>
        <v>0</v>
      </c>
      <c r="H324" s="1"/>
      <c r="I324" s="1"/>
      <c r="J324" s="1" cm="1">
        <f t="array" ref="J324">_xlfn.SWITCH($A$2,"average", AVERAGE(Instances!J324:Instances!J324),"median", MEDIAN(Instances!J324:Instances!J324),"min", MIN(Instances!J324:Instances!J324),"max", MAX(Instances!J324:Instances!J324),"diff", MAX(Instances!J324:Instances!J324)-MIN(Instances!J324:Instances!J324))</f>
        <v>0</v>
      </c>
      <c r="K324" s="1" cm="1">
        <f t="array" ref="K324">_xlfn.SWITCH($A$2,"average", AVERAGE(Instances!K324:Instances!K324),"median", MEDIAN(Instances!K324:Instances!K324),"min", MIN(Instances!K324:Instances!K324),"max", MAX(Instances!K324:Instances!K324),"diff", MAX(Instances!K324:Instances!K324)-MIN(Instances!K324:Instances!K324))</f>
        <v>0</v>
      </c>
      <c r="L324" s="1" cm="1">
        <f t="array" ref="L324">_xlfn.SWITCH($A$2,"average", AVERAGE(Instances!L324:Instances!L324),"median", MEDIAN(Instances!L324:Instances!L324),"min", MIN(Instances!L324:Instances!L324),"max", MAX(Instances!L324:Instances!L324),"diff", MAX(Instances!L324:Instances!L324)-MIN(Instances!L324:Instances!L324))</f>
        <v>0</v>
      </c>
      <c r="M324" s="1" cm="1">
        <f t="array" ref="M324">_xlfn.SWITCH($A$2,"average", AVERAGE(Instances!M324:Instances!M324),"median", MEDIAN(Instances!M324:Instances!M324),"min", MIN(Instances!M324:Instances!M324),"max", MAX(Instances!M324:Instances!M324),"diff", MAX(Instances!M324:Instances!M324)-MIN(Instances!M324:Instances!M324))</f>
        <v>0</v>
      </c>
      <c r="N324" s="1" cm="1">
        <f t="array" ref="N324">_xlfn.SWITCH($A$2,"average", AVERAGE(Instances!N324:Instances!N324),"median", MEDIAN(Instances!N324:Instances!N324),"min", MIN(Instances!N324:Instances!N324),"max", MAX(Instances!N324:Instances!N324),"diff", MAX(Instances!N324:Instances!N324)-MIN(Instances!N324:Instances!N324))</f>
        <v>0</v>
      </c>
      <c r="O324" s="1" cm="1">
        <f t="array" ref="O324">_xlfn.SWITCH($A$2,"average", AVERAGE(Instances!O324:Instances!O324),"median", MEDIAN(Instances!O324:Instances!O324),"min", MIN(Instances!O324:Instances!O324),"max", MAX(Instances!O324:Instances!O324),"diff", MAX(Instances!O324:Instances!O324)-MIN(Instances!O324:Instances!O324))</f>
        <v>0</v>
      </c>
      <c r="P324" s="1" cm="1">
        <f t="array" ref="P324">_xlfn.SWITCH($A$2,"average", AVERAGE(Instances!P324:Instances!P324),"median", MEDIAN(Instances!P324:Instances!P324),"min", MIN(Instances!P324:Instances!P324),"max", MAX(Instances!P324:Instances!P324),"diff", MAX(Instances!P324:Instances!P324)-MIN(Instances!P324:Instances!P324))</f>
        <v>0</v>
      </c>
      <c r="Q324" s="1" cm="1">
        <f t="array" ref="Q324">_xlfn.SWITCH($A$2,"average", AVERAGE(Instances!Q324:Instances!Q324),"median", MEDIAN(Instances!Q324:Instances!Q324),"min", MIN(Instances!Q324:Instances!Q324),"max", MAX(Instances!Q324:Instances!Q324),"diff", MAX(Instances!Q324:Instances!Q324)-MIN(Instances!Q324:Instances!Q324))</f>
        <v>0</v>
      </c>
      <c r="R324" s="1">
        <f>MIN($B324,$D324,$F324,$H324,$J324,$L324,$N324,$P324)</f>
        <v>0</v>
      </c>
      <c r="S324" s="1">
        <f>MIN($C324,$E324,$G324,$I324,$K324,$M324,$O324,$Q324)</f>
        <v>0</v>
      </c>
      <c r="T324" s="1">
        <f>MEDIAN($B324,$D324,$F324,$H324,$J324,$L324,$N324,$P324)</f>
        <v>0</v>
      </c>
      <c r="U324" s="1">
        <f>MEDIAN($C324,$E324,$G324,$I324,$K324,$M324,$O324,$Q324)</f>
        <v>0</v>
      </c>
      <c r="V324" s="1">
        <f>MAX($B324,$D324,$F324,$H324,$J324,$L324,$N324,$P324)</f>
        <v>0</v>
      </c>
      <c r="W324" s="1">
        <f>MAX($C324,$E324,$G324,$I324,$K324,$M324,$O324,$Q324)</f>
        <v>0</v>
      </c>
    </row>
    <row r="325" spans="1:23">
      <c r="A325" s="1" t="s">
        <v>54</v>
      </c>
      <c r="B325" s="1"/>
      <c r="C325" s="1"/>
      <c r="D325" s="1" cm="1">
        <f t="array" ref="D325">_xlfn.SWITCH($A$2,"average", AVERAGE(Instances!D325:Instances!D325),"median", MEDIAN(Instances!D325:Instances!D325),"min", MIN(Instances!D325:Instances!D325),"max", MAX(Instances!D325:Instances!D325),"diff", MAX(Instances!D325:Instances!D325)-MIN(Instances!D325:Instances!D325))</f>
        <v>0</v>
      </c>
      <c r="E325" s="1" cm="1">
        <f t="array" ref="E325">_xlfn.SWITCH($A$2,"average", AVERAGE(Instances!E325:Instances!E325),"median", MEDIAN(Instances!E325:Instances!E325),"min", MIN(Instances!E325:Instances!E325),"max", MAX(Instances!E325:Instances!E325),"diff", MAX(Instances!E325:Instances!E325)-MIN(Instances!E325:Instances!E325))</f>
        <v>0</v>
      </c>
      <c r="F325" s="1" cm="1">
        <f t="array" ref="F325">_xlfn.SWITCH($A$2,"average", AVERAGE(Instances!F325:Instances!F325),"median", MEDIAN(Instances!F325:Instances!F325),"min", MIN(Instances!F325:Instances!F325),"max", MAX(Instances!F325:Instances!F325),"diff", MAX(Instances!F325:Instances!F325)-MIN(Instances!F325:Instances!F325))</f>
        <v>0</v>
      </c>
      <c r="G325" s="1" cm="1">
        <f t="array" ref="G325">_xlfn.SWITCH($A$2,"average", AVERAGE(Instances!G325:Instances!G325),"median", MEDIAN(Instances!G325:Instances!G325),"min", MIN(Instances!G325:Instances!G325),"max", MAX(Instances!G325:Instances!G325),"diff", MAX(Instances!G325:Instances!G325)-MIN(Instances!G325:Instances!G325))</f>
        <v>0</v>
      </c>
      <c r="H325" s="1"/>
      <c r="I325" s="1"/>
      <c r="J325" s="1" cm="1">
        <f t="array" ref="J325">_xlfn.SWITCH($A$2,"average", AVERAGE(Instances!J325:Instances!J325),"median", MEDIAN(Instances!J325:Instances!J325),"min", MIN(Instances!J325:Instances!J325),"max", MAX(Instances!J325:Instances!J325),"diff", MAX(Instances!J325:Instances!J325)-MIN(Instances!J325:Instances!J325))</f>
        <v>0</v>
      </c>
      <c r="K325" s="1" cm="1">
        <f t="array" ref="K325">_xlfn.SWITCH($A$2,"average", AVERAGE(Instances!K325:Instances!K325),"median", MEDIAN(Instances!K325:Instances!K325),"min", MIN(Instances!K325:Instances!K325),"max", MAX(Instances!K325:Instances!K325),"diff", MAX(Instances!K325:Instances!K325)-MIN(Instances!K325:Instances!K325))</f>
        <v>0</v>
      </c>
      <c r="L325" s="1" cm="1">
        <f t="array" ref="L325">_xlfn.SWITCH($A$2,"average", AVERAGE(Instances!L325:Instances!L325),"median", MEDIAN(Instances!L325:Instances!L325),"min", MIN(Instances!L325:Instances!L325),"max", MAX(Instances!L325:Instances!L325),"diff", MAX(Instances!L325:Instances!L325)-MIN(Instances!L325:Instances!L325))</f>
        <v>0</v>
      </c>
      <c r="M325" s="1" cm="1">
        <f t="array" ref="M325">_xlfn.SWITCH($A$2,"average", AVERAGE(Instances!M325:Instances!M325),"median", MEDIAN(Instances!M325:Instances!M325),"min", MIN(Instances!M325:Instances!M325),"max", MAX(Instances!M325:Instances!M325),"diff", MAX(Instances!M325:Instances!M325)-MIN(Instances!M325:Instances!M325))</f>
        <v>0</v>
      </c>
      <c r="N325" s="1" cm="1">
        <f t="array" ref="N325">_xlfn.SWITCH($A$2,"average", AVERAGE(Instances!N325:Instances!N325),"median", MEDIAN(Instances!N325:Instances!N325),"min", MIN(Instances!N325:Instances!N325),"max", MAX(Instances!N325:Instances!N325),"diff", MAX(Instances!N325:Instances!N325)-MIN(Instances!N325:Instances!N325))</f>
        <v>0</v>
      </c>
      <c r="O325" s="1" cm="1">
        <f t="array" ref="O325">_xlfn.SWITCH($A$2,"average", AVERAGE(Instances!O325:Instances!O325),"median", MEDIAN(Instances!O325:Instances!O325),"min", MIN(Instances!O325:Instances!O325),"max", MAX(Instances!O325:Instances!O325),"diff", MAX(Instances!O325:Instances!O325)-MIN(Instances!O325:Instances!O325))</f>
        <v>0</v>
      </c>
      <c r="P325" s="1" cm="1">
        <f t="array" ref="P325">_xlfn.SWITCH($A$2,"average", AVERAGE(Instances!P325:Instances!P325),"median", MEDIAN(Instances!P325:Instances!P325),"min", MIN(Instances!P325:Instances!P325),"max", MAX(Instances!P325:Instances!P325),"diff", MAX(Instances!P325:Instances!P325)-MIN(Instances!P325:Instances!P325))</f>
        <v>0</v>
      </c>
      <c r="Q325" s="1" cm="1">
        <f t="array" ref="Q325">_xlfn.SWITCH($A$2,"average", AVERAGE(Instances!Q325:Instances!Q325),"median", MEDIAN(Instances!Q325:Instances!Q325),"min", MIN(Instances!Q325:Instances!Q325),"max", MAX(Instances!Q325:Instances!Q325),"diff", MAX(Instances!Q325:Instances!Q325)-MIN(Instances!Q325:Instances!Q325))</f>
        <v>0</v>
      </c>
      <c r="R325" s="1">
        <f>MIN($B325,$D325,$F325,$H325,$J325,$L325,$N325,$P325)</f>
        <v>0</v>
      </c>
      <c r="S325" s="1">
        <f>MIN($C325,$E325,$G325,$I325,$K325,$M325,$O325,$Q325)</f>
        <v>0</v>
      </c>
      <c r="T325" s="1">
        <f>MEDIAN($B325,$D325,$F325,$H325,$J325,$L325,$N325,$P325)</f>
        <v>0</v>
      </c>
      <c r="U325" s="1">
        <f>MEDIAN($C325,$E325,$G325,$I325,$K325,$M325,$O325,$Q325)</f>
        <v>0</v>
      </c>
      <c r="V325" s="1">
        <f>MAX($B325,$D325,$F325,$H325,$J325,$L325,$N325,$P325)</f>
        <v>0</v>
      </c>
      <c r="W325" s="1">
        <f>MAX($C325,$E325,$G325,$I325,$K325,$M325,$O325,$Q325)</f>
        <v>0</v>
      </c>
    </row>
    <row r="326" spans="1:23">
      <c r="A326" s="1" t="s">
        <v>55</v>
      </c>
      <c r="B326" s="1"/>
      <c r="C326" s="1"/>
      <c r="D326" s="1" cm="1">
        <f t="array" ref="D326">_xlfn.SWITCH($A$2,"average", AVERAGE(Instances!D326:Instances!D326),"median", MEDIAN(Instances!D326:Instances!D326),"min", MIN(Instances!D326:Instances!D326),"max", MAX(Instances!D326:Instances!D326),"diff", MAX(Instances!D326:Instances!D326)-MIN(Instances!D326:Instances!D326))</f>
        <v>0</v>
      </c>
      <c r="E326" s="1" cm="1">
        <f t="array" ref="E326">_xlfn.SWITCH($A$2,"average", AVERAGE(Instances!E326:Instances!E326),"median", MEDIAN(Instances!E326:Instances!E326),"min", MIN(Instances!E326:Instances!E326),"max", MAX(Instances!E326:Instances!E326),"diff", MAX(Instances!E326:Instances!E326)-MIN(Instances!E326:Instances!E326))</f>
        <v>0</v>
      </c>
      <c r="F326" s="1" cm="1">
        <f t="array" ref="F326">_xlfn.SWITCH($A$2,"average", AVERAGE(Instances!F326:Instances!F326),"median", MEDIAN(Instances!F326:Instances!F326),"min", MIN(Instances!F326:Instances!F326),"max", MAX(Instances!F326:Instances!F326),"diff", MAX(Instances!F326:Instances!F326)-MIN(Instances!F326:Instances!F326))</f>
        <v>0</v>
      </c>
      <c r="G326" s="1" cm="1">
        <f t="array" ref="G326">_xlfn.SWITCH($A$2,"average", AVERAGE(Instances!G326:Instances!G326),"median", MEDIAN(Instances!G326:Instances!G326),"min", MIN(Instances!G326:Instances!G326),"max", MAX(Instances!G326:Instances!G326),"diff", MAX(Instances!G326:Instances!G326)-MIN(Instances!G326:Instances!G326))</f>
        <v>0</v>
      </c>
      <c r="H326" s="1"/>
      <c r="I326" s="1"/>
      <c r="J326" s="1" cm="1">
        <f t="array" ref="J326">_xlfn.SWITCH($A$2,"average", AVERAGE(Instances!J326:Instances!J326),"median", MEDIAN(Instances!J326:Instances!J326),"min", MIN(Instances!J326:Instances!J326),"max", MAX(Instances!J326:Instances!J326),"diff", MAX(Instances!J326:Instances!J326)-MIN(Instances!J326:Instances!J326))</f>
        <v>0</v>
      </c>
      <c r="K326" s="1" cm="1">
        <f t="array" ref="K326">_xlfn.SWITCH($A$2,"average", AVERAGE(Instances!K326:Instances!K326),"median", MEDIAN(Instances!K326:Instances!K326),"min", MIN(Instances!K326:Instances!K326),"max", MAX(Instances!K326:Instances!K326),"diff", MAX(Instances!K326:Instances!K326)-MIN(Instances!K326:Instances!K326))</f>
        <v>0</v>
      </c>
      <c r="L326" s="1" cm="1">
        <f t="array" ref="L326">_xlfn.SWITCH($A$2,"average", AVERAGE(Instances!L326:Instances!L326),"median", MEDIAN(Instances!L326:Instances!L326),"min", MIN(Instances!L326:Instances!L326),"max", MAX(Instances!L326:Instances!L326),"diff", MAX(Instances!L326:Instances!L326)-MIN(Instances!L326:Instances!L326))</f>
        <v>0</v>
      </c>
      <c r="M326" s="1" cm="1">
        <f t="array" ref="M326">_xlfn.SWITCH($A$2,"average", AVERAGE(Instances!M326:Instances!M326),"median", MEDIAN(Instances!M326:Instances!M326),"min", MIN(Instances!M326:Instances!M326),"max", MAX(Instances!M326:Instances!M326),"diff", MAX(Instances!M326:Instances!M326)-MIN(Instances!M326:Instances!M326))</f>
        <v>0</v>
      </c>
      <c r="N326" s="1" cm="1">
        <f t="array" ref="N326">_xlfn.SWITCH($A$2,"average", AVERAGE(Instances!N326:Instances!N326),"median", MEDIAN(Instances!N326:Instances!N326),"min", MIN(Instances!N326:Instances!N326),"max", MAX(Instances!N326:Instances!N326),"diff", MAX(Instances!N326:Instances!N326)-MIN(Instances!N326:Instances!N326))</f>
        <v>0</v>
      </c>
      <c r="O326" s="1" cm="1">
        <f t="array" ref="O326">_xlfn.SWITCH($A$2,"average", AVERAGE(Instances!O326:Instances!O326),"median", MEDIAN(Instances!O326:Instances!O326),"min", MIN(Instances!O326:Instances!O326),"max", MAX(Instances!O326:Instances!O326),"diff", MAX(Instances!O326:Instances!O326)-MIN(Instances!O326:Instances!O326))</f>
        <v>0</v>
      </c>
      <c r="P326" s="1" cm="1">
        <f t="array" ref="P326">_xlfn.SWITCH($A$2,"average", AVERAGE(Instances!P326:Instances!P326),"median", MEDIAN(Instances!P326:Instances!P326),"min", MIN(Instances!P326:Instances!P326),"max", MAX(Instances!P326:Instances!P326),"diff", MAX(Instances!P326:Instances!P326)-MIN(Instances!P326:Instances!P326))</f>
        <v>0</v>
      </c>
      <c r="Q326" s="1" cm="1">
        <f t="array" ref="Q326">_xlfn.SWITCH($A$2,"average", AVERAGE(Instances!Q326:Instances!Q326),"median", MEDIAN(Instances!Q326:Instances!Q326),"min", MIN(Instances!Q326:Instances!Q326),"max", MAX(Instances!Q326:Instances!Q326),"diff", MAX(Instances!Q326:Instances!Q326)-MIN(Instances!Q326:Instances!Q326))</f>
        <v>0</v>
      </c>
      <c r="R326" s="1">
        <f>MIN($B326,$D326,$F326,$H326,$J326,$L326,$N326,$P326)</f>
        <v>0</v>
      </c>
      <c r="S326" s="1">
        <f>MIN($C326,$E326,$G326,$I326,$K326,$M326,$O326,$Q326)</f>
        <v>0</v>
      </c>
      <c r="T326" s="1">
        <f>MEDIAN($B326,$D326,$F326,$H326,$J326,$L326,$N326,$P326)</f>
        <v>0</v>
      </c>
      <c r="U326" s="1">
        <f>MEDIAN($C326,$E326,$G326,$I326,$K326,$M326,$O326,$Q326)</f>
        <v>0</v>
      </c>
      <c r="V326" s="1">
        <f>MAX($B326,$D326,$F326,$H326,$J326,$L326,$N326,$P326)</f>
        <v>0</v>
      </c>
      <c r="W326" s="1">
        <f>MAX($C326,$E326,$G326,$I326,$K326,$M326,$O326,$Q326)</f>
        <v>0</v>
      </c>
    </row>
    <row r="327" spans="1:23">
      <c r="A327" s="1" t="s">
        <v>56</v>
      </c>
      <c r="B327" s="1"/>
      <c r="C327" s="1"/>
      <c r="D327" s="1" cm="1">
        <f t="array" ref="D327">_xlfn.SWITCH($A$2,"average", AVERAGE(Instances!D327:Instances!D327),"median", MEDIAN(Instances!D327:Instances!D327),"min", MIN(Instances!D327:Instances!D327),"max", MAX(Instances!D327:Instances!D327),"diff", MAX(Instances!D327:Instances!D327)-MIN(Instances!D327:Instances!D327))</f>
        <v>0</v>
      </c>
      <c r="E327" s="1" cm="1">
        <f t="array" ref="E327">_xlfn.SWITCH($A$2,"average", AVERAGE(Instances!E327:Instances!E327),"median", MEDIAN(Instances!E327:Instances!E327),"min", MIN(Instances!E327:Instances!E327),"max", MAX(Instances!E327:Instances!E327),"diff", MAX(Instances!E327:Instances!E327)-MIN(Instances!E327:Instances!E327))</f>
        <v>0</v>
      </c>
      <c r="F327" s="1" cm="1">
        <f t="array" ref="F327">_xlfn.SWITCH($A$2,"average", AVERAGE(Instances!F327:Instances!F327),"median", MEDIAN(Instances!F327:Instances!F327),"min", MIN(Instances!F327:Instances!F327),"max", MAX(Instances!F327:Instances!F327),"diff", MAX(Instances!F327:Instances!F327)-MIN(Instances!F327:Instances!F327))</f>
        <v>0</v>
      </c>
      <c r="G327" s="1" cm="1">
        <f t="array" ref="G327">_xlfn.SWITCH($A$2,"average", AVERAGE(Instances!G327:Instances!G327),"median", MEDIAN(Instances!G327:Instances!G327),"min", MIN(Instances!G327:Instances!G327),"max", MAX(Instances!G327:Instances!G327),"diff", MAX(Instances!G327:Instances!G327)-MIN(Instances!G327:Instances!G327))</f>
        <v>0</v>
      </c>
      <c r="H327" s="1"/>
      <c r="I327" s="1"/>
      <c r="J327" s="1" cm="1">
        <f t="array" ref="J327">_xlfn.SWITCH($A$2,"average", AVERAGE(Instances!J327:Instances!J327),"median", MEDIAN(Instances!J327:Instances!J327),"min", MIN(Instances!J327:Instances!J327),"max", MAX(Instances!J327:Instances!J327),"diff", MAX(Instances!J327:Instances!J327)-MIN(Instances!J327:Instances!J327))</f>
        <v>0</v>
      </c>
      <c r="K327" s="1" cm="1">
        <f t="array" ref="K327">_xlfn.SWITCH($A$2,"average", AVERAGE(Instances!K327:Instances!K327),"median", MEDIAN(Instances!K327:Instances!K327),"min", MIN(Instances!K327:Instances!K327),"max", MAX(Instances!K327:Instances!K327),"diff", MAX(Instances!K327:Instances!K327)-MIN(Instances!K327:Instances!K327))</f>
        <v>0</v>
      </c>
      <c r="L327" s="1" cm="1">
        <f t="array" ref="L327">_xlfn.SWITCH($A$2,"average", AVERAGE(Instances!L327:Instances!L327),"median", MEDIAN(Instances!L327:Instances!L327),"min", MIN(Instances!L327:Instances!L327),"max", MAX(Instances!L327:Instances!L327),"diff", MAX(Instances!L327:Instances!L327)-MIN(Instances!L327:Instances!L327))</f>
        <v>0</v>
      </c>
      <c r="M327" s="1" cm="1">
        <f t="array" ref="M327">_xlfn.SWITCH($A$2,"average", AVERAGE(Instances!M327:Instances!M327),"median", MEDIAN(Instances!M327:Instances!M327),"min", MIN(Instances!M327:Instances!M327),"max", MAX(Instances!M327:Instances!M327),"diff", MAX(Instances!M327:Instances!M327)-MIN(Instances!M327:Instances!M327))</f>
        <v>0</v>
      </c>
      <c r="N327" s="1" cm="1">
        <f t="array" ref="N327">_xlfn.SWITCH($A$2,"average", AVERAGE(Instances!N327:Instances!N327),"median", MEDIAN(Instances!N327:Instances!N327),"min", MIN(Instances!N327:Instances!N327),"max", MAX(Instances!N327:Instances!N327),"diff", MAX(Instances!N327:Instances!N327)-MIN(Instances!N327:Instances!N327))</f>
        <v>0</v>
      </c>
      <c r="O327" s="1" cm="1">
        <f t="array" ref="O327">_xlfn.SWITCH($A$2,"average", AVERAGE(Instances!O327:Instances!O327),"median", MEDIAN(Instances!O327:Instances!O327),"min", MIN(Instances!O327:Instances!O327),"max", MAX(Instances!O327:Instances!O327),"diff", MAX(Instances!O327:Instances!O327)-MIN(Instances!O327:Instances!O327))</f>
        <v>0</v>
      </c>
      <c r="P327" s="1" cm="1">
        <f t="array" ref="P327">_xlfn.SWITCH($A$2,"average", AVERAGE(Instances!P327:Instances!P327),"median", MEDIAN(Instances!P327:Instances!P327),"min", MIN(Instances!P327:Instances!P327),"max", MAX(Instances!P327:Instances!P327),"diff", MAX(Instances!P327:Instances!P327)-MIN(Instances!P327:Instances!P327))</f>
        <v>0</v>
      </c>
      <c r="Q327" s="1" cm="1">
        <f t="array" ref="Q327">_xlfn.SWITCH($A$2,"average", AVERAGE(Instances!Q327:Instances!Q327),"median", MEDIAN(Instances!Q327:Instances!Q327),"min", MIN(Instances!Q327:Instances!Q327),"max", MAX(Instances!Q327:Instances!Q327),"diff", MAX(Instances!Q327:Instances!Q327)-MIN(Instances!Q327:Instances!Q327))</f>
        <v>0</v>
      </c>
      <c r="R327" s="1">
        <f>MIN($B327,$D327,$F327,$H327,$J327,$L327,$N327,$P327)</f>
        <v>0</v>
      </c>
      <c r="S327" s="1">
        <f>MIN($C327,$E327,$G327,$I327,$K327,$M327,$O327,$Q327)</f>
        <v>0</v>
      </c>
      <c r="T327" s="1">
        <f>MEDIAN($B327,$D327,$F327,$H327,$J327,$L327,$N327,$P327)</f>
        <v>0</v>
      </c>
      <c r="U327" s="1">
        <f>MEDIAN($C327,$E327,$G327,$I327,$K327,$M327,$O327,$Q327)</f>
        <v>0</v>
      </c>
      <c r="V327" s="1">
        <f>MAX($B327,$D327,$F327,$H327,$J327,$L327,$N327,$P327)</f>
        <v>0</v>
      </c>
      <c r="W327" s="1">
        <f>MAX($C327,$E327,$G327,$I327,$K327,$M327,$O327,$Q327)</f>
        <v>0</v>
      </c>
    </row>
    <row r="328" spans="1:23">
      <c r="A328" s="1" t="s">
        <v>57</v>
      </c>
      <c r="B328" s="1"/>
      <c r="C328" s="1"/>
      <c r="D328" s="1" cm="1">
        <f t="array" ref="D328">_xlfn.SWITCH($A$2,"average", AVERAGE(Instances!D328:Instances!D328),"median", MEDIAN(Instances!D328:Instances!D328),"min", MIN(Instances!D328:Instances!D328),"max", MAX(Instances!D328:Instances!D328),"diff", MAX(Instances!D328:Instances!D328)-MIN(Instances!D328:Instances!D328))</f>
        <v>0</v>
      </c>
      <c r="E328" s="1" cm="1">
        <f t="array" ref="E328">_xlfn.SWITCH($A$2,"average", AVERAGE(Instances!E328:Instances!E328),"median", MEDIAN(Instances!E328:Instances!E328),"min", MIN(Instances!E328:Instances!E328),"max", MAX(Instances!E328:Instances!E328),"diff", MAX(Instances!E328:Instances!E328)-MIN(Instances!E328:Instances!E328))</f>
        <v>0</v>
      </c>
      <c r="F328" s="1" cm="1">
        <f t="array" ref="F328">_xlfn.SWITCH($A$2,"average", AVERAGE(Instances!F328:Instances!F328),"median", MEDIAN(Instances!F328:Instances!F328),"min", MIN(Instances!F328:Instances!F328),"max", MAX(Instances!F328:Instances!F328),"diff", MAX(Instances!F328:Instances!F328)-MIN(Instances!F328:Instances!F328))</f>
        <v>0</v>
      </c>
      <c r="G328" s="1" cm="1">
        <f t="array" ref="G328">_xlfn.SWITCH($A$2,"average", AVERAGE(Instances!G328:Instances!G328),"median", MEDIAN(Instances!G328:Instances!G328),"min", MIN(Instances!G328:Instances!G328),"max", MAX(Instances!G328:Instances!G328),"diff", MAX(Instances!G328:Instances!G328)-MIN(Instances!G328:Instances!G328))</f>
        <v>0</v>
      </c>
      <c r="H328" s="1"/>
      <c r="I328" s="1"/>
      <c r="J328" s="1" cm="1">
        <f t="array" ref="J328">_xlfn.SWITCH($A$2,"average", AVERAGE(Instances!J328:Instances!J328),"median", MEDIAN(Instances!J328:Instances!J328),"min", MIN(Instances!J328:Instances!J328),"max", MAX(Instances!J328:Instances!J328),"diff", MAX(Instances!J328:Instances!J328)-MIN(Instances!J328:Instances!J328))</f>
        <v>0</v>
      </c>
      <c r="K328" s="1" cm="1">
        <f t="array" ref="K328">_xlfn.SWITCH($A$2,"average", AVERAGE(Instances!K328:Instances!K328),"median", MEDIAN(Instances!K328:Instances!K328),"min", MIN(Instances!K328:Instances!K328),"max", MAX(Instances!K328:Instances!K328),"diff", MAX(Instances!K328:Instances!K328)-MIN(Instances!K328:Instances!K328))</f>
        <v>0</v>
      </c>
      <c r="L328" s="1" cm="1">
        <f t="array" ref="L328">_xlfn.SWITCH($A$2,"average", AVERAGE(Instances!L328:Instances!L328),"median", MEDIAN(Instances!L328:Instances!L328),"min", MIN(Instances!L328:Instances!L328),"max", MAX(Instances!L328:Instances!L328),"diff", MAX(Instances!L328:Instances!L328)-MIN(Instances!L328:Instances!L328))</f>
        <v>0</v>
      </c>
      <c r="M328" s="1" cm="1">
        <f t="array" ref="M328">_xlfn.SWITCH($A$2,"average", AVERAGE(Instances!M328:Instances!M328),"median", MEDIAN(Instances!M328:Instances!M328),"min", MIN(Instances!M328:Instances!M328),"max", MAX(Instances!M328:Instances!M328),"diff", MAX(Instances!M328:Instances!M328)-MIN(Instances!M328:Instances!M328))</f>
        <v>0</v>
      </c>
      <c r="N328" s="1" cm="1">
        <f t="array" ref="N328">_xlfn.SWITCH($A$2,"average", AVERAGE(Instances!N328:Instances!N328),"median", MEDIAN(Instances!N328:Instances!N328),"min", MIN(Instances!N328:Instances!N328),"max", MAX(Instances!N328:Instances!N328),"diff", MAX(Instances!N328:Instances!N328)-MIN(Instances!N328:Instances!N328))</f>
        <v>0</v>
      </c>
      <c r="O328" s="1" cm="1">
        <f t="array" ref="O328">_xlfn.SWITCH($A$2,"average", AVERAGE(Instances!O328:Instances!O328),"median", MEDIAN(Instances!O328:Instances!O328),"min", MIN(Instances!O328:Instances!O328),"max", MAX(Instances!O328:Instances!O328),"diff", MAX(Instances!O328:Instances!O328)-MIN(Instances!O328:Instances!O328))</f>
        <v>0</v>
      </c>
      <c r="P328" s="1" cm="1">
        <f t="array" ref="P328">_xlfn.SWITCH($A$2,"average", AVERAGE(Instances!P328:Instances!P328),"median", MEDIAN(Instances!P328:Instances!P328),"min", MIN(Instances!P328:Instances!P328),"max", MAX(Instances!P328:Instances!P328),"diff", MAX(Instances!P328:Instances!P328)-MIN(Instances!P328:Instances!P328))</f>
        <v>0</v>
      </c>
      <c r="Q328" s="1" cm="1">
        <f t="array" ref="Q328">_xlfn.SWITCH($A$2,"average", AVERAGE(Instances!Q328:Instances!Q328),"median", MEDIAN(Instances!Q328:Instances!Q328),"min", MIN(Instances!Q328:Instances!Q328),"max", MAX(Instances!Q328:Instances!Q328),"diff", MAX(Instances!Q328:Instances!Q328)-MIN(Instances!Q328:Instances!Q328))</f>
        <v>0</v>
      </c>
      <c r="R328" s="1">
        <f>MIN($B328,$D328,$F328,$H328,$J328,$L328,$N328,$P328)</f>
        <v>0</v>
      </c>
      <c r="S328" s="1">
        <f>MIN($C328,$E328,$G328,$I328,$K328,$M328,$O328,$Q328)</f>
        <v>0</v>
      </c>
      <c r="T328" s="1">
        <f>MEDIAN($B328,$D328,$F328,$H328,$J328,$L328,$N328,$P328)</f>
        <v>0</v>
      </c>
      <c r="U328" s="1">
        <f>MEDIAN($C328,$E328,$G328,$I328,$K328,$M328,$O328,$Q328)</f>
        <v>0</v>
      </c>
      <c r="V328" s="1">
        <f>MAX($B328,$D328,$F328,$H328,$J328,$L328,$N328,$P328)</f>
        <v>0</v>
      </c>
      <c r="W328" s="1">
        <f>MAX($C328,$E328,$G328,$I328,$K328,$M328,$O328,$Q328)</f>
        <v>0</v>
      </c>
    </row>
    <row r="329" spans="1:23">
      <c r="A329" s="1" t="s">
        <v>58</v>
      </c>
      <c r="B329" s="1"/>
      <c r="C329" s="1"/>
      <c r="D329" s="1" cm="1">
        <f t="array" ref="D329">_xlfn.SWITCH($A$2,"average", AVERAGE(Instances!D329:Instances!D329),"median", MEDIAN(Instances!D329:Instances!D329),"min", MIN(Instances!D329:Instances!D329),"max", MAX(Instances!D329:Instances!D329),"diff", MAX(Instances!D329:Instances!D329)-MIN(Instances!D329:Instances!D329))</f>
        <v>0</v>
      </c>
      <c r="E329" s="1" cm="1">
        <f t="array" ref="E329">_xlfn.SWITCH($A$2,"average", AVERAGE(Instances!E329:Instances!E329),"median", MEDIAN(Instances!E329:Instances!E329),"min", MIN(Instances!E329:Instances!E329),"max", MAX(Instances!E329:Instances!E329),"diff", MAX(Instances!E329:Instances!E329)-MIN(Instances!E329:Instances!E329))</f>
        <v>0</v>
      </c>
      <c r="F329" s="1" cm="1">
        <f t="array" ref="F329">_xlfn.SWITCH($A$2,"average", AVERAGE(Instances!F329:Instances!F329),"median", MEDIAN(Instances!F329:Instances!F329),"min", MIN(Instances!F329:Instances!F329),"max", MAX(Instances!F329:Instances!F329),"diff", MAX(Instances!F329:Instances!F329)-MIN(Instances!F329:Instances!F329))</f>
        <v>0</v>
      </c>
      <c r="G329" s="1" cm="1">
        <f t="array" ref="G329">_xlfn.SWITCH($A$2,"average", AVERAGE(Instances!G329:Instances!G329),"median", MEDIAN(Instances!G329:Instances!G329),"min", MIN(Instances!G329:Instances!G329),"max", MAX(Instances!G329:Instances!G329),"diff", MAX(Instances!G329:Instances!G329)-MIN(Instances!G329:Instances!G329))</f>
        <v>0</v>
      </c>
      <c r="H329" s="1"/>
      <c r="I329" s="1"/>
      <c r="J329" s="1" cm="1">
        <f t="array" ref="J329">_xlfn.SWITCH($A$2,"average", AVERAGE(Instances!J329:Instances!J329),"median", MEDIAN(Instances!J329:Instances!J329),"min", MIN(Instances!J329:Instances!J329),"max", MAX(Instances!J329:Instances!J329),"diff", MAX(Instances!J329:Instances!J329)-MIN(Instances!J329:Instances!J329))</f>
        <v>0</v>
      </c>
      <c r="K329" s="1" cm="1">
        <f t="array" ref="K329">_xlfn.SWITCH($A$2,"average", AVERAGE(Instances!K329:Instances!K329),"median", MEDIAN(Instances!K329:Instances!K329),"min", MIN(Instances!K329:Instances!K329),"max", MAX(Instances!K329:Instances!K329),"diff", MAX(Instances!K329:Instances!K329)-MIN(Instances!K329:Instances!K329))</f>
        <v>0</v>
      </c>
      <c r="L329" s="1" cm="1">
        <f t="array" ref="L329">_xlfn.SWITCH($A$2,"average", AVERAGE(Instances!L329:Instances!L329),"median", MEDIAN(Instances!L329:Instances!L329),"min", MIN(Instances!L329:Instances!L329),"max", MAX(Instances!L329:Instances!L329),"diff", MAX(Instances!L329:Instances!L329)-MIN(Instances!L329:Instances!L329))</f>
        <v>0</v>
      </c>
      <c r="M329" s="1" cm="1">
        <f t="array" ref="M329">_xlfn.SWITCH($A$2,"average", AVERAGE(Instances!M329:Instances!M329),"median", MEDIAN(Instances!M329:Instances!M329),"min", MIN(Instances!M329:Instances!M329),"max", MAX(Instances!M329:Instances!M329),"diff", MAX(Instances!M329:Instances!M329)-MIN(Instances!M329:Instances!M329))</f>
        <v>0</v>
      </c>
      <c r="N329" s="1" cm="1">
        <f t="array" ref="N329">_xlfn.SWITCH($A$2,"average", AVERAGE(Instances!N329:Instances!N329),"median", MEDIAN(Instances!N329:Instances!N329),"min", MIN(Instances!N329:Instances!N329),"max", MAX(Instances!N329:Instances!N329),"diff", MAX(Instances!N329:Instances!N329)-MIN(Instances!N329:Instances!N329))</f>
        <v>0</v>
      </c>
      <c r="O329" s="1" cm="1">
        <f t="array" ref="O329">_xlfn.SWITCH($A$2,"average", AVERAGE(Instances!O329:Instances!O329),"median", MEDIAN(Instances!O329:Instances!O329),"min", MIN(Instances!O329:Instances!O329),"max", MAX(Instances!O329:Instances!O329),"diff", MAX(Instances!O329:Instances!O329)-MIN(Instances!O329:Instances!O329))</f>
        <v>0</v>
      </c>
      <c r="P329" s="1" cm="1">
        <f t="array" ref="P329">_xlfn.SWITCH($A$2,"average", AVERAGE(Instances!P329:Instances!P329),"median", MEDIAN(Instances!P329:Instances!P329),"min", MIN(Instances!P329:Instances!P329),"max", MAX(Instances!P329:Instances!P329),"diff", MAX(Instances!P329:Instances!P329)-MIN(Instances!P329:Instances!P329))</f>
        <v>0</v>
      </c>
      <c r="Q329" s="1" cm="1">
        <f t="array" ref="Q329">_xlfn.SWITCH($A$2,"average", AVERAGE(Instances!Q329:Instances!Q329),"median", MEDIAN(Instances!Q329:Instances!Q329),"min", MIN(Instances!Q329:Instances!Q329),"max", MAX(Instances!Q329:Instances!Q329),"diff", MAX(Instances!Q329:Instances!Q329)-MIN(Instances!Q329:Instances!Q329))</f>
        <v>0</v>
      </c>
      <c r="R329" s="1">
        <f>MIN($B329,$D329,$F329,$H329,$J329,$L329,$N329,$P329)</f>
        <v>0</v>
      </c>
      <c r="S329" s="1">
        <f>MIN($C329,$E329,$G329,$I329,$K329,$M329,$O329,$Q329)</f>
        <v>0</v>
      </c>
      <c r="T329" s="1">
        <f>MEDIAN($B329,$D329,$F329,$H329,$J329,$L329,$N329,$P329)</f>
        <v>0</v>
      </c>
      <c r="U329" s="1">
        <f>MEDIAN($C329,$E329,$G329,$I329,$K329,$M329,$O329,$Q329)</f>
        <v>0</v>
      </c>
      <c r="V329" s="1">
        <f>MAX($B329,$D329,$F329,$H329,$J329,$L329,$N329,$P329)</f>
        <v>0</v>
      </c>
      <c r="W329" s="1">
        <f>MAX($C329,$E329,$G329,$I329,$K329,$M329,$O329,$Q329)</f>
        <v>0</v>
      </c>
    </row>
    <row r="330" spans="1:23">
      <c r="A330" s="1" t="s">
        <v>59</v>
      </c>
      <c r="B330" s="1"/>
      <c r="C330" s="1"/>
      <c r="D330" s="1" cm="1">
        <f t="array" ref="D330">_xlfn.SWITCH($A$2,"average", AVERAGE(Instances!D330:Instances!D330),"median", MEDIAN(Instances!D330:Instances!D330),"min", MIN(Instances!D330:Instances!D330),"max", MAX(Instances!D330:Instances!D330),"diff", MAX(Instances!D330:Instances!D330)-MIN(Instances!D330:Instances!D330))</f>
        <v>0</v>
      </c>
      <c r="E330" s="1" cm="1">
        <f t="array" ref="E330">_xlfn.SWITCH($A$2,"average", AVERAGE(Instances!E330:Instances!E330),"median", MEDIAN(Instances!E330:Instances!E330),"min", MIN(Instances!E330:Instances!E330),"max", MAX(Instances!E330:Instances!E330),"diff", MAX(Instances!E330:Instances!E330)-MIN(Instances!E330:Instances!E330))</f>
        <v>0</v>
      </c>
      <c r="F330" s="1" cm="1">
        <f t="array" ref="F330">_xlfn.SWITCH($A$2,"average", AVERAGE(Instances!F330:Instances!F330),"median", MEDIAN(Instances!F330:Instances!F330),"min", MIN(Instances!F330:Instances!F330),"max", MAX(Instances!F330:Instances!F330),"diff", MAX(Instances!F330:Instances!F330)-MIN(Instances!F330:Instances!F330))</f>
        <v>0</v>
      </c>
      <c r="G330" s="1" cm="1">
        <f t="array" ref="G330">_xlfn.SWITCH($A$2,"average", AVERAGE(Instances!G330:Instances!G330),"median", MEDIAN(Instances!G330:Instances!G330),"min", MIN(Instances!G330:Instances!G330),"max", MAX(Instances!G330:Instances!G330),"diff", MAX(Instances!G330:Instances!G330)-MIN(Instances!G330:Instances!G330))</f>
        <v>0</v>
      </c>
      <c r="H330" s="1"/>
      <c r="I330" s="1"/>
      <c r="J330" s="1" cm="1">
        <f t="array" ref="J330">_xlfn.SWITCH($A$2,"average", AVERAGE(Instances!J330:Instances!J330),"median", MEDIAN(Instances!J330:Instances!J330),"min", MIN(Instances!J330:Instances!J330),"max", MAX(Instances!J330:Instances!J330),"diff", MAX(Instances!J330:Instances!J330)-MIN(Instances!J330:Instances!J330))</f>
        <v>0</v>
      </c>
      <c r="K330" s="1" cm="1">
        <f t="array" ref="K330">_xlfn.SWITCH($A$2,"average", AVERAGE(Instances!K330:Instances!K330),"median", MEDIAN(Instances!K330:Instances!K330),"min", MIN(Instances!K330:Instances!K330),"max", MAX(Instances!K330:Instances!K330),"diff", MAX(Instances!K330:Instances!K330)-MIN(Instances!K330:Instances!K330))</f>
        <v>0</v>
      </c>
      <c r="L330" s="1" cm="1">
        <f t="array" ref="L330">_xlfn.SWITCH($A$2,"average", AVERAGE(Instances!L330:Instances!L330),"median", MEDIAN(Instances!L330:Instances!L330),"min", MIN(Instances!L330:Instances!L330),"max", MAX(Instances!L330:Instances!L330),"diff", MAX(Instances!L330:Instances!L330)-MIN(Instances!L330:Instances!L330))</f>
        <v>0</v>
      </c>
      <c r="M330" s="1" cm="1">
        <f t="array" ref="M330">_xlfn.SWITCH($A$2,"average", AVERAGE(Instances!M330:Instances!M330),"median", MEDIAN(Instances!M330:Instances!M330),"min", MIN(Instances!M330:Instances!M330),"max", MAX(Instances!M330:Instances!M330),"diff", MAX(Instances!M330:Instances!M330)-MIN(Instances!M330:Instances!M330))</f>
        <v>0</v>
      </c>
      <c r="N330" s="1" cm="1">
        <f t="array" ref="N330">_xlfn.SWITCH($A$2,"average", AVERAGE(Instances!N330:Instances!N330),"median", MEDIAN(Instances!N330:Instances!N330),"min", MIN(Instances!N330:Instances!N330),"max", MAX(Instances!N330:Instances!N330),"diff", MAX(Instances!N330:Instances!N330)-MIN(Instances!N330:Instances!N330))</f>
        <v>0</v>
      </c>
      <c r="O330" s="1" cm="1">
        <f t="array" ref="O330">_xlfn.SWITCH($A$2,"average", AVERAGE(Instances!O330:Instances!O330),"median", MEDIAN(Instances!O330:Instances!O330),"min", MIN(Instances!O330:Instances!O330),"max", MAX(Instances!O330:Instances!O330),"diff", MAX(Instances!O330:Instances!O330)-MIN(Instances!O330:Instances!O330))</f>
        <v>0</v>
      </c>
      <c r="P330" s="1" cm="1">
        <f t="array" ref="P330">_xlfn.SWITCH($A$2,"average", AVERAGE(Instances!P330:Instances!P330),"median", MEDIAN(Instances!P330:Instances!P330),"min", MIN(Instances!P330:Instances!P330),"max", MAX(Instances!P330:Instances!P330),"diff", MAX(Instances!P330:Instances!P330)-MIN(Instances!P330:Instances!P330))</f>
        <v>0</v>
      </c>
      <c r="Q330" s="1" cm="1">
        <f t="array" ref="Q330">_xlfn.SWITCH($A$2,"average", AVERAGE(Instances!Q330:Instances!Q330),"median", MEDIAN(Instances!Q330:Instances!Q330),"min", MIN(Instances!Q330:Instances!Q330),"max", MAX(Instances!Q330:Instances!Q330),"diff", MAX(Instances!Q330:Instances!Q330)-MIN(Instances!Q330:Instances!Q330))</f>
        <v>0</v>
      </c>
      <c r="R330" s="1">
        <f>MIN($B330,$D330,$F330,$H330,$J330,$L330,$N330,$P330)</f>
        <v>0</v>
      </c>
      <c r="S330" s="1">
        <f>MIN($C330,$E330,$G330,$I330,$K330,$M330,$O330,$Q330)</f>
        <v>0</v>
      </c>
      <c r="T330" s="1">
        <f>MEDIAN($B330,$D330,$F330,$H330,$J330,$L330,$N330,$P330)</f>
        <v>0</v>
      </c>
      <c r="U330" s="1">
        <f>MEDIAN($C330,$E330,$G330,$I330,$K330,$M330,$O330,$Q330)</f>
        <v>0</v>
      </c>
      <c r="V330" s="1">
        <f>MAX($B330,$D330,$F330,$H330,$J330,$L330,$N330,$P330)</f>
        <v>0</v>
      </c>
      <c r="W330" s="1">
        <f>MAX($C330,$E330,$G330,$I330,$K330,$M330,$O330,$Q330)</f>
        <v>0</v>
      </c>
    </row>
    <row r="331" spans="1:23">
      <c r="A331" s="1" t="s">
        <v>60</v>
      </c>
      <c r="B331" s="1"/>
      <c r="C331" s="1"/>
      <c r="D331" s="1" cm="1">
        <f t="array" ref="D331">_xlfn.SWITCH($A$2,"average", AVERAGE(Instances!D331:Instances!D331),"median", MEDIAN(Instances!D331:Instances!D331),"min", MIN(Instances!D331:Instances!D331),"max", MAX(Instances!D331:Instances!D331),"diff", MAX(Instances!D331:Instances!D331)-MIN(Instances!D331:Instances!D331))</f>
        <v>0</v>
      </c>
      <c r="E331" s="1" cm="1">
        <f t="array" ref="E331">_xlfn.SWITCH($A$2,"average", AVERAGE(Instances!E331:Instances!E331),"median", MEDIAN(Instances!E331:Instances!E331),"min", MIN(Instances!E331:Instances!E331),"max", MAX(Instances!E331:Instances!E331),"diff", MAX(Instances!E331:Instances!E331)-MIN(Instances!E331:Instances!E331))</f>
        <v>0</v>
      </c>
      <c r="F331" s="1" cm="1">
        <f t="array" ref="F331">_xlfn.SWITCH($A$2,"average", AVERAGE(Instances!F331:Instances!F331),"median", MEDIAN(Instances!F331:Instances!F331),"min", MIN(Instances!F331:Instances!F331),"max", MAX(Instances!F331:Instances!F331),"diff", MAX(Instances!F331:Instances!F331)-MIN(Instances!F331:Instances!F331))</f>
        <v>0</v>
      </c>
      <c r="G331" s="1" cm="1">
        <f t="array" ref="G331">_xlfn.SWITCH($A$2,"average", AVERAGE(Instances!G331:Instances!G331),"median", MEDIAN(Instances!G331:Instances!G331),"min", MIN(Instances!G331:Instances!G331),"max", MAX(Instances!G331:Instances!G331),"diff", MAX(Instances!G331:Instances!G331)-MIN(Instances!G331:Instances!G331))</f>
        <v>0</v>
      </c>
      <c r="H331" s="1"/>
      <c r="I331" s="1"/>
      <c r="J331" s="1" cm="1">
        <f t="array" ref="J331">_xlfn.SWITCH($A$2,"average", AVERAGE(Instances!J331:Instances!J331),"median", MEDIAN(Instances!J331:Instances!J331),"min", MIN(Instances!J331:Instances!J331),"max", MAX(Instances!J331:Instances!J331),"diff", MAX(Instances!J331:Instances!J331)-MIN(Instances!J331:Instances!J331))</f>
        <v>0</v>
      </c>
      <c r="K331" s="1" cm="1">
        <f t="array" ref="K331">_xlfn.SWITCH($A$2,"average", AVERAGE(Instances!K331:Instances!K331),"median", MEDIAN(Instances!K331:Instances!K331),"min", MIN(Instances!K331:Instances!K331),"max", MAX(Instances!K331:Instances!K331),"diff", MAX(Instances!K331:Instances!K331)-MIN(Instances!K331:Instances!K331))</f>
        <v>0</v>
      </c>
      <c r="L331" s="1" cm="1">
        <f t="array" ref="L331">_xlfn.SWITCH($A$2,"average", AVERAGE(Instances!L331:Instances!L331),"median", MEDIAN(Instances!L331:Instances!L331),"min", MIN(Instances!L331:Instances!L331),"max", MAX(Instances!L331:Instances!L331),"diff", MAX(Instances!L331:Instances!L331)-MIN(Instances!L331:Instances!L331))</f>
        <v>0</v>
      </c>
      <c r="M331" s="1" cm="1">
        <f t="array" ref="M331">_xlfn.SWITCH($A$2,"average", AVERAGE(Instances!M331:Instances!M331),"median", MEDIAN(Instances!M331:Instances!M331),"min", MIN(Instances!M331:Instances!M331),"max", MAX(Instances!M331:Instances!M331),"diff", MAX(Instances!M331:Instances!M331)-MIN(Instances!M331:Instances!M331))</f>
        <v>0</v>
      </c>
      <c r="N331" s="1" cm="1">
        <f t="array" ref="N331">_xlfn.SWITCH($A$2,"average", AVERAGE(Instances!N331:Instances!N331),"median", MEDIAN(Instances!N331:Instances!N331),"min", MIN(Instances!N331:Instances!N331),"max", MAX(Instances!N331:Instances!N331),"diff", MAX(Instances!N331:Instances!N331)-MIN(Instances!N331:Instances!N331))</f>
        <v>0</v>
      </c>
      <c r="O331" s="1" cm="1">
        <f t="array" ref="O331">_xlfn.SWITCH($A$2,"average", AVERAGE(Instances!O331:Instances!O331),"median", MEDIAN(Instances!O331:Instances!O331),"min", MIN(Instances!O331:Instances!O331),"max", MAX(Instances!O331:Instances!O331),"diff", MAX(Instances!O331:Instances!O331)-MIN(Instances!O331:Instances!O331))</f>
        <v>0</v>
      </c>
      <c r="P331" s="1" cm="1">
        <f t="array" ref="P331">_xlfn.SWITCH($A$2,"average", AVERAGE(Instances!P331:Instances!P331),"median", MEDIAN(Instances!P331:Instances!P331),"min", MIN(Instances!P331:Instances!P331),"max", MAX(Instances!P331:Instances!P331),"diff", MAX(Instances!P331:Instances!P331)-MIN(Instances!P331:Instances!P331))</f>
        <v>0</v>
      </c>
      <c r="Q331" s="1" cm="1">
        <f t="array" ref="Q331">_xlfn.SWITCH($A$2,"average", AVERAGE(Instances!Q331:Instances!Q331),"median", MEDIAN(Instances!Q331:Instances!Q331),"min", MIN(Instances!Q331:Instances!Q331),"max", MAX(Instances!Q331:Instances!Q331),"diff", MAX(Instances!Q331:Instances!Q331)-MIN(Instances!Q331:Instances!Q331))</f>
        <v>0</v>
      </c>
      <c r="R331" s="1">
        <f>MIN($B331,$D331,$F331,$H331,$J331,$L331,$N331,$P331)</f>
        <v>0</v>
      </c>
      <c r="S331" s="1">
        <f>MIN($C331,$E331,$G331,$I331,$K331,$M331,$O331,$Q331)</f>
        <v>0</v>
      </c>
      <c r="T331" s="1">
        <f>MEDIAN($B331,$D331,$F331,$H331,$J331,$L331,$N331,$P331)</f>
        <v>0</v>
      </c>
      <c r="U331" s="1">
        <f>MEDIAN($C331,$E331,$G331,$I331,$K331,$M331,$O331,$Q331)</f>
        <v>0</v>
      </c>
      <c r="V331" s="1">
        <f>MAX($B331,$D331,$F331,$H331,$J331,$L331,$N331,$P331)</f>
        <v>0</v>
      </c>
      <c r="W331" s="1">
        <f>MAX($C331,$E331,$G331,$I331,$K331,$M331,$O331,$Q331)</f>
        <v>0</v>
      </c>
    </row>
    <row r="332" spans="1:23">
      <c r="A332" s="1" t="s">
        <v>61</v>
      </c>
      <c r="B332" s="1"/>
      <c r="C332" s="1"/>
      <c r="D332" s="1" cm="1">
        <f t="array" ref="D332">_xlfn.SWITCH($A$2,"average", AVERAGE(Instances!D332:Instances!D332),"median", MEDIAN(Instances!D332:Instances!D332),"min", MIN(Instances!D332:Instances!D332),"max", MAX(Instances!D332:Instances!D332),"diff", MAX(Instances!D332:Instances!D332)-MIN(Instances!D332:Instances!D332))</f>
        <v>0</v>
      </c>
      <c r="E332" s="1" cm="1">
        <f t="array" ref="E332">_xlfn.SWITCH($A$2,"average", AVERAGE(Instances!E332:Instances!E332),"median", MEDIAN(Instances!E332:Instances!E332),"min", MIN(Instances!E332:Instances!E332),"max", MAX(Instances!E332:Instances!E332),"diff", MAX(Instances!E332:Instances!E332)-MIN(Instances!E332:Instances!E332))</f>
        <v>0</v>
      </c>
      <c r="F332" s="1" cm="1">
        <f t="array" ref="F332">_xlfn.SWITCH($A$2,"average", AVERAGE(Instances!F332:Instances!F332),"median", MEDIAN(Instances!F332:Instances!F332),"min", MIN(Instances!F332:Instances!F332),"max", MAX(Instances!F332:Instances!F332),"diff", MAX(Instances!F332:Instances!F332)-MIN(Instances!F332:Instances!F332))</f>
        <v>0</v>
      </c>
      <c r="G332" s="1" cm="1">
        <f t="array" ref="G332">_xlfn.SWITCH($A$2,"average", AVERAGE(Instances!G332:Instances!G332),"median", MEDIAN(Instances!G332:Instances!G332),"min", MIN(Instances!G332:Instances!G332),"max", MAX(Instances!G332:Instances!G332),"diff", MAX(Instances!G332:Instances!G332)-MIN(Instances!G332:Instances!G332))</f>
        <v>0</v>
      </c>
      <c r="H332" s="1"/>
      <c r="I332" s="1"/>
      <c r="J332" s="1" cm="1">
        <f t="array" ref="J332">_xlfn.SWITCH($A$2,"average", AVERAGE(Instances!J332:Instances!J332),"median", MEDIAN(Instances!J332:Instances!J332),"min", MIN(Instances!J332:Instances!J332),"max", MAX(Instances!J332:Instances!J332),"diff", MAX(Instances!J332:Instances!J332)-MIN(Instances!J332:Instances!J332))</f>
        <v>0</v>
      </c>
      <c r="K332" s="1" cm="1">
        <f t="array" ref="K332">_xlfn.SWITCH($A$2,"average", AVERAGE(Instances!K332:Instances!K332),"median", MEDIAN(Instances!K332:Instances!K332),"min", MIN(Instances!K332:Instances!K332),"max", MAX(Instances!K332:Instances!K332),"diff", MAX(Instances!K332:Instances!K332)-MIN(Instances!K332:Instances!K332))</f>
        <v>0</v>
      </c>
      <c r="L332" s="1" cm="1">
        <f t="array" ref="L332">_xlfn.SWITCH($A$2,"average", AVERAGE(Instances!L332:Instances!L332),"median", MEDIAN(Instances!L332:Instances!L332),"min", MIN(Instances!L332:Instances!L332),"max", MAX(Instances!L332:Instances!L332),"diff", MAX(Instances!L332:Instances!L332)-MIN(Instances!L332:Instances!L332))</f>
        <v>0</v>
      </c>
      <c r="M332" s="1" cm="1">
        <f t="array" ref="M332">_xlfn.SWITCH($A$2,"average", AVERAGE(Instances!M332:Instances!M332),"median", MEDIAN(Instances!M332:Instances!M332),"min", MIN(Instances!M332:Instances!M332),"max", MAX(Instances!M332:Instances!M332),"diff", MAX(Instances!M332:Instances!M332)-MIN(Instances!M332:Instances!M332))</f>
        <v>0</v>
      </c>
      <c r="N332" s="1" cm="1">
        <f t="array" ref="N332">_xlfn.SWITCH($A$2,"average", AVERAGE(Instances!N332:Instances!N332),"median", MEDIAN(Instances!N332:Instances!N332),"min", MIN(Instances!N332:Instances!N332),"max", MAX(Instances!N332:Instances!N332),"diff", MAX(Instances!N332:Instances!N332)-MIN(Instances!N332:Instances!N332))</f>
        <v>0</v>
      </c>
      <c r="O332" s="1" cm="1">
        <f t="array" ref="O332">_xlfn.SWITCH($A$2,"average", AVERAGE(Instances!O332:Instances!O332),"median", MEDIAN(Instances!O332:Instances!O332),"min", MIN(Instances!O332:Instances!O332),"max", MAX(Instances!O332:Instances!O332),"diff", MAX(Instances!O332:Instances!O332)-MIN(Instances!O332:Instances!O332))</f>
        <v>0</v>
      </c>
      <c r="P332" s="1" cm="1">
        <f t="array" ref="P332">_xlfn.SWITCH($A$2,"average", AVERAGE(Instances!P332:Instances!P332),"median", MEDIAN(Instances!P332:Instances!P332),"min", MIN(Instances!P332:Instances!P332),"max", MAX(Instances!P332:Instances!P332),"diff", MAX(Instances!P332:Instances!P332)-MIN(Instances!P332:Instances!P332))</f>
        <v>0</v>
      </c>
      <c r="Q332" s="1" cm="1">
        <f t="array" ref="Q332">_xlfn.SWITCH($A$2,"average", AVERAGE(Instances!Q332:Instances!Q332),"median", MEDIAN(Instances!Q332:Instances!Q332),"min", MIN(Instances!Q332:Instances!Q332),"max", MAX(Instances!Q332:Instances!Q332),"diff", MAX(Instances!Q332:Instances!Q332)-MIN(Instances!Q332:Instances!Q332))</f>
        <v>0</v>
      </c>
      <c r="R332" s="1">
        <f>MIN($B332,$D332,$F332,$H332,$J332,$L332,$N332,$P332)</f>
        <v>0</v>
      </c>
      <c r="S332" s="1">
        <f>MIN($C332,$E332,$G332,$I332,$K332,$M332,$O332,$Q332)</f>
        <v>0</v>
      </c>
      <c r="T332" s="1">
        <f>MEDIAN($B332,$D332,$F332,$H332,$J332,$L332,$N332,$P332)</f>
        <v>0</v>
      </c>
      <c r="U332" s="1">
        <f>MEDIAN($C332,$E332,$G332,$I332,$K332,$M332,$O332,$Q332)</f>
        <v>0</v>
      </c>
      <c r="V332" s="1">
        <f>MAX($B332,$D332,$F332,$H332,$J332,$L332,$N332,$P332)</f>
        <v>0</v>
      </c>
      <c r="W332" s="1">
        <f>MAX($C332,$E332,$G332,$I332,$K332,$M332,$O332,$Q332)</f>
        <v>0</v>
      </c>
    </row>
    <row r="333" spans="1:23">
      <c r="A333" s="1" t="s">
        <v>62</v>
      </c>
      <c r="B333" s="1"/>
      <c r="C333" s="1"/>
      <c r="D333" s="1" cm="1">
        <f t="array" ref="D333">_xlfn.SWITCH($A$2,"average", AVERAGE(Instances!D333:Instances!D333),"median", MEDIAN(Instances!D333:Instances!D333),"min", MIN(Instances!D333:Instances!D333),"max", MAX(Instances!D333:Instances!D333),"diff", MAX(Instances!D333:Instances!D333)-MIN(Instances!D333:Instances!D333))</f>
        <v>0</v>
      </c>
      <c r="E333" s="1" cm="1">
        <f t="array" ref="E333">_xlfn.SWITCH($A$2,"average", AVERAGE(Instances!E333:Instances!E333),"median", MEDIAN(Instances!E333:Instances!E333),"min", MIN(Instances!E333:Instances!E333),"max", MAX(Instances!E333:Instances!E333),"diff", MAX(Instances!E333:Instances!E333)-MIN(Instances!E333:Instances!E333))</f>
        <v>0</v>
      </c>
      <c r="F333" s="1" cm="1">
        <f t="array" ref="F333">_xlfn.SWITCH($A$2,"average", AVERAGE(Instances!F333:Instances!F333),"median", MEDIAN(Instances!F333:Instances!F333),"min", MIN(Instances!F333:Instances!F333),"max", MAX(Instances!F333:Instances!F333),"diff", MAX(Instances!F333:Instances!F333)-MIN(Instances!F333:Instances!F333))</f>
        <v>0</v>
      </c>
      <c r="G333" s="1" cm="1">
        <f t="array" ref="G333">_xlfn.SWITCH($A$2,"average", AVERAGE(Instances!G333:Instances!G333),"median", MEDIAN(Instances!G333:Instances!G333),"min", MIN(Instances!G333:Instances!G333),"max", MAX(Instances!G333:Instances!G333),"diff", MAX(Instances!G333:Instances!G333)-MIN(Instances!G333:Instances!G333))</f>
        <v>0</v>
      </c>
      <c r="H333" s="1"/>
      <c r="I333" s="1"/>
      <c r="J333" s="1" cm="1">
        <f t="array" ref="J333">_xlfn.SWITCH($A$2,"average", AVERAGE(Instances!J333:Instances!J333),"median", MEDIAN(Instances!J333:Instances!J333),"min", MIN(Instances!J333:Instances!J333),"max", MAX(Instances!J333:Instances!J333),"diff", MAX(Instances!J333:Instances!J333)-MIN(Instances!J333:Instances!J333))</f>
        <v>0</v>
      </c>
      <c r="K333" s="1" cm="1">
        <f t="array" ref="K333">_xlfn.SWITCH($A$2,"average", AVERAGE(Instances!K333:Instances!K333),"median", MEDIAN(Instances!K333:Instances!K333),"min", MIN(Instances!K333:Instances!K333),"max", MAX(Instances!K333:Instances!K333),"diff", MAX(Instances!K333:Instances!K333)-MIN(Instances!K333:Instances!K333))</f>
        <v>0</v>
      </c>
      <c r="L333" s="1" cm="1">
        <f t="array" ref="L333">_xlfn.SWITCH($A$2,"average", AVERAGE(Instances!L333:Instances!L333),"median", MEDIAN(Instances!L333:Instances!L333),"min", MIN(Instances!L333:Instances!L333),"max", MAX(Instances!L333:Instances!L333),"diff", MAX(Instances!L333:Instances!L333)-MIN(Instances!L333:Instances!L333))</f>
        <v>0</v>
      </c>
      <c r="M333" s="1" cm="1">
        <f t="array" ref="M333">_xlfn.SWITCH($A$2,"average", AVERAGE(Instances!M333:Instances!M333),"median", MEDIAN(Instances!M333:Instances!M333),"min", MIN(Instances!M333:Instances!M333),"max", MAX(Instances!M333:Instances!M333),"diff", MAX(Instances!M333:Instances!M333)-MIN(Instances!M333:Instances!M333))</f>
        <v>0</v>
      </c>
      <c r="N333" s="1" cm="1">
        <f t="array" ref="N333">_xlfn.SWITCH($A$2,"average", AVERAGE(Instances!N333:Instances!N333),"median", MEDIAN(Instances!N333:Instances!N333),"min", MIN(Instances!N333:Instances!N333),"max", MAX(Instances!N333:Instances!N333),"diff", MAX(Instances!N333:Instances!N333)-MIN(Instances!N333:Instances!N333))</f>
        <v>0</v>
      </c>
      <c r="O333" s="1" cm="1">
        <f t="array" ref="O333">_xlfn.SWITCH($A$2,"average", AVERAGE(Instances!O333:Instances!O333),"median", MEDIAN(Instances!O333:Instances!O333),"min", MIN(Instances!O333:Instances!O333),"max", MAX(Instances!O333:Instances!O333),"diff", MAX(Instances!O333:Instances!O333)-MIN(Instances!O333:Instances!O333))</f>
        <v>0</v>
      </c>
      <c r="P333" s="1" cm="1">
        <f t="array" ref="P333">_xlfn.SWITCH($A$2,"average", AVERAGE(Instances!P333:Instances!P333),"median", MEDIAN(Instances!P333:Instances!P333),"min", MIN(Instances!P333:Instances!P333),"max", MAX(Instances!P333:Instances!P333),"diff", MAX(Instances!P333:Instances!P333)-MIN(Instances!P333:Instances!P333))</f>
        <v>0</v>
      </c>
      <c r="Q333" s="1" cm="1">
        <f t="array" ref="Q333">_xlfn.SWITCH($A$2,"average", AVERAGE(Instances!Q333:Instances!Q333),"median", MEDIAN(Instances!Q333:Instances!Q333),"min", MIN(Instances!Q333:Instances!Q333),"max", MAX(Instances!Q333:Instances!Q333),"diff", MAX(Instances!Q333:Instances!Q333)-MIN(Instances!Q333:Instances!Q333))</f>
        <v>0</v>
      </c>
      <c r="R333" s="1">
        <f>MIN($B333,$D333,$F333,$H333,$J333,$L333,$N333,$P333)</f>
        <v>0</v>
      </c>
      <c r="S333" s="1">
        <f>MIN($C333,$E333,$G333,$I333,$K333,$M333,$O333,$Q333)</f>
        <v>0</v>
      </c>
      <c r="T333" s="1">
        <f>MEDIAN($B333,$D333,$F333,$H333,$J333,$L333,$N333,$P333)</f>
        <v>0</v>
      </c>
      <c r="U333" s="1">
        <f>MEDIAN($C333,$E333,$G333,$I333,$K333,$M333,$O333,$Q333)</f>
        <v>0</v>
      </c>
      <c r="V333" s="1">
        <f>MAX($B333,$D333,$F333,$H333,$J333,$L333,$N333,$P333)</f>
        <v>0</v>
      </c>
      <c r="W333" s="1">
        <f>MAX($C333,$E333,$G333,$I333,$K333,$M333,$O333,$Q333)</f>
        <v>0</v>
      </c>
    </row>
    <row r="334" spans="1:23">
      <c r="A334" s="1" t="s">
        <v>63</v>
      </c>
      <c r="B334" s="1"/>
      <c r="C334" s="1"/>
      <c r="D334" s="1" cm="1">
        <f t="array" ref="D334">_xlfn.SWITCH($A$2,"average", AVERAGE(Instances!D334:Instances!D334),"median", MEDIAN(Instances!D334:Instances!D334),"min", MIN(Instances!D334:Instances!D334),"max", MAX(Instances!D334:Instances!D334),"diff", MAX(Instances!D334:Instances!D334)-MIN(Instances!D334:Instances!D334))</f>
        <v>0</v>
      </c>
      <c r="E334" s="1" cm="1">
        <f t="array" ref="E334">_xlfn.SWITCH($A$2,"average", AVERAGE(Instances!E334:Instances!E334),"median", MEDIAN(Instances!E334:Instances!E334),"min", MIN(Instances!E334:Instances!E334),"max", MAX(Instances!E334:Instances!E334),"diff", MAX(Instances!E334:Instances!E334)-MIN(Instances!E334:Instances!E334))</f>
        <v>0</v>
      </c>
      <c r="F334" s="1" cm="1">
        <f t="array" ref="F334">_xlfn.SWITCH($A$2,"average", AVERAGE(Instances!F334:Instances!F334),"median", MEDIAN(Instances!F334:Instances!F334),"min", MIN(Instances!F334:Instances!F334),"max", MAX(Instances!F334:Instances!F334),"diff", MAX(Instances!F334:Instances!F334)-MIN(Instances!F334:Instances!F334))</f>
        <v>0</v>
      </c>
      <c r="G334" s="1" cm="1">
        <f t="array" ref="G334">_xlfn.SWITCH($A$2,"average", AVERAGE(Instances!G334:Instances!G334),"median", MEDIAN(Instances!G334:Instances!G334),"min", MIN(Instances!G334:Instances!G334),"max", MAX(Instances!G334:Instances!G334),"diff", MAX(Instances!G334:Instances!G334)-MIN(Instances!G334:Instances!G334))</f>
        <v>0</v>
      </c>
      <c r="H334" s="1"/>
      <c r="I334" s="1"/>
      <c r="J334" s="1" cm="1">
        <f t="array" ref="J334">_xlfn.SWITCH($A$2,"average", AVERAGE(Instances!J334:Instances!J334),"median", MEDIAN(Instances!J334:Instances!J334),"min", MIN(Instances!J334:Instances!J334),"max", MAX(Instances!J334:Instances!J334),"diff", MAX(Instances!J334:Instances!J334)-MIN(Instances!J334:Instances!J334))</f>
        <v>0</v>
      </c>
      <c r="K334" s="1" cm="1">
        <f t="array" ref="K334">_xlfn.SWITCH($A$2,"average", AVERAGE(Instances!K334:Instances!K334),"median", MEDIAN(Instances!K334:Instances!K334),"min", MIN(Instances!K334:Instances!K334),"max", MAX(Instances!K334:Instances!K334),"diff", MAX(Instances!K334:Instances!K334)-MIN(Instances!K334:Instances!K334))</f>
        <v>0</v>
      </c>
      <c r="L334" s="1" cm="1">
        <f t="array" ref="L334">_xlfn.SWITCH($A$2,"average", AVERAGE(Instances!L334:Instances!L334),"median", MEDIAN(Instances!L334:Instances!L334),"min", MIN(Instances!L334:Instances!L334),"max", MAX(Instances!L334:Instances!L334),"diff", MAX(Instances!L334:Instances!L334)-MIN(Instances!L334:Instances!L334))</f>
        <v>0</v>
      </c>
      <c r="M334" s="1" cm="1">
        <f t="array" ref="M334">_xlfn.SWITCH($A$2,"average", AVERAGE(Instances!M334:Instances!M334),"median", MEDIAN(Instances!M334:Instances!M334),"min", MIN(Instances!M334:Instances!M334),"max", MAX(Instances!M334:Instances!M334),"diff", MAX(Instances!M334:Instances!M334)-MIN(Instances!M334:Instances!M334))</f>
        <v>0</v>
      </c>
      <c r="N334" s="1" cm="1">
        <f t="array" ref="N334">_xlfn.SWITCH($A$2,"average", AVERAGE(Instances!N334:Instances!N334),"median", MEDIAN(Instances!N334:Instances!N334),"min", MIN(Instances!N334:Instances!N334),"max", MAX(Instances!N334:Instances!N334),"diff", MAX(Instances!N334:Instances!N334)-MIN(Instances!N334:Instances!N334))</f>
        <v>0</v>
      </c>
      <c r="O334" s="1" cm="1">
        <f t="array" ref="O334">_xlfn.SWITCH($A$2,"average", AVERAGE(Instances!O334:Instances!O334),"median", MEDIAN(Instances!O334:Instances!O334),"min", MIN(Instances!O334:Instances!O334),"max", MAX(Instances!O334:Instances!O334),"diff", MAX(Instances!O334:Instances!O334)-MIN(Instances!O334:Instances!O334))</f>
        <v>0</v>
      </c>
      <c r="P334" s="1" cm="1">
        <f t="array" ref="P334">_xlfn.SWITCH($A$2,"average", AVERAGE(Instances!P334:Instances!P334),"median", MEDIAN(Instances!P334:Instances!P334),"min", MIN(Instances!P334:Instances!P334),"max", MAX(Instances!P334:Instances!P334),"diff", MAX(Instances!P334:Instances!P334)-MIN(Instances!P334:Instances!P334))</f>
        <v>0</v>
      </c>
      <c r="Q334" s="1" cm="1">
        <f t="array" ref="Q334">_xlfn.SWITCH($A$2,"average", AVERAGE(Instances!Q334:Instances!Q334),"median", MEDIAN(Instances!Q334:Instances!Q334),"min", MIN(Instances!Q334:Instances!Q334),"max", MAX(Instances!Q334:Instances!Q334),"diff", MAX(Instances!Q334:Instances!Q334)-MIN(Instances!Q334:Instances!Q334))</f>
        <v>0</v>
      </c>
      <c r="R334" s="1">
        <f>MIN($B334,$D334,$F334,$H334,$J334,$L334,$N334,$P334)</f>
        <v>0</v>
      </c>
      <c r="S334" s="1">
        <f>MIN($C334,$E334,$G334,$I334,$K334,$M334,$O334,$Q334)</f>
        <v>0</v>
      </c>
      <c r="T334" s="1">
        <f>MEDIAN($B334,$D334,$F334,$H334,$J334,$L334,$N334,$P334)</f>
        <v>0</v>
      </c>
      <c r="U334" s="1">
        <f>MEDIAN($C334,$E334,$G334,$I334,$K334,$M334,$O334,$Q334)</f>
        <v>0</v>
      </c>
      <c r="V334" s="1">
        <f>MAX($B334,$D334,$F334,$H334,$J334,$L334,$N334,$P334)</f>
        <v>0</v>
      </c>
      <c r="W334" s="1">
        <f>MAX($C334,$E334,$G334,$I334,$K334,$M334,$O334,$Q334)</f>
        <v>0</v>
      </c>
    </row>
    <row r="335" spans="1:23">
      <c r="A335" s="1" t="s">
        <v>64</v>
      </c>
      <c r="B335" s="1"/>
      <c r="C335" s="1"/>
      <c r="D335" s="1" cm="1">
        <f t="array" ref="D335">_xlfn.SWITCH($A$2,"average", AVERAGE(Instances!D335:Instances!D335),"median", MEDIAN(Instances!D335:Instances!D335),"min", MIN(Instances!D335:Instances!D335),"max", MAX(Instances!D335:Instances!D335),"diff", MAX(Instances!D335:Instances!D335)-MIN(Instances!D335:Instances!D335))</f>
        <v>0</v>
      </c>
      <c r="E335" s="1" cm="1">
        <f t="array" ref="E335">_xlfn.SWITCH($A$2,"average", AVERAGE(Instances!E335:Instances!E335),"median", MEDIAN(Instances!E335:Instances!E335),"min", MIN(Instances!E335:Instances!E335),"max", MAX(Instances!E335:Instances!E335),"diff", MAX(Instances!E335:Instances!E335)-MIN(Instances!E335:Instances!E335))</f>
        <v>0</v>
      </c>
      <c r="F335" s="1" cm="1">
        <f t="array" ref="F335">_xlfn.SWITCH($A$2,"average", AVERAGE(Instances!F335:Instances!F335),"median", MEDIAN(Instances!F335:Instances!F335),"min", MIN(Instances!F335:Instances!F335),"max", MAX(Instances!F335:Instances!F335),"diff", MAX(Instances!F335:Instances!F335)-MIN(Instances!F335:Instances!F335))</f>
        <v>0</v>
      </c>
      <c r="G335" s="1" cm="1">
        <f t="array" ref="G335">_xlfn.SWITCH($A$2,"average", AVERAGE(Instances!G335:Instances!G335),"median", MEDIAN(Instances!G335:Instances!G335),"min", MIN(Instances!G335:Instances!G335),"max", MAX(Instances!G335:Instances!G335),"diff", MAX(Instances!G335:Instances!G335)-MIN(Instances!G335:Instances!G335))</f>
        <v>0</v>
      </c>
      <c r="H335" s="1"/>
      <c r="I335" s="1"/>
      <c r="J335" s="1" cm="1">
        <f t="array" ref="J335">_xlfn.SWITCH($A$2,"average", AVERAGE(Instances!J335:Instances!J335),"median", MEDIAN(Instances!J335:Instances!J335),"min", MIN(Instances!J335:Instances!J335),"max", MAX(Instances!J335:Instances!J335),"diff", MAX(Instances!J335:Instances!J335)-MIN(Instances!J335:Instances!J335))</f>
        <v>0</v>
      </c>
      <c r="K335" s="1" cm="1">
        <f t="array" ref="K335">_xlfn.SWITCH($A$2,"average", AVERAGE(Instances!K335:Instances!K335),"median", MEDIAN(Instances!K335:Instances!K335),"min", MIN(Instances!K335:Instances!K335),"max", MAX(Instances!K335:Instances!K335),"diff", MAX(Instances!K335:Instances!K335)-MIN(Instances!K335:Instances!K335))</f>
        <v>0</v>
      </c>
      <c r="L335" s="1" cm="1">
        <f t="array" ref="L335">_xlfn.SWITCH($A$2,"average", AVERAGE(Instances!L335:Instances!L335),"median", MEDIAN(Instances!L335:Instances!L335),"min", MIN(Instances!L335:Instances!L335),"max", MAX(Instances!L335:Instances!L335),"diff", MAX(Instances!L335:Instances!L335)-MIN(Instances!L335:Instances!L335))</f>
        <v>0</v>
      </c>
      <c r="M335" s="1" cm="1">
        <f t="array" ref="M335">_xlfn.SWITCH($A$2,"average", AVERAGE(Instances!M335:Instances!M335),"median", MEDIAN(Instances!M335:Instances!M335),"min", MIN(Instances!M335:Instances!M335),"max", MAX(Instances!M335:Instances!M335),"diff", MAX(Instances!M335:Instances!M335)-MIN(Instances!M335:Instances!M335))</f>
        <v>0</v>
      </c>
      <c r="N335" s="1" cm="1">
        <f t="array" ref="N335">_xlfn.SWITCH($A$2,"average", AVERAGE(Instances!N335:Instances!N335),"median", MEDIAN(Instances!N335:Instances!N335),"min", MIN(Instances!N335:Instances!N335),"max", MAX(Instances!N335:Instances!N335),"diff", MAX(Instances!N335:Instances!N335)-MIN(Instances!N335:Instances!N335))</f>
        <v>0</v>
      </c>
      <c r="O335" s="1" cm="1">
        <f t="array" ref="O335">_xlfn.SWITCH($A$2,"average", AVERAGE(Instances!O335:Instances!O335),"median", MEDIAN(Instances!O335:Instances!O335),"min", MIN(Instances!O335:Instances!O335),"max", MAX(Instances!O335:Instances!O335),"diff", MAX(Instances!O335:Instances!O335)-MIN(Instances!O335:Instances!O335))</f>
        <v>0</v>
      </c>
      <c r="P335" s="1" cm="1">
        <f t="array" ref="P335">_xlfn.SWITCH($A$2,"average", AVERAGE(Instances!P335:Instances!P335),"median", MEDIAN(Instances!P335:Instances!P335),"min", MIN(Instances!P335:Instances!P335),"max", MAX(Instances!P335:Instances!P335),"diff", MAX(Instances!P335:Instances!P335)-MIN(Instances!P335:Instances!P335))</f>
        <v>0</v>
      </c>
      <c r="Q335" s="1" cm="1">
        <f t="array" ref="Q335">_xlfn.SWITCH($A$2,"average", AVERAGE(Instances!Q335:Instances!Q335),"median", MEDIAN(Instances!Q335:Instances!Q335),"min", MIN(Instances!Q335:Instances!Q335),"max", MAX(Instances!Q335:Instances!Q335),"diff", MAX(Instances!Q335:Instances!Q335)-MIN(Instances!Q335:Instances!Q335))</f>
        <v>0</v>
      </c>
      <c r="R335" s="1">
        <f>MIN($B335,$D335,$F335,$H335,$J335,$L335,$N335,$P335)</f>
        <v>0</v>
      </c>
      <c r="S335" s="1">
        <f>MIN($C335,$E335,$G335,$I335,$K335,$M335,$O335,$Q335)</f>
        <v>0</v>
      </c>
      <c r="T335" s="1">
        <f>MEDIAN($B335,$D335,$F335,$H335,$J335,$L335,$N335,$P335)</f>
        <v>0</v>
      </c>
      <c r="U335" s="1">
        <f>MEDIAN($C335,$E335,$G335,$I335,$K335,$M335,$O335,$Q335)</f>
        <v>0</v>
      </c>
      <c r="V335" s="1">
        <f>MAX($B335,$D335,$F335,$H335,$J335,$L335,$N335,$P335)</f>
        <v>0</v>
      </c>
      <c r="W335" s="1">
        <f>MAX($C335,$E335,$G335,$I335,$K335,$M335,$O335,$Q335)</f>
        <v>0</v>
      </c>
    </row>
    <row r="336" spans="1:23">
      <c r="A336" s="1" t="s">
        <v>65</v>
      </c>
      <c r="B336" s="1"/>
      <c r="C336" s="1"/>
      <c r="D336" s="1" cm="1">
        <f t="array" ref="D336">_xlfn.SWITCH($A$2,"average", AVERAGE(Instances!D336:Instances!D336),"median", MEDIAN(Instances!D336:Instances!D336),"min", MIN(Instances!D336:Instances!D336),"max", MAX(Instances!D336:Instances!D336),"diff", MAX(Instances!D336:Instances!D336)-MIN(Instances!D336:Instances!D336))</f>
        <v>0</v>
      </c>
      <c r="E336" s="1" cm="1">
        <f t="array" ref="E336">_xlfn.SWITCH($A$2,"average", AVERAGE(Instances!E336:Instances!E336),"median", MEDIAN(Instances!E336:Instances!E336),"min", MIN(Instances!E336:Instances!E336),"max", MAX(Instances!E336:Instances!E336),"diff", MAX(Instances!E336:Instances!E336)-MIN(Instances!E336:Instances!E336))</f>
        <v>0</v>
      </c>
      <c r="F336" s="1" cm="1">
        <f t="array" ref="F336">_xlfn.SWITCH($A$2,"average", AVERAGE(Instances!F336:Instances!F336),"median", MEDIAN(Instances!F336:Instances!F336),"min", MIN(Instances!F336:Instances!F336),"max", MAX(Instances!F336:Instances!F336),"diff", MAX(Instances!F336:Instances!F336)-MIN(Instances!F336:Instances!F336))</f>
        <v>0</v>
      </c>
      <c r="G336" s="1" cm="1">
        <f t="array" ref="G336">_xlfn.SWITCH($A$2,"average", AVERAGE(Instances!G336:Instances!G336),"median", MEDIAN(Instances!G336:Instances!G336),"min", MIN(Instances!G336:Instances!G336),"max", MAX(Instances!G336:Instances!G336),"diff", MAX(Instances!G336:Instances!G336)-MIN(Instances!G336:Instances!G336))</f>
        <v>0</v>
      </c>
      <c r="H336" s="1"/>
      <c r="I336" s="1"/>
      <c r="J336" s="1" cm="1">
        <f t="array" ref="J336">_xlfn.SWITCH($A$2,"average", AVERAGE(Instances!J336:Instances!J336),"median", MEDIAN(Instances!J336:Instances!J336),"min", MIN(Instances!J336:Instances!J336),"max", MAX(Instances!J336:Instances!J336),"diff", MAX(Instances!J336:Instances!J336)-MIN(Instances!J336:Instances!J336))</f>
        <v>0</v>
      </c>
      <c r="K336" s="1" cm="1">
        <f t="array" ref="K336">_xlfn.SWITCH($A$2,"average", AVERAGE(Instances!K336:Instances!K336),"median", MEDIAN(Instances!K336:Instances!K336),"min", MIN(Instances!K336:Instances!K336),"max", MAX(Instances!K336:Instances!K336),"diff", MAX(Instances!K336:Instances!K336)-MIN(Instances!K336:Instances!K336))</f>
        <v>0</v>
      </c>
      <c r="L336" s="1" cm="1">
        <f t="array" ref="L336">_xlfn.SWITCH($A$2,"average", AVERAGE(Instances!L336:Instances!L336),"median", MEDIAN(Instances!L336:Instances!L336),"min", MIN(Instances!L336:Instances!L336),"max", MAX(Instances!L336:Instances!L336),"diff", MAX(Instances!L336:Instances!L336)-MIN(Instances!L336:Instances!L336))</f>
        <v>0</v>
      </c>
      <c r="M336" s="1" cm="1">
        <f t="array" ref="M336">_xlfn.SWITCH($A$2,"average", AVERAGE(Instances!M336:Instances!M336),"median", MEDIAN(Instances!M336:Instances!M336),"min", MIN(Instances!M336:Instances!M336),"max", MAX(Instances!M336:Instances!M336),"diff", MAX(Instances!M336:Instances!M336)-MIN(Instances!M336:Instances!M336))</f>
        <v>0</v>
      </c>
      <c r="N336" s="1" cm="1">
        <f t="array" ref="N336">_xlfn.SWITCH($A$2,"average", AVERAGE(Instances!N336:Instances!N336),"median", MEDIAN(Instances!N336:Instances!N336),"min", MIN(Instances!N336:Instances!N336),"max", MAX(Instances!N336:Instances!N336),"diff", MAX(Instances!N336:Instances!N336)-MIN(Instances!N336:Instances!N336))</f>
        <v>0</v>
      </c>
      <c r="O336" s="1" cm="1">
        <f t="array" ref="O336">_xlfn.SWITCH($A$2,"average", AVERAGE(Instances!O336:Instances!O336),"median", MEDIAN(Instances!O336:Instances!O336),"min", MIN(Instances!O336:Instances!O336),"max", MAX(Instances!O336:Instances!O336),"diff", MAX(Instances!O336:Instances!O336)-MIN(Instances!O336:Instances!O336))</f>
        <v>0</v>
      </c>
      <c r="P336" s="1" cm="1">
        <f t="array" ref="P336">_xlfn.SWITCH($A$2,"average", AVERAGE(Instances!P336:Instances!P336),"median", MEDIAN(Instances!P336:Instances!P336),"min", MIN(Instances!P336:Instances!P336),"max", MAX(Instances!P336:Instances!P336),"diff", MAX(Instances!P336:Instances!P336)-MIN(Instances!P336:Instances!P336))</f>
        <v>0</v>
      </c>
      <c r="Q336" s="1" cm="1">
        <f t="array" ref="Q336">_xlfn.SWITCH($A$2,"average", AVERAGE(Instances!Q336:Instances!Q336),"median", MEDIAN(Instances!Q336:Instances!Q336),"min", MIN(Instances!Q336:Instances!Q336),"max", MAX(Instances!Q336:Instances!Q336),"diff", MAX(Instances!Q336:Instances!Q336)-MIN(Instances!Q336:Instances!Q336))</f>
        <v>0</v>
      </c>
      <c r="R336" s="1">
        <f>MIN($B336,$D336,$F336,$H336,$J336,$L336,$N336,$P336)</f>
        <v>0</v>
      </c>
      <c r="S336" s="1">
        <f>MIN($C336,$E336,$G336,$I336,$K336,$M336,$O336,$Q336)</f>
        <v>0</v>
      </c>
      <c r="T336" s="1">
        <f>MEDIAN($B336,$D336,$F336,$H336,$J336,$L336,$N336,$P336)</f>
        <v>0</v>
      </c>
      <c r="U336" s="1">
        <f>MEDIAN($C336,$E336,$G336,$I336,$K336,$M336,$O336,$Q336)</f>
        <v>0</v>
      </c>
      <c r="V336" s="1">
        <f>MAX($B336,$D336,$F336,$H336,$J336,$L336,$N336,$P336)</f>
        <v>0</v>
      </c>
      <c r="W336" s="1">
        <f>MAX($C336,$E336,$G336,$I336,$K336,$M336,$O336,$Q336)</f>
        <v>0</v>
      </c>
    </row>
    <row r="337" spans="1:23">
      <c r="A337" s="1" t="s">
        <v>66</v>
      </c>
      <c r="B337" s="1"/>
      <c r="C337" s="1"/>
      <c r="D337" s="1" cm="1">
        <f t="array" ref="D337">_xlfn.SWITCH($A$2,"average", AVERAGE(Instances!D337:Instances!D337),"median", MEDIAN(Instances!D337:Instances!D337),"min", MIN(Instances!D337:Instances!D337),"max", MAX(Instances!D337:Instances!D337),"diff", MAX(Instances!D337:Instances!D337)-MIN(Instances!D337:Instances!D337))</f>
        <v>0</v>
      </c>
      <c r="E337" s="1" cm="1">
        <f t="array" ref="E337">_xlfn.SWITCH($A$2,"average", AVERAGE(Instances!E337:Instances!E337),"median", MEDIAN(Instances!E337:Instances!E337),"min", MIN(Instances!E337:Instances!E337),"max", MAX(Instances!E337:Instances!E337),"diff", MAX(Instances!E337:Instances!E337)-MIN(Instances!E337:Instances!E337))</f>
        <v>0</v>
      </c>
      <c r="F337" s="1" cm="1">
        <f t="array" ref="F337">_xlfn.SWITCH($A$2,"average", AVERAGE(Instances!F337:Instances!F337),"median", MEDIAN(Instances!F337:Instances!F337),"min", MIN(Instances!F337:Instances!F337),"max", MAX(Instances!F337:Instances!F337),"diff", MAX(Instances!F337:Instances!F337)-MIN(Instances!F337:Instances!F337))</f>
        <v>0</v>
      </c>
      <c r="G337" s="1" cm="1">
        <f t="array" ref="G337">_xlfn.SWITCH($A$2,"average", AVERAGE(Instances!G337:Instances!G337),"median", MEDIAN(Instances!G337:Instances!G337),"min", MIN(Instances!G337:Instances!G337),"max", MAX(Instances!G337:Instances!G337),"diff", MAX(Instances!G337:Instances!G337)-MIN(Instances!G337:Instances!G337))</f>
        <v>0</v>
      </c>
      <c r="H337" s="1"/>
      <c r="I337" s="1"/>
      <c r="J337" s="1" cm="1">
        <f t="array" ref="J337">_xlfn.SWITCH($A$2,"average", AVERAGE(Instances!J337:Instances!J337),"median", MEDIAN(Instances!J337:Instances!J337),"min", MIN(Instances!J337:Instances!J337),"max", MAX(Instances!J337:Instances!J337),"diff", MAX(Instances!J337:Instances!J337)-MIN(Instances!J337:Instances!J337))</f>
        <v>0</v>
      </c>
      <c r="K337" s="1" cm="1">
        <f t="array" ref="K337">_xlfn.SWITCH($A$2,"average", AVERAGE(Instances!K337:Instances!K337),"median", MEDIAN(Instances!K337:Instances!K337),"min", MIN(Instances!K337:Instances!K337),"max", MAX(Instances!K337:Instances!K337),"diff", MAX(Instances!K337:Instances!K337)-MIN(Instances!K337:Instances!K337))</f>
        <v>0</v>
      </c>
      <c r="L337" s="1" cm="1">
        <f t="array" ref="L337">_xlfn.SWITCH($A$2,"average", AVERAGE(Instances!L337:Instances!L337),"median", MEDIAN(Instances!L337:Instances!L337),"min", MIN(Instances!L337:Instances!L337),"max", MAX(Instances!L337:Instances!L337),"diff", MAX(Instances!L337:Instances!L337)-MIN(Instances!L337:Instances!L337))</f>
        <v>0</v>
      </c>
      <c r="M337" s="1" cm="1">
        <f t="array" ref="M337">_xlfn.SWITCH($A$2,"average", AVERAGE(Instances!M337:Instances!M337),"median", MEDIAN(Instances!M337:Instances!M337),"min", MIN(Instances!M337:Instances!M337),"max", MAX(Instances!M337:Instances!M337),"diff", MAX(Instances!M337:Instances!M337)-MIN(Instances!M337:Instances!M337))</f>
        <v>0</v>
      </c>
      <c r="N337" s="1" cm="1">
        <f t="array" ref="N337">_xlfn.SWITCH($A$2,"average", AVERAGE(Instances!N337:Instances!N337),"median", MEDIAN(Instances!N337:Instances!N337),"min", MIN(Instances!N337:Instances!N337),"max", MAX(Instances!N337:Instances!N337),"diff", MAX(Instances!N337:Instances!N337)-MIN(Instances!N337:Instances!N337))</f>
        <v>0</v>
      </c>
      <c r="O337" s="1" cm="1">
        <f t="array" ref="O337">_xlfn.SWITCH($A$2,"average", AVERAGE(Instances!O337:Instances!O337),"median", MEDIAN(Instances!O337:Instances!O337),"min", MIN(Instances!O337:Instances!O337),"max", MAX(Instances!O337:Instances!O337),"diff", MAX(Instances!O337:Instances!O337)-MIN(Instances!O337:Instances!O337))</f>
        <v>0</v>
      </c>
      <c r="P337" s="1" cm="1">
        <f t="array" ref="P337">_xlfn.SWITCH($A$2,"average", AVERAGE(Instances!P337:Instances!P337),"median", MEDIAN(Instances!P337:Instances!P337),"min", MIN(Instances!P337:Instances!P337),"max", MAX(Instances!P337:Instances!P337),"diff", MAX(Instances!P337:Instances!P337)-MIN(Instances!P337:Instances!P337))</f>
        <v>0</v>
      </c>
      <c r="Q337" s="1" cm="1">
        <f t="array" ref="Q337">_xlfn.SWITCH($A$2,"average", AVERAGE(Instances!Q337:Instances!Q337),"median", MEDIAN(Instances!Q337:Instances!Q337),"min", MIN(Instances!Q337:Instances!Q337),"max", MAX(Instances!Q337:Instances!Q337),"diff", MAX(Instances!Q337:Instances!Q337)-MIN(Instances!Q337:Instances!Q337))</f>
        <v>0</v>
      </c>
      <c r="R337" s="1">
        <f>MIN($B337,$D337,$F337,$H337,$J337,$L337,$N337,$P337)</f>
        <v>0</v>
      </c>
      <c r="S337" s="1">
        <f>MIN($C337,$E337,$G337,$I337,$K337,$M337,$O337,$Q337)</f>
        <v>0</v>
      </c>
      <c r="T337" s="1">
        <f>MEDIAN($B337,$D337,$F337,$H337,$J337,$L337,$N337,$P337)</f>
        <v>0</v>
      </c>
      <c r="U337" s="1">
        <f>MEDIAN($C337,$E337,$G337,$I337,$K337,$M337,$O337,$Q337)</f>
        <v>0</v>
      </c>
      <c r="V337" s="1">
        <f>MAX($B337,$D337,$F337,$H337,$J337,$L337,$N337,$P337)</f>
        <v>0</v>
      </c>
      <c r="W337" s="1">
        <f>MAX($C337,$E337,$G337,$I337,$K337,$M337,$O337,$Q337)</f>
        <v>0</v>
      </c>
    </row>
    <row r="338" spans="1:23">
      <c r="A338" s="1" t="s">
        <v>67</v>
      </c>
      <c r="B338" s="1"/>
      <c r="C338" s="1"/>
      <c r="D338" s="1" cm="1">
        <f t="array" ref="D338">_xlfn.SWITCH($A$2,"average", AVERAGE(Instances!D338:Instances!D338),"median", MEDIAN(Instances!D338:Instances!D338),"min", MIN(Instances!D338:Instances!D338),"max", MAX(Instances!D338:Instances!D338),"diff", MAX(Instances!D338:Instances!D338)-MIN(Instances!D338:Instances!D338))</f>
        <v>0</v>
      </c>
      <c r="E338" s="1" cm="1">
        <f t="array" ref="E338">_xlfn.SWITCH($A$2,"average", AVERAGE(Instances!E338:Instances!E338),"median", MEDIAN(Instances!E338:Instances!E338),"min", MIN(Instances!E338:Instances!E338),"max", MAX(Instances!E338:Instances!E338),"diff", MAX(Instances!E338:Instances!E338)-MIN(Instances!E338:Instances!E338))</f>
        <v>0</v>
      </c>
      <c r="F338" s="1" cm="1">
        <f t="array" ref="F338">_xlfn.SWITCH($A$2,"average", AVERAGE(Instances!F338:Instances!F338),"median", MEDIAN(Instances!F338:Instances!F338),"min", MIN(Instances!F338:Instances!F338),"max", MAX(Instances!F338:Instances!F338),"diff", MAX(Instances!F338:Instances!F338)-MIN(Instances!F338:Instances!F338))</f>
        <v>0</v>
      </c>
      <c r="G338" s="1" cm="1">
        <f t="array" ref="G338">_xlfn.SWITCH($A$2,"average", AVERAGE(Instances!G338:Instances!G338),"median", MEDIAN(Instances!G338:Instances!G338),"min", MIN(Instances!G338:Instances!G338),"max", MAX(Instances!G338:Instances!G338),"diff", MAX(Instances!G338:Instances!G338)-MIN(Instances!G338:Instances!G338))</f>
        <v>0</v>
      </c>
      <c r="H338" s="1"/>
      <c r="I338" s="1"/>
      <c r="J338" s="1" cm="1">
        <f t="array" ref="J338">_xlfn.SWITCH($A$2,"average", AVERAGE(Instances!J338:Instances!J338),"median", MEDIAN(Instances!J338:Instances!J338),"min", MIN(Instances!J338:Instances!J338),"max", MAX(Instances!J338:Instances!J338),"diff", MAX(Instances!J338:Instances!J338)-MIN(Instances!J338:Instances!J338))</f>
        <v>0</v>
      </c>
      <c r="K338" s="1" cm="1">
        <f t="array" ref="K338">_xlfn.SWITCH($A$2,"average", AVERAGE(Instances!K338:Instances!K338),"median", MEDIAN(Instances!K338:Instances!K338),"min", MIN(Instances!K338:Instances!K338),"max", MAX(Instances!K338:Instances!K338),"diff", MAX(Instances!K338:Instances!K338)-MIN(Instances!K338:Instances!K338))</f>
        <v>0</v>
      </c>
      <c r="L338" s="1" cm="1">
        <f t="array" ref="L338">_xlfn.SWITCH($A$2,"average", AVERAGE(Instances!L338:Instances!L338),"median", MEDIAN(Instances!L338:Instances!L338),"min", MIN(Instances!L338:Instances!L338),"max", MAX(Instances!L338:Instances!L338),"diff", MAX(Instances!L338:Instances!L338)-MIN(Instances!L338:Instances!L338))</f>
        <v>0</v>
      </c>
      <c r="M338" s="1" cm="1">
        <f t="array" ref="M338">_xlfn.SWITCH($A$2,"average", AVERAGE(Instances!M338:Instances!M338),"median", MEDIAN(Instances!M338:Instances!M338),"min", MIN(Instances!M338:Instances!M338),"max", MAX(Instances!M338:Instances!M338),"diff", MAX(Instances!M338:Instances!M338)-MIN(Instances!M338:Instances!M338))</f>
        <v>0</v>
      </c>
      <c r="N338" s="1" cm="1">
        <f t="array" ref="N338">_xlfn.SWITCH($A$2,"average", AVERAGE(Instances!N338:Instances!N338),"median", MEDIAN(Instances!N338:Instances!N338),"min", MIN(Instances!N338:Instances!N338),"max", MAX(Instances!N338:Instances!N338),"diff", MAX(Instances!N338:Instances!N338)-MIN(Instances!N338:Instances!N338))</f>
        <v>0</v>
      </c>
      <c r="O338" s="1" cm="1">
        <f t="array" ref="O338">_xlfn.SWITCH($A$2,"average", AVERAGE(Instances!O338:Instances!O338),"median", MEDIAN(Instances!O338:Instances!O338),"min", MIN(Instances!O338:Instances!O338),"max", MAX(Instances!O338:Instances!O338),"diff", MAX(Instances!O338:Instances!O338)-MIN(Instances!O338:Instances!O338))</f>
        <v>0</v>
      </c>
      <c r="P338" s="1" cm="1">
        <f t="array" ref="P338">_xlfn.SWITCH($A$2,"average", AVERAGE(Instances!P338:Instances!P338),"median", MEDIAN(Instances!P338:Instances!P338),"min", MIN(Instances!P338:Instances!P338),"max", MAX(Instances!P338:Instances!P338),"diff", MAX(Instances!P338:Instances!P338)-MIN(Instances!P338:Instances!P338))</f>
        <v>0</v>
      </c>
      <c r="Q338" s="1" cm="1">
        <f t="array" ref="Q338">_xlfn.SWITCH($A$2,"average", AVERAGE(Instances!Q338:Instances!Q338),"median", MEDIAN(Instances!Q338:Instances!Q338),"min", MIN(Instances!Q338:Instances!Q338),"max", MAX(Instances!Q338:Instances!Q338),"diff", MAX(Instances!Q338:Instances!Q338)-MIN(Instances!Q338:Instances!Q338))</f>
        <v>0</v>
      </c>
      <c r="R338" s="1">
        <f>MIN($B338,$D338,$F338,$H338,$J338,$L338,$N338,$P338)</f>
        <v>0</v>
      </c>
      <c r="S338" s="1">
        <f>MIN($C338,$E338,$G338,$I338,$K338,$M338,$O338,$Q338)</f>
        <v>0</v>
      </c>
      <c r="T338" s="1">
        <f>MEDIAN($B338,$D338,$F338,$H338,$J338,$L338,$N338,$P338)</f>
        <v>0</v>
      </c>
      <c r="U338" s="1">
        <f>MEDIAN($C338,$E338,$G338,$I338,$K338,$M338,$O338,$Q338)</f>
        <v>0</v>
      </c>
      <c r="V338" s="1">
        <f>MAX($B338,$D338,$F338,$H338,$J338,$L338,$N338,$P338)</f>
        <v>0</v>
      </c>
      <c r="W338" s="1">
        <f>MAX($C338,$E338,$G338,$I338,$K338,$M338,$O338,$Q338)</f>
        <v>0</v>
      </c>
    </row>
    <row r="339" spans="1:23">
      <c r="A339" s="1" t="s">
        <v>68</v>
      </c>
      <c r="B339" s="1"/>
      <c r="C339" s="1"/>
      <c r="D339" s="1" cm="1">
        <f t="array" ref="D339">_xlfn.SWITCH($A$2,"average", AVERAGE(Instances!D339:Instances!D339),"median", MEDIAN(Instances!D339:Instances!D339),"min", MIN(Instances!D339:Instances!D339),"max", MAX(Instances!D339:Instances!D339),"diff", MAX(Instances!D339:Instances!D339)-MIN(Instances!D339:Instances!D339))</f>
        <v>0</v>
      </c>
      <c r="E339" s="1" cm="1">
        <f t="array" ref="E339">_xlfn.SWITCH($A$2,"average", AVERAGE(Instances!E339:Instances!E339),"median", MEDIAN(Instances!E339:Instances!E339),"min", MIN(Instances!E339:Instances!E339),"max", MAX(Instances!E339:Instances!E339),"diff", MAX(Instances!E339:Instances!E339)-MIN(Instances!E339:Instances!E339))</f>
        <v>0</v>
      </c>
      <c r="F339" s="1" cm="1">
        <f t="array" ref="F339">_xlfn.SWITCH($A$2,"average", AVERAGE(Instances!F339:Instances!F339),"median", MEDIAN(Instances!F339:Instances!F339),"min", MIN(Instances!F339:Instances!F339),"max", MAX(Instances!F339:Instances!F339),"diff", MAX(Instances!F339:Instances!F339)-MIN(Instances!F339:Instances!F339))</f>
        <v>0</v>
      </c>
      <c r="G339" s="1" cm="1">
        <f t="array" ref="G339">_xlfn.SWITCH($A$2,"average", AVERAGE(Instances!G339:Instances!G339),"median", MEDIAN(Instances!G339:Instances!G339),"min", MIN(Instances!G339:Instances!G339),"max", MAX(Instances!G339:Instances!G339),"diff", MAX(Instances!G339:Instances!G339)-MIN(Instances!G339:Instances!G339))</f>
        <v>0</v>
      </c>
      <c r="H339" s="1"/>
      <c r="I339" s="1"/>
      <c r="J339" s="1" cm="1">
        <f t="array" ref="J339">_xlfn.SWITCH($A$2,"average", AVERAGE(Instances!J339:Instances!J339),"median", MEDIAN(Instances!J339:Instances!J339),"min", MIN(Instances!J339:Instances!J339),"max", MAX(Instances!J339:Instances!J339),"diff", MAX(Instances!J339:Instances!J339)-MIN(Instances!J339:Instances!J339))</f>
        <v>0</v>
      </c>
      <c r="K339" s="1" cm="1">
        <f t="array" ref="K339">_xlfn.SWITCH($A$2,"average", AVERAGE(Instances!K339:Instances!K339),"median", MEDIAN(Instances!K339:Instances!K339),"min", MIN(Instances!K339:Instances!K339),"max", MAX(Instances!K339:Instances!K339),"diff", MAX(Instances!K339:Instances!K339)-MIN(Instances!K339:Instances!K339))</f>
        <v>0</v>
      </c>
      <c r="L339" s="1" cm="1">
        <f t="array" ref="L339">_xlfn.SWITCH($A$2,"average", AVERAGE(Instances!L339:Instances!L339),"median", MEDIAN(Instances!L339:Instances!L339),"min", MIN(Instances!L339:Instances!L339),"max", MAX(Instances!L339:Instances!L339),"diff", MAX(Instances!L339:Instances!L339)-MIN(Instances!L339:Instances!L339))</f>
        <v>0</v>
      </c>
      <c r="M339" s="1" cm="1">
        <f t="array" ref="M339">_xlfn.SWITCH($A$2,"average", AVERAGE(Instances!M339:Instances!M339),"median", MEDIAN(Instances!M339:Instances!M339),"min", MIN(Instances!M339:Instances!M339),"max", MAX(Instances!M339:Instances!M339),"diff", MAX(Instances!M339:Instances!M339)-MIN(Instances!M339:Instances!M339))</f>
        <v>0</v>
      </c>
      <c r="N339" s="1" cm="1">
        <f t="array" ref="N339">_xlfn.SWITCH($A$2,"average", AVERAGE(Instances!N339:Instances!N339),"median", MEDIAN(Instances!N339:Instances!N339),"min", MIN(Instances!N339:Instances!N339),"max", MAX(Instances!N339:Instances!N339),"diff", MAX(Instances!N339:Instances!N339)-MIN(Instances!N339:Instances!N339))</f>
        <v>0</v>
      </c>
      <c r="O339" s="1" cm="1">
        <f t="array" ref="O339">_xlfn.SWITCH($A$2,"average", AVERAGE(Instances!O339:Instances!O339),"median", MEDIAN(Instances!O339:Instances!O339),"min", MIN(Instances!O339:Instances!O339),"max", MAX(Instances!O339:Instances!O339),"diff", MAX(Instances!O339:Instances!O339)-MIN(Instances!O339:Instances!O339))</f>
        <v>0</v>
      </c>
      <c r="P339" s="1" cm="1">
        <f t="array" ref="P339">_xlfn.SWITCH($A$2,"average", AVERAGE(Instances!P339:Instances!P339),"median", MEDIAN(Instances!P339:Instances!P339),"min", MIN(Instances!P339:Instances!P339),"max", MAX(Instances!P339:Instances!P339),"diff", MAX(Instances!P339:Instances!P339)-MIN(Instances!P339:Instances!P339))</f>
        <v>0</v>
      </c>
      <c r="Q339" s="1" cm="1">
        <f t="array" ref="Q339">_xlfn.SWITCH($A$2,"average", AVERAGE(Instances!Q339:Instances!Q339),"median", MEDIAN(Instances!Q339:Instances!Q339),"min", MIN(Instances!Q339:Instances!Q339),"max", MAX(Instances!Q339:Instances!Q339),"diff", MAX(Instances!Q339:Instances!Q339)-MIN(Instances!Q339:Instances!Q339))</f>
        <v>0</v>
      </c>
      <c r="R339" s="1">
        <f>MIN($B339,$D339,$F339,$H339,$J339,$L339,$N339,$P339)</f>
        <v>0</v>
      </c>
      <c r="S339" s="1">
        <f>MIN($C339,$E339,$G339,$I339,$K339,$M339,$O339,$Q339)</f>
        <v>0</v>
      </c>
      <c r="T339" s="1">
        <f>MEDIAN($B339,$D339,$F339,$H339,$J339,$L339,$N339,$P339)</f>
        <v>0</v>
      </c>
      <c r="U339" s="1">
        <f>MEDIAN($C339,$E339,$G339,$I339,$K339,$M339,$O339,$Q339)</f>
        <v>0</v>
      </c>
      <c r="V339" s="1">
        <f>MAX($B339,$D339,$F339,$H339,$J339,$L339,$N339,$P339)</f>
        <v>0</v>
      </c>
      <c r="W339" s="1">
        <f>MAX($C339,$E339,$G339,$I339,$K339,$M339,$O339,$Q339)</f>
        <v>0</v>
      </c>
    </row>
    <row r="340" spans="1:23">
      <c r="A340" s="1" t="s">
        <v>69</v>
      </c>
      <c r="B340" s="1"/>
      <c r="C340" s="1"/>
      <c r="D340" s="1" cm="1">
        <f t="array" ref="D340">_xlfn.SWITCH($A$2,"average", AVERAGE(Instances!D340:Instances!D340),"median", MEDIAN(Instances!D340:Instances!D340),"min", MIN(Instances!D340:Instances!D340),"max", MAX(Instances!D340:Instances!D340),"diff", MAX(Instances!D340:Instances!D340)-MIN(Instances!D340:Instances!D340))</f>
        <v>0</v>
      </c>
      <c r="E340" s="1" cm="1">
        <f t="array" ref="E340">_xlfn.SWITCH($A$2,"average", AVERAGE(Instances!E340:Instances!E340),"median", MEDIAN(Instances!E340:Instances!E340),"min", MIN(Instances!E340:Instances!E340),"max", MAX(Instances!E340:Instances!E340),"diff", MAX(Instances!E340:Instances!E340)-MIN(Instances!E340:Instances!E340))</f>
        <v>0</v>
      </c>
      <c r="F340" s="1" cm="1">
        <f t="array" ref="F340">_xlfn.SWITCH($A$2,"average", AVERAGE(Instances!F340:Instances!F340),"median", MEDIAN(Instances!F340:Instances!F340),"min", MIN(Instances!F340:Instances!F340),"max", MAX(Instances!F340:Instances!F340),"diff", MAX(Instances!F340:Instances!F340)-MIN(Instances!F340:Instances!F340))</f>
        <v>0</v>
      </c>
      <c r="G340" s="1" cm="1">
        <f t="array" ref="G340">_xlfn.SWITCH($A$2,"average", AVERAGE(Instances!G340:Instances!G340),"median", MEDIAN(Instances!G340:Instances!G340),"min", MIN(Instances!G340:Instances!G340),"max", MAX(Instances!G340:Instances!G340),"diff", MAX(Instances!G340:Instances!G340)-MIN(Instances!G340:Instances!G340))</f>
        <v>0</v>
      </c>
      <c r="H340" s="1"/>
      <c r="I340" s="1"/>
      <c r="J340" s="1" cm="1">
        <f t="array" ref="J340">_xlfn.SWITCH($A$2,"average", AVERAGE(Instances!J340:Instances!J340),"median", MEDIAN(Instances!J340:Instances!J340),"min", MIN(Instances!J340:Instances!J340),"max", MAX(Instances!J340:Instances!J340),"diff", MAX(Instances!J340:Instances!J340)-MIN(Instances!J340:Instances!J340))</f>
        <v>0</v>
      </c>
      <c r="K340" s="1" cm="1">
        <f t="array" ref="K340">_xlfn.SWITCH($A$2,"average", AVERAGE(Instances!K340:Instances!K340),"median", MEDIAN(Instances!K340:Instances!K340),"min", MIN(Instances!K340:Instances!K340),"max", MAX(Instances!K340:Instances!K340),"diff", MAX(Instances!K340:Instances!K340)-MIN(Instances!K340:Instances!K340))</f>
        <v>0</v>
      </c>
      <c r="L340" s="1" cm="1">
        <f t="array" ref="L340">_xlfn.SWITCH($A$2,"average", AVERAGE(Instances!L340:Instances!L340),"median", MEDIAN(Instances!L340:Instances!L340),"min", MIN(Instances!L340:Instances!L340),"max", MAX(Instances!L340:Instances!L340),"diff", MAX(Instances!L340:Instances!L340)-MIN(Instances!L340:Instances!L340))</f>
        <v>0</v>
      </c>
      <c r="M340" s="1" cm="1">
        <f t="array" ref="M340">_xlfn.SWITCH($A$2,"average", AVERAGE(Instances!M340:Instances!M340),"median", MEDIAN(Instances!M340:Instances!M340),"min", MIN(Instances!M340:Instances!M340),"max", MAX(Instances!M340:Instances!M340),"diff", MAX(Instances!M340:Instances!M340)-MIN(Instances!M340:Instances!M340))</f>
        <v>0</v>
      </c>
      <c r="N340" s="1" cm="1">
        <f t="array" ref="N340">_xlfn.SWITCH($A$2,"average", AVERAGE(Instances!N340:Instances!N340),"median", MEDIAN(Instances!N340:Instances!N340),"min", MIN(Instances!N340:Instances!N340),"max", MAX(Instances!N340:Instances!N340),"diff", MAX(Instances!N340:Instances!N340)-MIN(Instances!N340:Instances!N340))</f>
        <v>0</v>
      </c>
      <c r="O340" s="1" cm="1">
        <f t="array" ref="O340">_xlfn.SWITCH($A$2,"average", AVERAGE(Instances!O340:Instances!O340),"median", MEDIAN(Instances!O340:Instances!O340),"min", MIN(Instances!O340:Instances!O340),"max", MAX(Instances!O340:Instances!O340),"diff", MAX(Instances!O340:Instances!O340)-MIN(Instances!O340:Instances!O340))</f>
        <v>0</v>
      </c>
      <c r="P340" s="1" cm="1">
        <f t="array" ref="P340">_xlfn.SWITCH($A$2,"average", AVERAGE(Instances!P340:Instances!P340),"median", MEDIAN(Instances!P340:Instances!P340),"min", MIN(Instances!P340:Instances!P340),"max", MAX(Instances!P340:Instances!P340),"diff", MAX(Instances!P340:Instances!P340)-MIN(Instances!P340:Instances!P340))</f>
        <v>0</v>
      </c>
      <c r="Q340" s="1" cm="1">
        <f t="array" ref="Q340">_xlfn.SWITCH($A$2,"average", AVERAGE(Instances!Q340:Instances!Q340),"median", MEDIAN(Instances!Q340:Instances!Q340),"min", MIN(Instances!Q340:Instances!Q340),"max", MAX(Instances!Q340:Instances!Q340),"diff", MAX(Instances!Q340:Instances!Q340)-MIN(Instances!Q340:Instances!Q340))</f>
        <v>0</v>
      </c>
      <c r="R340" s="1">
        <f>MIN($B340,$D340,$F340,$H340,$J340,$L340,$N340,$P340)</f>
        <v>0</v>
      </c>
      <c r="S340" s="1">
        <f>MIN($C340,$E340,$G340,$I340,$K340,$M340,$O340,$Q340)</f>
        <v>0</v>
      </c>
      <c r="T340" s="1">
        <f>MEDIAN($B340,$D340,$F340,$H340,$J340,$L340,$N340,$P340)</f>
        <v>0</v>
      </c>
      <c r="U340" s="1">
        <f>MEDIAN($C340,$E340,$G340,$I340,$K340,$M340,$O340,$Q340)</f>
        <v>0</v>
      </c>
      <c r="V340" s="1">
        <f>MAX($B340,$D340,$F340,$H340,$J340,$L340,$N340,$P340)</f>
        <v>0</v>
      </c>
      <c r="W340" s="1">
        <f>MAX($C340,$E340,$G340,$I340,$K340,$M340,$O340,$Q340)</f>
        <v>0</v>
      </c>
    </row>
    <row r="341" spans="1:23">
      <c r="A341" s="1" t="s">
        <v>70</v>
      </c>
      <c r="B341" s="1"/>
      <c r="C341" s="1"/>
      <c r="D341" s="1" cm="1">
        <f t="array" ref="D341">_xlfn.SWITCH($A$2,"average", AVERAGE(Instances!D341:Instances!D341),"median", MEDIAN(Instances!D341:Instances!D341),"min", MIN(Instances!D341:Instances!D341),"max", MAX(Instances!D341:Instances!D341),"diff", MAX(Instances!D341:Instances!D341)-MIN(Instances!D341:Instances!D341))</f>
        <v>0</v>
      </c>
      <c r="E341" s="1" cm="1">
        <f t="array" ref="E341">_xlfn.SWITCH($A$2,"average", AVERAGE(Instances!E341:Instances!E341),"median", MEDIAN(Instances!E341:Instances!E341),"min", MIN(Instances!E341:Instances!E341),"max", MAX(Instances!E341:Instances!E341),"diff", MAX(Instances!E341:Instances!E341)-MIN(Instances!E341:Instances!E341))</f>
        <v>0</v>
      </c>
      <c r="F341" s="1" cm="1">
        <f t="array" ref="F341">_xlfn.SWITCH($A$2,"average", AVERAGE(Instances!F341:Instances!F341),"median", MEDIAN(Instances!F341:Instances!F341),"min", MIN(Instances!F341:Instances!F341),"max", MAX(Instances!F341:Instances!F341),"diff", MAX(Instances!F341:Instances!F341)-MIN(Instances!F341:Instances!F341))</f>
        <v>0</v>
      </c>
      <c r="G341" s="1" cm="1">
        <f t="array" ref="G341">_xlfn.SWITCH($A$2,"average", AVERAGE(Instances!G341:Instances!G341),"median", MEDIAN(Instances!G341:Instances!G341),"min", MIN(Instances!G341:Instances!G341),"max", MAX(Instances!G341:Instances!G341),"diff", MAX(Instances!G341:Instances!G341)-MIN(Instances!G341:Instances!G341))</f>
        <v>0</v>
      </c>
      <c r="H341" s="1"/>
      <c r="I341" s="1"/>
      <c r="J341" s="1" cm="1">
        <f t="array" ref="J341">_xlfn.SWITCH($A$2,"average", AVERAGE(Instances!J341:Instances!J341),"median", MEDIAN(Instances!J341:Instances!J341),"min", MIN(Instances!J341:Instances!J341),"max", MAX(Instances!J341:Instances!J341),"diff", MAX(Instances!J341:Instances!J341)-MIN(Instances!J341:Instances!J341))</f>
        <v>0</v>
      </c>
      <c r="K341" s="1" cm="1">
        <f t="array" ref="K341">_xlfn.SWITCH($A$2,"average", AVERAGE(Instances!K341:Instances!K341),"median", MEDIAN(Instances!K341:Instances!K341),"min", MIN(Instances!K341:Instances!K341),"max", MAX(Instances!K341:Instances!K341),"diff", MAX(Instances!K341:Instances!K341)-MIN(Instances!K341:Instances!K341))</f>
        <v>0</v>
      </c>
      <c r="L341" s="1" cm="1">
        <f t="array" ref="L341">_xlfn.SWITCH($A$2,"average", AVERAGE(Instances!L341:Instances!L341),"median", MEDIAN(Instances!L341:Instances!L341),"min", MIN(Instances!L341:Instances!L341),"max", MAX(Instances!L341:Instances!L341),"diff", MAX(Instances!L341:Instances!L341)-MIN(Instances!L341:Instances!L341))</f>
        <v>0</v>
      </c>
      <c r="M341" s="1" cm="1">
        <f t="array" ref="M341">_xlfn.SWITCH($A$2,"average", AVERAGE(Instances!M341:Instances!M341),"median", MEDIAN(Instances!M341:Instances!M341),"min", MIN(Instances!M341:Instances!M341),"max", MAX(Instances!M341:Instances!M341),"diff", MAX(Instances!M341:Instances!M341)-MIN(Instances!M341:Instances!M341))</f>
        <v>0</v>
      </c>
      <c r="N341" s="1" cm="1">
        <f t="array" ref="N341">_xlfn.SWITCH($A$2,"average", AVERAGE(Instances!N341:Instances!N341),"median", MEDIAN(Instances!N341:Instances!N341),"min", MIN(Instances!N341:Instances!N341),"max", MAX(Instances!N341:Instances!N341),"diff", MAX(Instances!N341:Instances!N341)-MIN(Instances!N341:Instances!N341))</f>
        <v>0</v>
      </c>
      <c r="O341" s="1" cm="1">
        <f t="array" ref="O341">_xlfn.SWITCH($A$2,"average", AVERAGE(Instances!O341:Instances!O341),"median", MEDIAN(Instances!O341:Instances!O341),"min", MIN(Instances!O341:Instances!O341),"max", MAX(Instances!O341:Instances!O341),"diff", MAX(Instances!O341:Instances!O341)-MIN(Instances!O341:Instances!O341))</f>
        <v>0</v>
      </c>
      <c r="P341" s="1" cm="1">
        <f t="array" ref="P341">_xlfn.SWITCH($A$2,"average", AVERAGE(Instances!P341:Instances!P341),"median", MEDIAN(Instances!P341:Instances!P341),"min", MIN(Instances!P341:Instances!P341),"max", MAX(Instances!P341:Instances!P341),"diff", MAX(Instances!P341:Instances!P341)-MIN(Instances!P341:Instances!P341))</f>
        <v>0</v>
      </c>
      <c r="Q341" s="1" cm="1">
        <f t="array" ref="Q341">_xlfn.SWITCH($A$2,"average", AVERAGE(Instances!Q341:Instances!Q341),"median", MEDIAN(Instances!Q341:Instances!Q341),"min", MIN(Instances!Q341:Instances!Q341),"max", MAX(Instances!Q341:Instances!Q341),"diff", MAX(Instances!Q341:Instances!Q341)-MIN(Instances!Q341:Instances!Q341))</f>
        <v>0</v>
      </c>
      <c r="R341" s="1">
        <f>MIN($B341,$D341,$F341,$H341,$J341,$L341,$N341,$P341)</f>
        <v>0</v>
      </c>
      <c r="S341" s="1">
        <f>MIN($C341,$E341,$G341,$I341,$K341,$M341,$O341,$Q341)</f>
        <v>0</v>
      </c>
      <c r="T341" s="1">
        <f>MEDIAN($B341,$D341,$F341,$H341,$J341,$L341,$N341,$P341)</f>
        <v>0</v>
      </c>
      <c r="U341" s="1">
        <f>MEDIAN($C341,$E341,$G341,$I341,$K341,$M341,$O341,$Q341)</f>
        <v>0</v>
      </c>
      <c r="V341" s="1">
        <f>MAX($B341,$D341,$F341,$H341,$J341,$L341,$N341,$P341)</f>
        <v>0</v>
      </c>
      <c r="W341" s="1">
        <f>MAX($C341,$E341,$G341,$I341,$K341,$M341,$O341,$Q341)</f>
        <v>0</v>
      </c>
    </row>
    <row r="342" spans="1:2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>
      <c r="A343" s="1" t="s">
        <v>284</v>
      </c>
      <c r="B343" s="1">
        <f>SUM(B$3:B$341)</f>
        <v>0</v>
      </c>
      <c r="C343" s="1">
        <f>SUM(C$3:C$341)</f>
        <v>0</v>
      </c>
      <c r="D343" s="1">
        <f>SUM(D$3:D$341)</f>
        <v>0</v>
      </c>
      <c r="E343" s="1">
        <f>SUM(E$3:E$341)</f>
        <v>0</v>
      </c>
      <c r="F343" s="1">
        <f>SUM(F$3:F$341)</f>
        <v>0</v>
      </c>
      <c r="G343" s="1">
        <f>SUM(G$3:G$341)</f>
        <v>0</v>
      </c>
      <c r="H343" s="1">
        <f>SUM(H$3:H$341)</f>
        <v>0</v>
      </c>
      <c r="I343" s="1">
        <f>SUM(I$3:I$341)</f>
        <v>0</v>
      </c>
      <c r="J343" s="1">
        <f>SUM(J$3:J$341)</f>
        <v>0</v>
      </c>
      <c r="K343" s="1">
        <f>SUM(K$3:K$341)</f>
        <v>0</v>
      </c>
      <c r="L343" s="1">
        <f>SUM(L$3:L$341)</f>
        <v>0</v>
      </c>
      <c r="M343" s="1">
        <f>SUM(M$3:M$341)</f>
        <v>0</v>
      </c>
      <c r="N343" s="1">
        <f>SUM(N$3:N$341)</f>
        <v>0</v>
      </c>
      <c r="O343" s="1">
        <f>SUM(O$3:O$341)</f>
        <v>0</v>
      </c>
      <c r="P343" s="1">
        <f>SUM(P$3:P$341)</f>
        <v>0</v>
      </c>
      <c r="Q343" s="1">
        <f>SUM(Q$3:Q$341)</f>
        <v>0</v>
      </c>
      <c r="R343" s="1">
        <f>SUM(R$3:R$341)</f>
        <v>0</v>
      </c>
      <c r="S343" s="1">
        <f>SUM(S$3:S$341)</f>
        <v>0</v>
      </c>
      <c r="T343" s="1">
        <f>SUM(T$3:T$341)</f>
        <v>0</v>
      </c>
      <c r="U343" s="1">
        <f>SUM(U$3:U$341)</f>
        <v>0</v>
      </c>
      <c r="V343" s="1">
        <f>SUM(V$3:V$341)</f>
        <v>0</v>
      </c>
      <c r="W343" s="1">
        <f>SUM(W$3:W$341)</f>
        <v>0</v>
      </c>
    </row>
    <row r="344" spans="1:23">
      <c r="A344" s="1" t="s">
        <v>285</v>
      </c>
      <c r="B344" s="1">
        <f>AVERAGE(B$3:B$341)</f>
        <v>0</v>
      </c>
      <c r="C344" s="1">
        <f>AVERAGE(C$3:C$341)</f>
        <v>0</v>
      </c>
      <c r="D344" s="1">
        <f>AVERAGE(D$3:D$341)</f>
        <v>0</v>
      </c>
      <c r="E344" s="1">
        <f>AVERAGE(E$3:E$341)</f>
        <v>0</v>
      </c>
      <c r="F344" s="1">
        <f>AVERAGE(F$3:F$341)</f>
        <v>0</v>
      </c>
      <c r="G344" s="1">
        <f>AVERAGE(G$3:G$341)</f>
        <v>0</v>
      </c>
      <c r="H344" s="1">
        <f>AVERAGE(H$3:H$341)</f>
        <v>0</v>
      </c>
      <c r="I344" s="1">
        <f>AVERAGE(I$3:I$341)</f>
        <v>0</v>
      </c>
      <c r="J344" s="1">
        <f>AVERAGE(J$3:J$341)</f>
        <v>0</v>
      </c>
      <c r="K344" s="1">
        <f>AVERAGE(K$3:K$341)</f>
        <v>0</v>
      </c>
      <c r="L344" s="1">
        <f>AVERAGE(L$3:L$341)</f>
        <v>0</v>
      </c>
      <c r="M344" s="1">
        <f>AVERAGE(M$3:M$341)</f>
        <v>0</v>
      </c>
      <c r="N344" s="1">
        <f>AVERAGE(N$3:N$341)</f>
        <v>0</v>
      </c>
      <c r="O344" s="1">
        <f>AVERAGE(O$3:O$341)</f>
        <v>0</v>
      </c>
      <c r="P344" s="1">
        <f>AVERAGE(P$3:P$341)</f>
        <v>0</v>
      </c>
      <c r="Q344" s="1">
        <f>AVERAGE(Q$3:Q$341)</f>
        <v>0</v>
      </c>
      <c r="R344" s="1">
        <f>AVERAGE(R$3:R$341)</f>
        <v>0</v>
      </c>
      <c r="S344" s="1">
        <f>AVERAGE(S$3:S$341)</f>
        <v>0</v>
      </c>
      <c r="T344" s="1">
        <f>AVERAGE(T$3:T$341)</f>
        <v>0</v>
      </c>
      <c r="U344" s="1">
        <f>AVERAGE(U$3:U$341)</f>
        <v>0</v>
      </c>
      <c r="V344" s="1">
        <f>AVERAGE(V$3:V$341)</f>
        <v>0</v>
      </c>
      <c r="W344" s="1">
        <f>AVERAGE(W$3:W$341)</f>
        <v>0</v>
      </c>
    </row>
    <row r="345" spans="1:23">
      <c r="A345" s="1" t="s">
        <v>286</v>
      </c>
      <c r="B345" s="1">
        <f>STDEV(B$3:B$341)</f>
        <v>0</v>
      </c>
      <c r="C345" s="1">
        <f>STDEV(C$3:C$341)</f>
        <v>0</v>
      </c>
      <c r="D345" s="1">
        <f>STDEV(D$3:D$341)</f>
        <v>0</v>
      </c>
      <c r="E345" s="1">
        <f>STDEV(E$3:E$341)</f>
        <v>0</v>
      </c>
      <c r="F345" s="1">
        <f>STDEV(F$3:F$341)</f>
        <v>0</v>
      </c>
      <c r="G345" s="1">
        <f>STDEV(G$3:G$341)</f>
        <v>0</v>
      </c>
      <c r="H345" s="1">
        <f>STDEV(H$3:H$341)</f>
        <v>0</v>
      </c>
      <c r="I345" s="1">
        <f>STDEV(I$3:I$341)</f>
        <v>0</v>
      </c>
      <c r="J345" s="1">
        <f>STDEV(J$3:J$341)</f>
        <v>0</v>
      </c>
      <c r="K345" s="1">
        <f>STDEV(K$3:K$341)</f>
        <v>0</v>
      </c>
      <c r="L345" s="1">
        <f>STDEV(L$3:L$341)</f>
        <v>0</v>
      </c>
      <c r="M345" s="1">
        <f>STDEV(M$3:M$341)</f>
        <v>0</v>
      </c>
      <c r="N345" s="1">
        <f>STDEV(N$3:N$341)</f>
        <v>0</v>
      </c>
      <c r="O345" s="1">
        <f>STDEV(O$3:O$341)</f>
        <v>0</v>
      </c>
      <c r="P345" s="1">
        <f>STDEV(P$3:P$341)</f>
        <v>0</v>
      </c>
      <c r="Q345" s="1">
        <f>STDEV(Q$3:Q$341)</f>
        <v>0</v>
      </c>
      <c r="R345" s="1">
        <f>STDEV(R$3:R$341)</f>
        <v>0</v>
      </c>
      <c r="S345" s="1">
        <f>STDEV(S$3:S$341)</f>
        <v>0</v>
      </c>
      <c r="T345" s="1">
        <f>STDEV(T$3:T$341)</f>
        <v>0</v>
      </c>
      <c r="U345" s="1">
        <f>STDEV(U$3:U$341)</f>
        <v>0</v>
      </c>
      <c r="V345" s="1">
        <f>STDEV(V$3:V$341)</f>
        <v>0</v>
      </c>
      <c r="W345" s="1">
        <f>STDEV(W$3:W$341)</f>
        <v>0</v>
      </c>
    </row>
    <row r="346" spans="1:23">
      <c r="A346" s="1" t="s">
        <v>287</v>
      </c>
      <c r="B346" s="1">
        <f>SUMPRODUCT(--(B$3:B$341-$R$3:$R$341)^2)^0.5</f>
        <v>0</v>
      </c>
      <c r="C346" s="1">
        <f>SUMPRODUCT(--(C$3:C$341-$S$3:$S$341)^2)^0.5</f>
        <v>0</v>
      </c>
      <c r="D346" s="1">
        <f>SUMPRODUCT(--(D$3:D$341-$R$3:$R$341)^2)^0.5</f>
        <v>0</v>
      </c>
      <c r="E346" s="1">
        <f>SUMPRODUCT(--(E$3:E$341-$S$3:$S$341)^2)^0.5</f>
        <v>0</v>
      </c>
      <c r="F346" s="1">
        <f>SUMPRODUCT(--(F$3:F$341-$R$3:$R$341)^2)^0.5</f>
        <v>0</v>
      </c>
      <c r="G346" s="1">
        <f>SUMPRODUCT(--(G$3:G$341-$S$3:$S$341)^2)^0.5</f>
        <v>0</v>
      </c>
      <c r="H346" s="1">
        <f>SUMPRODUCT(--(H$3:H$341-$R$3:$R$341)^2)^0.5</f>
        <v>0</v>
      </c>
      <c r="I346" s="1">
        <f>SUMPRODUCT(--(I$3:I$341-$S$3:$S$341)^2)^0.5</f>
        <v>0</v>
      </c>
      <c r="J346" s="1">
        <f>SUMPRODUCT(--(J$3:J$341-$R$3:$R$341)^2)^0.5</f>
        <v>0</v>
      </c>
      <c r="K346" s="1">
        <f>SUMPRODUCT(--(K$3:K$341-$S$3:$S$341)^2)^0.5</f>
        <v>0</v>
      </c>
      <c r="L346" s="1">
        <f>SUMPRODUCT(--(L$3:L$341-$R$3:$R$341)^2)^0.5</f>
        <v>0</v>
      </c>
      <c r="M346" s="1">
        <f>SUMPRODUCT(--(M$3:M$341-$S$3:$S$341)^2)^0.5</f>
        <v>0</v>
      </c>
      <c r="N346" s="1">
        <f>SUMPRODUCT(--(N$3:N$341-$R$3:$R$341)^2)^0.5</f>
        <v>0</v>
      </c>
      <c r="O346" s="1">
        <f>SUMPRODUCT(--(O$3:O$341-$S$3:$S$341)^2)^0.5</f>
        <v>0</v>
      </c>
      <c r="P346" s="1">
        <f>SUMPRODUCT(--(P$3:P$341-$R$3:$R$341)^2)^0.5</f>
        <v>0</v>
      </c>
      <c r="Q346" s="1">
        <f>SUMPRODUCT(--(Q$3:Q$341-$S$3:$S$341)^2)^0.5</f>
        <v>0</v>
      </c>
      <c r="R346" s="1"/>
      <c r="S346" s="1"/>
      <c r="T346" s="1"/>
      <c r="U346" s="1"/>
      <c r="V346" s="1"/>
      <c r="W346" s="1"/>
    </row>
    <row r="347" spans="1:23">
      <c r="A347" s="1" t="s">
        <v>288</v>
      </c>
      <c r="B347" s="1">
        <f>SUMPRODUCT(NOT(ISBLANK(B$3:B$341))*(B$3:B$341=$R$3:$R$341))</f>
        <v>0</v>
      </c>
      <c r="C347" s="1">
        <f>SUMPRODUCT(NOT(ISBLANK(C$3:C$341))*(C$3:C$341=$S$3:$S$341))</f>
        <v>0</v>
      </c>
      <c r="D347" s="1">
        <f>SUMPRODUCT(NOT(ISBLANK(D$3:D$341))*(D$3:D$341=$R$3:$R$341))</f>
        <v>0</v>
      </c>
      <c r="E347" s="1">
        <f>SUMPRODUCT(NOT(ISBLANK(E$3:E$341))*(E$3:E$341=$S$3:$S$341))</f>
        <v>0</v>
      </c>
      <c r="F347" s="1">
        <f>SUMPRODUCT(NOT(ISBLANK(F$3:F$341))*(F$3:F$341=$R$3:$R$341))</f>
        <v>0</v>
      </c>
      <c r="G347" s="1">
        <f>SUMPRODUCT(NOT(ISBLANK(G$3:G$341))*(G$3:G$341=$S$3:$S$341))</f>
        <v>0</v>
      </c>
      <c r="H347" s="1">
        <f>SUMPRODUCT(NOT(ISBLANK(H$3:H$341))*(H$3:H$341=$R$3:$R$341))</f>
        <v>0</v>
      </c>
      <c r="I347" s="1">
        <f>SUMPRODUCT(NOT(ISBLANK(I$3:I$341))*(I$3:I$341=$S$3:$S$341))</f>
        <v>0</v>
      </c>
      <c r="J347" s="1">
        <f>SUMPRODUCT(NOT(ISBLANK(J$3:J$341))*(J$3:J$341=$R$3:$R$341))</f>
        <v>0</v>
      </c>
      <c r="K347" s="1">
        <f>SUMPRODUCT(NOT(ISBLANK(K$3:K$341))*(K$3:K$341=$S$3:$S$341))</f>
        <v>0</v>
      </c>
      <c r="L347" s="1">
        <f>SUMPRODUCT(NOT(ISBLANK(L$3:L$341))*(L$3:L$341=$R$3:$R$341))</f>
        <v>0</v>
      </c>
      <c r="M347" s="1">
        <f>SUMPRODUCT(NOT(ISBLANK(M$3:M$341))*(M$3:M$341=$S$3:$S$341))</f>
        <v>0</v>
      </c>
      <c r="N347" s="1">
        <f>SUMPRODUCT(NOT(ISBLANK(N$3:N$341))*(N$3:N$341=$R$3:$R$341))</f>
        <v>0</v>
      </c>
      <c r="O347" s="1">
        <f>SUMPRODUCT(NOT(ISBLANK(O$3:O$341))*(O$3:O$341=$S$3:$S$341))</f>
        <v>0</v>
      </c>
      <c r="P347" s="1">
        <f>SUMPRODUCT(NOT(ISBLANK(P$3:P$341))*(P$3:P$341=$R$3:$R$341))</f>
        <v>0</v>
      </c>
      <c r="Q347" s="1">
        <f>SUMPRODUCT(NOT(ISBLANK(Q$3:Q$341))*(Q$3:Q$341=$S$3:$S$341))</f>
        <v>0</v>
      </c>
      <c r="R347" s="1"/>
      <c r="S347" s="1"/>
      <c r="T347" s="1"/>
      <c r="U347" s="1"/>
      <c r="V347" s="1"/>
      <c r="W347" s="1"/>
    </row>
    <row r="348" spans="1:23">
      <c r="A348" s="1" t="s">
        <v>289</v>
      </c>
      <c r="B348" s="1">
        <f>SUMPRODUCT(NOT(ISBLANK(B$3:B$341))*(B$3:B$341&lt;$T$3:$T$341))</f>
        <v>0</v>
      </c>
      <c r="C348" s="1">
        <f>SUMPRODUCT(NOT(ISBLANK(C$3:C$341))*(C$3:C$341&lt;$U$3:$U$341))</f>
        <v>0</v>
      </c>
      <c r="D348" s="1">
        <f>SUMPRODUCT(NOT(ISBLANK(D$3:D$341))*(D$3:D$341&lt;$T$3:$T$341))</f>
        <v>0</v>
      </c>
      <c r="E348" s="1">
        <f>SUMPRODUCT(NOT(ISBLANK(E$3:E$341))*(E$3:E$341&lt;$U$3:$U$341))</f>
        <v>0</v>
      </c>
      <c r="F348" s="1">
        <f>SUMPRODUCT(NOT(ISBLANK(F$3:F$341))*(F$3:F$341&lt;$T$3:$T$341))</f>
        <v>0</v>
      </c>
      <c r="G348" s="1">
        <f>SUMPRODUCT(NOT(ISBLANK(G$3:G$341))*(G$3:G$341&lt;$U$3:$U$341))</f>
        <v>0</v>
      </c>
      <c r="H348" s="1">
        <f>SUMPRODUCT(NOT(ISBLANK(H$3:H$341))*(H$3:H$341&lt;$T$3:$T$341))</f>
        <v>0</v>
      </c>
      <c r="I348" s="1">
        <f>SUMPRODUCT(NOT(ISBLANK(I$3:I$341))*(I$3:I$341&lt;$U$3:$U$341))</f>
        <v>0</v>
      </c>
      <c r="J348" s="1">
        <f>SUMPRODUCT(NOT(ISBLANK(J$3:J$341))*(J$3:J$341&lt;$T$3:$T$341))</f>
        <v>0</v>
      </c>
      <c r="K348" s="1">
        <f>SUMPRODUCT(NOT(ISBLANK(K$3:K$341))*(K$3:K$341&lt;$U$3:$U$341))</f>
        <v>0</v>
      </c>
      <c r="L348" s="1">
        <f>SUMPRODUCT(NOT(ISBLANK(L$3:L$341))*(L$3:L$341&lt;$T$3:$T$341))</f>
        <v>0</v>
      </c>
      <c r="M348" s="1">
        <f>SUMPRODUCT(NOT(ISBLANK(M$3:M$341))*(M$3:M$341&lt;$U$3:$U$341))</f>
        <v>0</v>
      </c>
      <c r="N348" s="1">
        <f>SUMPRODUCT(NOT(ISBLANK(N$3:N$341))*(N$3:N$341&lt;$T$3:$T$341))</f>
        <v>0</v>
      </c>
      <c r="O348" s="1">
        <f>SUMPRODUCT(NOT(ISBLANK(O$3:O$341))*(O$3:O$341&lt;$U$3:$U$341))</f>
        <v>0</v>
      </c>
      <c r="P348" s="1">
        <f>SUMPRODUCT(NOT(ISBLANK(P$3:P$341))*(P$3:P$341&lt;$T$3:$T$341))</f>
        <v>0</v>
      </c>
      <c r="Q348" s="1">
        <f>SUMPRODUCT(NOT(ISBLANK(Q$3:Q$341))*(Q$3:Q$341&lt;$U$3:$U$341))</f>
        <v>0</v>
      </c>
      <c r="R348" s="1"/>
      <c r="S348" s="1"/>
      <c r="T348" s="1"/>
      <c r="U348" s="1"/>
      <c r="V348" s="1"/>
      <c r="W348" s="1"/>
    </row>
    <row r="349" spans="1:23">
      <c r="A349" s="1" t="s">
        <v>290</v>
      </c>
      <c r="B349" s="1">
        <f>SUMPRODUCT((NOT(ISBLANK(B$3:B$341))*(B$3:B$341&gt;$T$3:$T$341))+ISBLANK(B$3:B$341))</f>
        <v>0</v>
      </c>
      <c r="C349" s="1">
        <f>SUMPRODUCT((NOT(ISBLANK(C$3:C$341))*(C$3:C$341&gt;$U$3:$U$341))+ISBLANK(C$3:C$341))</f>
        <v>0</v>
      </c>
      <c r="D349" s="1">
        <f>SUMPRODUCT((NOT(ISBLANK(D$3:D$341))*(D$3:D$341&gt;$T$3:$T$341))+ISBLANK(D$3:D$341))</f>
        <v>0</v>
      </c>
      <c r="E349" s="1">
        <f>SUMPRODUCT((NOT(ISBLANK(E$3:E$341))*(E$3:E$341&gt;$U$3:$U$341))+ISBLANK(E$3:E$341))</f>
        <v>0</v>
      </c>
      <c r="F349" s="1">
        <f>SUMPRODUCT((NOT(ISBLANK(F$3:F$341))*(F$3:F$341&gt;$T$3:$T$341))+ISBLANK(F$3:F$341))</f>
        <v>0</v>
      </c>
      <c r="G349" s="1">
        <f>SUMPRODUCT((NOT(ISBLANK(G$3:G$341))*(G$3:G$341&gt;$U$3:$U$341))+ISBLANK(G$3:G$341))</f>
        <v>0</v>
      </c>
      <c r="H349" s="1">
        <f>SUMPRODUCT((NOT(ISBLANK(H$3:H$341))*(H$3:H$341&gt;$T$3:$T$341))+ISBLANK(H$3:H$341))</f>
        <v>0</v>
      </c>
      <c r="I349" s="1">
        <f>SUMPRODUCT((NOT(ISBLANK(I$3:I$341))*(I$3:I$341&gt;$U$3:$U$341))+ISBLANK(I$3:I$341))</f>
        <v>0</v>
      </c>
      <c r="J349" s="1">
        <f>SUMPRODUCT((NOT(ISBLANK(J$3:J$341))*(J$3:J$341&gt;$T$3:$T$341))+ISBLANK(J$3:J$341))</f>
        <v>0</v>
      </c>
      <c r="K349" s="1">
        <f>SUMPRODUCT((NOT(ISBLANK(K$3:K$341))*(K$3:K$341&gt;$U$3:$U$341))+ISBLANK(K$3:K$341))</f>
        <v>0</v>
      </c>
      <c r="L349" s="1">
        <f>SUMPRODUCT((NOT(ISBLANK(L$3:L$341))*(L$3:L$341&gt;$T$3:$T$341))+ISBLANK(L$3:L$341))</f>
        <v>0</v>
      </c>
      <c r="M349" s="1">
        <f>SUMPRODUCT((NOT(ISBLANK(M$3:M$341))*(M$3:M$341&gt;$U$3:$U$341))+ISBLANK(M$3:M$341))</f>
        <v>0</v>
      </c>
      <c r="N349" s="1">
        <f>SUMPRODUCT((NOT(ISBLANK(N$3:N$341))*(N$3:N$341&gt;$T$3:$T$341))+ISBLANK(N$3:N$341))</f>
        <v>0</v>
      </c>
      <c r="O349" s="1">
        <f>SUMPRODUCT((NOT(ISBLANK(O$3:O$341))*(O$3:O$341&gt;$U$3:$U$341))+ISBLANK(O$3:O$341))</f>
        <v>0</v>
      </c>
      <c r="P349" s="1">
        <f>SUMPRODUCT((NOT(ISBLANK(P$3:P$341))*(P$3:P$341&gt;$T$3:$T$341))+ISBLANK(P$3:P$341))</f>
        <v>0</v>
      </c>
      <c r="Q349" s="1">
        <f>SUMPRODUCT((NOT(ISBLANK(Q$3:Q$341))*(Q$3:Q$341&gt;$U$3:$U$341))+ISBLANK(Q$3:Q$341))</f>
        <v>0</v>
      </c>
      <c r="R349" s="1"/>
      <c r="S349" s="1"/>
      <c r="T349" s="1"/>
      <c r="U349" s="1"/>
      <c r="V349" s="1"/>
      <c r="W349" s="1"/>
    </row>
    <row r="350" spans="1:23">
      <c r="A350" s="1" t="s">
        <v>291</v>
      </c>
      <c r="B350" s="1">
        <f>SUMPRODUCT((NOT(ISBLANK(B$3:B$341))*(B$3:B$341=$V$3:$V$341))+ISBLANK(B$3:B$341))</f>
        <v>0</v>
      </c>
      <c r="C350" s="1">
        <f>SUMPRODUCT((NOT(ISBLANK(C$3:C$341))*(C$3:C$341=$W$3:$W$341))+ISBLANK(C$3:C$341))</f>
        <v>0</v>
      </c>
      <c r="D350" s="1">
        <f>SUMPRODUCT((NOT(ISBLANK(D$3:D$341))*(D$3:D$341=$V$3:$V$341))+ISBLANK(D$3:D$341))</f>
        <v>0</v>
      </c>
      <c r="E350" s="1">
        <f>SUMPRODUCT((NOT(ISBLANK(E$3:E$341))*(E$3:E$341=$W$3:$W$341))+ISBLANK(E$3:E$341))</f>
        <v>0</v>
      </c>
      <c r="F350" s="1">
        <f>SUMPRODUCT((NOT(ISBLANK(F$3:F$341))*(F$3:F$341=$V$3:$V$341))+ISBLANK(F$3:F$341))</f>
        <v>0</v>
      </c>
      <c r="G350" s="1">
        <f>SUMPRODUCT((NOT(ISBLANK(G$3:G$341))*(G$3:G$341=$W$3:$W$341))+ISBLANK(G$3:G$341))</f>
        <v>0</v>
      </c>
      <c r="H350" s="1">
        <f>SUMPRODUCT((NOT(ISBLANK(H$3:H$341))*(H$3:H$341=$V$3:$V$341))+ISBLANK(H$3:H$341))</f>
        <v>0</v>
      </c>
      <c r="I350" s="1">
        <f>SUMPRODUCT((NOT(ISBLANK(I$3:I$341))*(I$3:I$341=$W$3:$W$341))+ISBLANK(I$3:I$341))</f>
        <v>0</v>
      </c>
      <c r="J350" s="1">
        <f>SUMPRODUCT((NOT(ISBLANK(J$3:J$341))*(J$3:J$341=$V$3:$V$341))+ISBLANK(J$3:J$341))</f>
        <v>0</v>
      </c>
      <c r="K350" s="1">
        <f>SUMPRODUCT((NOT(ISBLANK(K$3:K$341))*(K$3:K$341=$W$3:$W$341))+ISBLANK(K$3:K$341))</f>
        <v>0</v>
      </c>
      <c r="L350" s="1">
        <f>SUMPRODUCT((NOT(ISBLANK(L$3:L$341))*(L$3:L$341=$V$3:$V$341))+ISBLANK(L$3:L$341))</f>
        <v>0</v>
      </c>
      <c r="M350" s="1">
        <f>SUMPRODUCT((NOT(ISBLANK(M$3:M$341))*(M$3:M$341=$W$3:$W$341))+ISBLANK(M$3:M$341))</f>
        <v>0</v>
      </c>
      <c r="N350" s="1">
        <f>SUMPRODUCT((NOT(ISBLANK(N$3:N$341))*(N$3:N$341=$V$3:$V$341))+ISBLANK(N$3:N$341))</f>
        <v>0</v>
      </c>
      <c r="O350" s="1">
        <f>SUMPRODUCT((NOT(ISBLANK(O$3:O$341))*(O$3:O$341=$W$3:$W$341))+ISBLANK(O$3:O$341))</f>
        <v>0</v>
      </c>
      <c r="P350" s="1">
        <f>SUMPRODUCT((NOT(ISBLANK(P$3:P$341))*(P$3:P$341=$V$3:$V$341))+ISBLANK(P$3:P$341))</f>
        <v>0</v>
      </c>
      <c r="Q350" s="1">
        <f>SUMPRODUCT((NOT(ISBLANK(Q$3:Q$341))*(Q$3:Q$341=$W$3:$W$341))+ISBLANK(Q$3:Q$341))</f>
        <v>0</v>
      </c>
      <c r="R350" s="1"/>
      <c r="S350" s="1"/>
      <c r="T350" s="1"/>
      <c r="U350" s="1"/>
      <c r="V350" s="1"/>
      <c r="W350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1.42578125" customWidth="1"/>
    <col min="2" max="3" width="13" customWidth="1"/>
    <col min="4" max="5" width="20" customWidth="1"/>
    <col min="6" max="7" width="17.140625" customWidth="1"/>
    <col min="8" max="9" width="13" customWidth="1"/>
    <col min="10" max="11" width="19.85546875" customWidth="1"/>
    <col min="12" max="13" width="17.140625" customWidth="1"/>
    <col min="14" max="15" width="18" customWidth="1"/>
    <col min="16" max="17" width="15.140625" customWidth="1"/>
    <col min="18" max="23" width="11.42578125" customWidth="1"/>
  </cols>
  <sheetData>
    <row r="1" spans="1:23">
      <c r="A1" s="1"/>
      <c r="B1" s="1" t="s">
        <v>292</v>
      </c>
      <c r="C1" s="2"/>
      <c r="D1" s="1" t="s">
        <v>295</v>
      </c>
      <c r="E1" s="2"/>
      <c r="F1" s="1" t="s">
        <v>296</v>
      </c>
      <c r="G1" s="2"/>
      <c r="H1" s="1" t="s">
        <v>297</v>
      </c>
      <c r="I1" s="2"/>
      <c r="J1" s="1" t="s">
        <v>298</v>
      </c>
      <c r="K1" s="2"/>
      <c r="L1" s="1" t="s">
        <v>299</v>
      </c>
      <c r="M1" s="2"/>
      <c r="N1" s="1" t="s">
        <v>300</v>
      </c>
      <c r="O1" s="2"/>
      <c r="P1" s="1" t="s">
        <v>301</v>
      </c>
      <c r="Q1" s="2"/>
      <c r="R1" s="1" t="s">
        <v>302</v>
      </c>
      <c r="S1" s="1"/>
      <c r="T1" s="1" t="s">
        <v>303</v>
      </c>
      <c r="U1" s="1"/>
      <c r="V1" s="1" t="s">
        <v>304</v>
      </c>
      <c r="W1" s="1"/>
    </row>
    <row r="2" spans="1:23">
      <c r="A2" s="1"/>
      <c r="B2" s="1" t="s">
        <v>293</v>
      </c>
      <c r="C2" s="2" t="s">
        <v>294</v>
      </c>
      <c r="D2" s="1" t="s">
        <v>293</v>
      </c>
      <c r="E2" s="2" t="s">
        <v>294</v>
      </c>
      <c r="F2" s="1" t="s">
        <v>293</v>
      </c>
      <c r="G2" s="2" t="s">
        <v>294</v>
      </c>
      <c r="H2" s="1" t="s">
        <v>293</v>
      </c>
      <c r="I2" s="2" t="s">
        <v>294</v>
      </c>
      <c r="J2" s="1" t="s">
        <v>293</v>
      </c>
      <c r="K2" s="2" t="s">
        <v>294</v>
      </c>
      <c r="L2" s="1" t="s">
        <v>293</v>
      </c>
      <c r="M2" s="2" t="s">
        <v>294</v>
      </c>
      <c r="N2" s="1" t="s">
        <v>293</v>
      </c>
      <c r="O2" s="2" t="s">
        <v>294</v>
      </c>
      <c r="P2" s="1" t="s">
        <v>293</v>
      </c>
      <c r="Q2" s="2" t="s">
        <v>294</v>
      </c>
      <c r="R2" s="1" t="s">
        <v>293</v>
      </c>
      <c r="S2" s="1" t="s">
        <v>294</v>
      </c>
      <c r="T2" s="1" t="s">
        <v>293</v>
      </c>
      <c r="U2" s="1" t="s">
        <v>294</v>
      </c>
      <c r="V2" s="1" t="s">
        <v>293</v>
      </c>
      <c r="W2" s="1" t="s">
        <v>294</v>
      </c>
    </row>
    <row r="3" spans="1:23">
      <c r="A3" s="1" t="s">
        <v>306</v>
      </c>
      <c r="B3" s="4">
        <f>AVERAGE(Instances!B3:Instances!B73)</f>
        <v>0</v>
      </c>
      <c r="C3" s="4">
        <f>SUM(Instances!C3:Instances!C73)</f>
        <v>0</v>
      </c>
      <c r="D3" s="1"/>
      <c r="E3" s="2"/>
      <c r="F3" s="1"/>
      <c r="G3" s="2"/>
      <c r="H3" s="3">
        <f>AVERAGE(Instances!H3:Instances!H73)</f>
        <v>0</v>
      </c>
      <c r="I3" s="3">
        <f>SUM(Instances!I3:Instances!I73)</f>
        <v>0</v>
      </c>
      <c r="J3" s="1"/>
      <c r="K3" s="2"/>
      <c r="L3" s="1"/>
      <c r="M3" s="2"/>
      <c r="N3" s="1"/>
      <c r="O3" s="2"/>
      <c r="P3" s="1"/>
      <c r="Q3" s="2"/>
      <c r="R3" s="1">
        <f>MIN($B3,$D3,$F3,$H3,$J3,$L3,$N3,$P3)</f>
        <v>0</v>
      </c>
      <c r="S3" s="1">
        <f>MIN($C3,$E3,$G3,$I3,$K3,$M3,$O3,$Q3)</f>
        <v>0</v>
      </c>
      <c r="T3" s="1">
        <f>MEDIAN($B3,$D3,$F3,$H3,$J3,$L3,$N3,$P3)</f>
        <v>0</v>
      </c>
      <c r="U3" s="1">
        <f>MEDIAN($C3,$E3,$G3,$I3,$K3,$M3,$O3,$Q3)</f>
        <v>0</v>
      </c>
      <c r="V3" s="1">
        <f>MAX($B3,$D3,$F3,$H3,$J3,$L3,$N3,$P3)</f>
        <v>0</v>
      </c>
      <c r="W3" s="1">
        <f>MAX($C3,$E3,$G3,$I3,$K3,$M3,$O3,$Q3)</f>
        <v>0</v>
      </c>
    </row>
    <row r="4" spans="1:23">
      <c r="A4" s="1" t="s">
        <v>306</v>
      </c>
      <c r="B4" s="1"/>
      <c r="C4" s="1"/>
      <c r="D4" s="1">
        <f>AVERAGE(Instances!D74:Instances!D341)</f>
        <v>0</v>
      </c>
      <c r="E4" s="1">
        <f>SUM(Instances!E74:Instances!E341)</f>
        <v>0</v>
      </c>
      <c r="F4" s="4">
        <f>AVERAGE(Instances!F74:Instances!F341)</f>
        <v>0</v>
      </c>
      <c r="G4" s="4">
        <f>SUM(Instances!G74:Instances!G341)</f>
        <v>0</v>
      </c>
      <c r="H4" s="1"/>
      <c r="I4" s="1"/>
      <c r="J4" s="1">
        <f>AVERAGE(Instances!J74:Instances!J341)</f>
        <v>0</v>
      </c>
      <c r="K4" s="3">
        <f>SUM(Instances!K74:Instances!K341)</f>
        <v>0</v>
      </c>
      <c r="L4" s="1">
        <f>AVERAGE(Instances!L74:Instances!L341)</f>
        <v>0</v>
      </c>
      <c r="M4" s="1">
        <f>SUM(Instances!M74:Instances!M341)</f>
        <v>0</v>
      </c>
      <c r="N4" s="1">
        <f>AVERAGE(Instances!N74:Instances!N341)</f>
        <v>0</v>
      </c>
      <c r="O4" s="1">
        <f>SUM(Instances!O74:Instances!O341)</f>
        <v>0</v>
      </c>
      <c r="P4" s="3">
        <f>AVERAGE(Instances!P74:Instances!P341)</f>
        <v>0</v>
      </c>
      <c r="Q4" s="1">
        <f>SUM(Instances!Q74:Instances!Q341)</f>
        <v>0</v>
      </c>
      <c r="R4" s="1">
        <f>MIN($B4,$D4,$F4,$H4,$J4,$L4,$N4,$P4)</f>
        <v>0</v>
      </c>
      <c r="S4" s="1">
        <f>MIN($C4,$E4,$G4,$I4,$K4,$M4,$O4,$Q4)</f>
        <v>0</v>
      </c>
      <c r="T4" s="1">
        <f>MEDIAN($B4,$D4,$F4,$H4,$J4,$L4,$N4,$P4)</f>
        <v>0</v>
      </c>
      <c r="U4" s="1">
        <f>MEDIAN($C4,$E4,$G4,$I4,$K4,$M4,$O4,$Q4)</f>
        <v>0</v>
      </c>
      <c r="V4" s="1">
        <f>MAX($B4,$D4,$F4,$H4,$J4,$L4,$N4,$P4)</f>
        <v>0</v>
      </c>
      <c r="W4" s="1">
        <f>MAX($C4,$E4,$G4,$I4,$K4,$M4,$O4,$Q4)</f>
        <v>0</v>
      </c>
    </row>
    <row r="5" spans="1:2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>
      <c r="A6" s="1" t="s">
        <v>284</v>
      </c>
      <c r="B6" s="1">
        <f>SUM(B$3:B$4)</f>
        <v>0</v>
      </c>
      <c r="C6" s="1">
        <f>SUM(C$3:C$4)</f>
        <v>0</v>
      </c>
      <c r="D6" s="1">
        <f>SUM(D$3:D$4)</f>
        <v>0</v>
      </c>
      <c r="E6" s="1">
        <f>SUM(E$3:E$4)</f>
        <v>0</v>
      </c>
      <c r="F6" s="4">
        <f>SUM(F$3:F$4)</f>
        <v>0</v>
      </c>
      <c r="G6" s="4">
        <f>SUM(G$3:G$4)</f>
        <v>0</v>
      </c>
      <c r="H6" s="3">
        <f>SUM(H$3:H$4)</f>
        <v>0</v>
      </c>
      <c r="I6" s="3">
        <f>SUM(I$3:I$4)</f>
        <v>0</v>
      </c>
      <c r="J6" s="1">
        <f>SUM(J$3:J$4)</f>
        <v>0</v>
      </c>
      <c r="K6" s="1">
        <f>SUM(K$3:K$4)</f>
        <v>0</v>
      </c>
      <c r="L6" s="1">
        <f>SUM(L$3:L$4)</f>
        <v>0</v>
      </c>
      <c r="M6" s="1">
        <f>SUM(M$3:M$4)</f>
        <v>0</v>
      </c>
      <c r="N6" s="1">
        <f>SUM(N$3:N$4)</f>
        <v>0</v>
      </c>
      <c r="O6" s="1">
        <f>SUM(O$3:O$4)</f>
        <v>0</v>
      </c>
      <c r="P6" s="1">
        <f>SUM(P$3:P$4)</f>
        <v>0</v>
      </c>
      <c r="Q6" s="1">
        <f>SUM(Q$3:Q$4)</f>
        <v>0</v>
      </c>
      <c r="R6" s="1">
        <f>SUM(R$3:R$4)</f>
        <v>0</v>
      </c>
      <c r="S6" s="1">
        <f>SUM(S$3:S$4)</f>
        <v>0</v>
      </c>
      <c r="T6" s="1">
        <f>SUM(T$3:T$4)</f>
        <v>0</v>
      </c>
      <c r="U6" s="1">
        <f>SUM(U$3:U$4)</f>
        <v>0</v>
      </c>
      <c r="V6" s="1">
        <f>SUM(V$3:V$4)</f>
        <v>0</v>
      </c>
      <c r="W6" s="1">
        <f>SUM(W$3:W$4)</f>
        <v>0</v>
      </c>
    </row>
    <row r="7" spans="1:23">
      <c r="A7" s="1" t="s">
        <v>285</v>
      </c>
      <c r="B7" s="1">
        <f>AVERAGE(B$3:B$4)</f>
        <v>0</v>
      </c>
      <c r="C7" s="1">
        <f>AVERAGE(C$3:C$4)</f>
        <v>0</v>
      </c>
      <c r="D7" s="1">
        <f>AVERAGE(D$3:D$4)</f>
        <v>0</v>
      </c>
      <c r="E7" s="1">
        <f>AVERAGE(E$3:E$4)</f>
        <v>0</v>
      </c>
      <c r="F7" s="4">
        <f>AVERAGE(F$3:F$4)</f>
        <v>0</v>
      </c>
      <c r="G7" s="4">
        <f>AVERAGE(G$3:G$4)</f>
        <v>0</v>
      </c>
      <c r="H7" s="3">
        <f>AVERAGE(H$3:H$4)</f>
        <v>0</v>
      </c>
      <c r="I7" s="3">
        <f>AVERAGE(I$3:I$4)</f>
        <v>0</v>
      </c>
      <c r="J7" s="1">
        <f>AVERAGE(J$3:J$4)</f>
        <v>0</v>
      </c>
      <c r="K7" s="1">
        <f>AVERAGE(K$3:K$4)</f>
        <v>0</v>
      </c>
      <c r="L7" s="1">
        <f>AVERAGE(L$3:L$4)</f>
        <v>0</v>
      </c>
      <c r="M7" s="1">
        <f>AVERAGE(M$3:M$4)</f>
        <v>0</v>
      </c>
      <c r="N7" s="1">
        <f>AVERAGE(N$3:N$4)</f>
        <v>0</v>
      </c>
      <c r="O7" s="1">
        <f>AVERAGE(O$3:O$4)</f>
        <v>0</v>
      </c>
      <c r="P7" s="1">
        <f>AVERAGE(P$3:P$4)</f>
        <v>0</v>
      </c>
      <c r="Q7" s="1">
        <f>AVERAGE(Q$3:Q$4)</f>
        <v>0</v>
      </c>
      <c r="R7" s="1">
        <f>AVERAGE(R$3:R$4)</f>
        <v>0</v>
      </c>
      <c r="S7" s="1">
        <f>AVERAGE(S$3:S$4)</f>
        <v>0</v>
      </c>
      <c r="T7" s="1">
        <f>AVERAGE(T$3:T$4)</f>
        <v>0</v>
      </c>
      <c r="U7" s="1">
        <f>AVERAGE(U$3:U$4)</f>
        <v>0</v>
      </c>
      <c r="V7" s="1">
        <f>AVERAGE(V$3:V$4)</f>
        <v>0</v>
      </c>
      <c r="W7" s="1">
        <f>AVERAGE(W$3:W$4)</f>
        <v>0</v>
      </c>
    </row>
    <row r="8" spans="1:23">
      <c r="A8" s="1" t="s">
        <v>286</v>
      </c>
      <c r="B8" s="1">
        <f>STDEV(B$3:B$4)</f>
        <v>0</v>
      </c>
      <c r="C8" s="1">
        <f>STDEV(C$3:C$4)</f>
        <v>0</v>
      </c>
      <c r="D8" s="1">
        <f>STDEV(D$3:D$4)</f>
        <v>0</v>
      </c>
      <c r="E8" s="1">
        <f>STDEV(E$3:E$4)</f>
        <v>0</v>
      </c>
      <c r="F8" s="1">
        <f>STDEV(F$3:F$4)</f>
        <v>0</v>
      </c>
      <c r="G8" s="1">
        <f>STDEV(G$3:G$4)</f>
        <v>0</v>
      </c>
      <c r="H8" s="1">
        <f>STDEV(H$3:H$4)</f>
        <v>0</v>
      </c>
      <c r="I8" s="1">
        <f>STDEV(I$3:I$4)</f>
        <v>0</v>
      </c>
      <c r="J8" s="1">
        <f>STDEV(J$3:J$4)</f>
        <v>0</v>
      </c>
      <c r="K8" s="1">
        <f>STDEV(K$3:K$4)</f>
        <v>0</v>
      </c>
      <c r="L8" s="1">
        <f>STDEV(L$3:L$4)</f>
        <v>0</v>
      </c>
      <c r="M8" s="1">
        <f>STDEV(M$3:M$4)</f>
        <v>0</v>
      </c>
      <c r="N8" s="1">
        <f>STDEV(N$3:N$4)</f>
        <v>0</v>
      </c>
      <c r="O8" s="1">
        <f>STDEV(O$3:O$4)</f>
        <v>0</v>
      </c>
      <c r="P8" s="1">
        <f>STDEV(P$3:P$4)</f>
        <v>0</v>
      </c>
      <c r="Q8" s="1">
        <f>STDEV(Q$3:Q$4)</f>
        <v>0</v>
      </c>
      <c r="R8" s="1">
        <f>STDEV(R$3:R$4)</f>
        <v>0</v>
      </c>
      <c r="S8" s="1">
        <f>STDEV(S$3:S$4)</f>
        <v>0</v>
      </c>
      <c r="T8" s="1">
        <f>STDEV(T$3:T$4)</f>
        <v>0</v>
      </c>
      <c r="U8" s="1">
        <f>STDEV(U$3:U$4)</f>
        <v>0</v>
      </c>
      <c r="V8" s="1">
        <f>STDEV(V$3:V$4)</f>
        <v>0</v>
      </c>
      <c r="W8" s="1">
        <f>STDEV(W$3:W$4)</f>
        <v>0</v>
      </c>
    </row>
    <row r="9" spans="1:23">
      <c r="A9" s="1" t="s">
        <v>287</v>
      </c>
      <c r="B9" s="1">
        <f>SUMPRODUCT(--(B$3:B$4-$R$3:$R$4)^2)^0.5</f>
        <v>0</v>
      </c>
      <c r="C9" s="1">
        <f>SUMPRODUCT(--(C$3:C$4-$S$3:$S$4)^2)^0.5</f>
        <v>0</v>
      </c>
      <c r="D9" s="1">
        <f>SUMPRODUCT(--(D$3:D$4-$R$3:$R$4)^2)^0.5</f>
        <v>0</v>
      </c>
      <c r="E9" s="1">
        <f>SUMPRODUCT(--(E$3:E$4-$S$3:$S$4)^2)^0.5</f>
        <v>0</v>
      </c>
      <c r="F9" s="4">
        <f>SUMPRODUCT(--(F$3:F$4-$R$3:$R$4)^2)^0.5</f>
        <v>0</v>
      </c>
      <c r="G9" s="4">
        <f>SUMPRODUCT(--(G$3:G$4-$S$3:$S$4)^2)^0.5</f>
        <v>0</v>
      </c>
      <c r="H9" s="3">
        <f>SUMPRODUCT(--(H$3:H$4-$R$3:$R$4)^2)^0.5</f>
        <v>0</v>
      </c>
      <c r="I9" s="3">
        <f>SUMPRODUCT(--(I$3:I$4-$S$3:$S$4)^2)^0.5</f>
        <v>0</v>
      </c>
      <c r="J9" s="1">
        <f>SUMPRODUCT(--(J$3:J$4-$R$3:$R$4)^2)^0.5</f>
        <v>0</v>
      </c>
      <c r="K9" s="3">
        <f>SUMPRODUCT(--(K$3:K$4-$S$3:$S$4)^2)^0.5</f>
        <v>0</v>
      </c>
      <c r="L9" s="1">
        <f>SUMPRODUCT(--(L$3:L$4-$R$3:$R$4)^2)^0.5</f>
        <v>0</v>
      </c>
      <c r="M9" s="1">
        <f>SUMPRODUCT(--(M$3:M$4-$S$3:$S$4)^2)^0.5</f>
        <v>0</v>
      </c>
      <c r="N9" s="1">
        <f>SUMPRODUCT(--(N$3:N$4-$R$3:$R$4)^2)^0.5</f>
        <v>0</v>
      </c>
      <c r="O9" s="1">
        <f>SUMPRODUCT(--(O$3:O$4-$S$3:$S$4)^2)^0.5</f>
        <v>0</v>
      </c>
      <c r="P9" s="3">
        <f>SUMPRODUCT(--(P$3:P$4-$R$3:$R$4)^2)^0.5</f>
        <v>0</v>
      </c>
      <c r="Q9" s="1">
        <f>SUMPRODUCT(--(Q$3:Q$4-$S$3:$S$4)^2)^0.5</f>
        <v>0</v>
      </c>
      <c r="R9" s="1"/>
      <c r="S9" s="1"/>
      <c r="T9" s="1"/>
      <c r="U9" s="1"/>
      <c r="V9" s="1"/>
      <c r="W9" s="1"/>
    </row>
    <row r="10" spans="1:23">
      <c r="A10" s="1" t="s">
        <v>288</v>
      </c>
      <c r="B10" s="1">
        <f>SUMPRODUCT(NOT(ISBLANK(B$3:B$4))*(B$3:B$4=$R$3:$R$4))</f>
        <v>0</v>
      </c>
      <c r="C10" s="1">
        <f>SUMPRODUCT(NOT(ISBLANK(C$3:C$4))*(C$3:C$4=$S$3:$S$4))</f>
        <v>0</v>
      </c>
      <c r="D10" s="1">
        <f>SUMPRODUCT(NOT(ISBLANK(D$3:D$4))*(D$3:D$4=$R$3:$R$4))</f>
        <v>0</v>
      </c>
      <c r="E10" s="1">
        <f>SUMPRODUCT(NOT(ISBLANK(E$3:E$4))*(E$3:E$4=$S$3:$S$4))</f>
        <v>0</v>
      </c>
      <c r="F10" s="1">
        <f>SUMPRODUCT(NOT(ISBLANK(F$3:F$4))*(F$3:F$4=$R$3:$R$4))</f>
        <v>0</v>
      </c>
      <c r="G10" s="1">
        <f>SUMPRODUCT(NOT(ISBLANK(G$3:G$4))*(G$3:G$4=$S$3:$S$4))</f>
        <v>0</v>
      </c>
      <c r="H10" s="1">
        <f>SUMPRODUCT(NOT(ISBLANK(H$3:H$4))*(H$3:H$4=$R$3:$R$4))</f>
        <v>0</v>
      </c>
      <c r="I10" s="3">
        <f>SUMPRODUCT(NOT(ISBLANK(I$3:I$4))*(I$3:I$4=$S$3:$S$4))</f>
        <v>0</v>
      </c>
      <c r="J10" s="1">
        <f>SUMPRODUCT(NOT(ISBLANK(J$3:J$4))*(J$3:J$4=$R$3:$R$4))</f>
        <v>0</v>
      </c>
      <c r="K10" s="3">
        <f>SUMPRODUCT(NOT(ISBLANK(K$3:K$4))*(K$3:K$4=$S$3:$S$4))</f>
        <v>0</v>
      </c>
      <c r="L10" s="1">
        <f>SUMPRODUCT(NOT(ISBLANK(L$3:L$4))*(L$3:L$4=$R$3:$R$4))</f>
        <v>0</v>
      </c>
      <c r="M10" s="1">
        <f>SUMPRODUCT(NOT(ISBLANK(M$3:M$4))*(M$3:M$4=$S$3:$S$4))</f>
        <v>0</v>
      </c>
      <c r="N10" s="1">
        <f>SUMPRODUCT(NOT(ISBLANK(N$3:N$4))*(N$3:N$4=$R$3:$R$4))</f>
        <v>0</v>
      </c>
      <c r="O10" s="1">
        <f>SUMPRODUCT(NOT(ISBLANK(O$3:O$4))*(O$3:O$4=$S$3:$S$4))</f>
        <v>0</v>
      </c>
      <c r="P10" s="1">
        <f>SUMPRODUCT(NOT(ISBLANK(P$3:P$4))*(P$3:P$4=$R$3:$R$4))</f>
        <v>0</v>
      </c>
      <c r="Q10" s="1">
        <f>SUMPRODUCT(NOT(ISBLANK(Q$3:Q$4))*(Q$3:Q$4=$S$3:$S$4))</f>
        <v>0</v>
      </c>
      <c r="R10" s="1"/>
      <c r="S10" s="1"/>
      <c r="T10" s="1"/>
      <c r="U10" s="1"/>
      <c r="V10" s="1"/>
      <c r="W10" s="1"/>
    </row>
    <row r="11" spans="1:23">
      <c r="A11" s="1" t="s">
        <v>289</v>
      </c>
      <c r="B11" s="1">
        <f>SUMPRODUCT(NOT(ISBLANK(B$3:B$4))*(B$3:B$4&lt;$T$3:$T$4))</f>
        <v>0</v>
      </c>
      <c r="C11" s="1">
        <f>SUMPRODUCT(NOT(ISBLANK(C$3:C$4))*(C$3:C$4&lt;$U$3:$U$4))</f>
        <v>0</v>
      </c>
      <c r="D11" s="1">
        <f>SUMPRODUCT(NOT(ISBLANK(D$3:D$4))*(D$3:D$4&lt;$T$3:$T$4))</f>
        <v>0</v>
      </c>
      <c r="E11" s="1">
        <f>SUMPRODUCT(NOT(ISBLANK(E$3:E$4))*(E$3:E$4&lt;$U$3:$U$4))</f>
        <v>0</v>
      </c>
      <c r="F11" s="1">
        <f>SUMPRODUCT(NOT(ISBLANK(F$3:F$4))*(F$3:F$4&lt;$T$3:$T$4))</f>
        <v>0</v>
      </c>
      <c r="G11" s="1">
        <f>SUMPRODUCT(NOT(ISBLANK(G$3:G$4))*(G$3:G$4&lt;$U$3:$U$4))</f>
        <v>0</v>
      </c>
      <c r="H11" s="1">
        <f>SUMPRODUCT(NOT(ISBLANK(H$3:H$4))*(H$3:H$4&lt;$T$3:$T$4))</f>
        <v>0</v>
      </c>
      <c r="I11" s="3">
        <f>SUMPRODUCT(NOT(ISBLANK(I$3:I$4))*(I$3:I$4&lt;$U$3:$U$4))</f>
        <v>0</v>
      </c>
      <c r="J11" s="1">
        <f>SUMPRODUCT(NOT(ISBLANK(J$3:J$4))*(J$3:J$4&lt;$T$3:$T$4))</f>
        <v>0</v>
      </c>
      <c r="K11" s="3">
        <f>SUMPRODUCT(NOT(ISBLANK(K$3:K$4))*(K$3:K$4&lt;$U$3:$U$4))</f>
        <v>0</v>
      </c>
      <c r="L11" s="1">
        <f>SUMPRODUCT(NOT(ISBLANK(L$3:L$4))*(L$3:L$4&lt;$T$3:$T$4))</f>
        <v>0</v>
      </c>
      <c r="M11" s="3">
        <f>SUMPRODUCT(NOT(ISBLANK(M$3:M$4))*(M$3:M$4&lt;$U$3:$U$4))</f>
        <v>0</v>
      </c>
      <c r="N11" s="1">
        <f>SUMPRODUCT(NOT(ISBLANK(N$3:N$4))*(N$3:N$4&lt;$T$3:$T$4))</f>
        <v>0</v>
      </c>
      <c r="O11" s="1">
        <f>SUMPRODUCT(NOT(ISBLANK(O$3:O$4))*(O$3:O$4&lt;$U$3:$U$4))</f>
        <v>0</v>
      </c>
      <c r="P11" s="1">
        <f>SUMPRODUCT(NOT(ISBLANK(P$3:P$4))*(P$3:P$4&lt;$T$3:$T$4))</f>
        <v>0</v>
      </c>
      <c r="Q11" s="1">
        <f>SUMPRODUCT(NOT(ISBLANK(Q$3:Q$4))*(Q$3:Q$4&lt;$U$3:$U$4))</f>
        <v>0</v>
      </c>
      <c r="R11" s="1"/>
      <c r="S11" s="1"/>
      <c r="T11" s="1"/>
      <c r="U11" s="1"/>
      <c r="V11" s="1"/>
      <c r="W11" s="1"/>
    </row>
    <row r="12" spans="1:23">
      <c r="A12" s="1" t="s">
        <v>290</v>
      </c>
      <c r="B12" s="1">
        <f>SUMPRODUCT((NOT(ISBLANK(B$3:B$4))*(B$3:B$4&gt;$T$3:$T$4))+ISBLANK(B$3:B$4))</f>
        <v>0</v>
      </c>
      <c r="C12" s="4">
        <f>SUMPRODUCT((NOT(ISBLANK(C$3:C$4))*(C$3:C$4&gt;$U$3:$U$4))+ISBLANK(C$3:C$4))</f>
        <v>0</v>
      </c>
      <c r="D12" s="1">
        <f>SUMPRODUCT((NOT(ISBLANK(D$3:D$4))*(D$3:D$4&gt;$T$3:$T$4))+ISBLANK(D$3:D$4))</f>
        <v>0</v>
      </c>
      <c r="E12" s="4">
        <f>SUMPRODUCT((NOT(ISBLANK(E$3:E$4))*(E$3:E$4&gt;$U$3:$U$4))+ISBLANK(E$3:E$4))</f>
        <v>0</v>
      </c>
      <c r="F12" s="1">
        <f>SUMPRODUCT((NOT(ISBLANK(F$3:F$4))*(F$3:F$4&gt;$T$3:$T$4))+ISBLANK(F$3:F$4))</f>
        <v>0</v>
      </c>
      <c r="G12" s="4">
        <f>SUMPRODUCT((NOT(ISBLANK(G$3:G$4))*(G$3:G$4&gt;$U$3:$U$4))+ISBLANK(G$3:G$4))</f>
        <v>0</v>
      </c>
      <c r="H12" s="1">
        <f>SUMPRODUCT((NOT(ISBLANK(H$3:H$4))*(H$3:H$4&gt;$T$3:$T$4))+ISBLANK(H$3:H$4))</f>
        <v>0</v>
      </c>
      <c r="I12" s="1">
        <f>SUMPRODUCT((NOT(ISBLANK(I$3:I$4))*(I$3:I$4&gt;$U$3:$U$4))+ISBLANK(I$3:I$4))</f>
        <v>0</v>
      </c>
      <c r="J12" s="1">
        <f>SUMPRODUCT((NOT(ISBLANK(J$3:J$4))*(J$3:J$4&gt;$T$3:$T$4))+ISBLANK(J$3:J$4))</f>
        <v>0</v>
      </c>
      <c r="K12" s="1">
        <f>SUMPRODUCT((NOT(ISBLANK(K$3:K$4))*(K$3:K$4&gt;$U$3:$U$4))+ISBLANK(K$3:K$4))</f>
        <v>0</v>
      </c>
      <c r="L12" s="1">
        <f>SUMPRODUCT((NOT(ISBLANK(L$3:L$4))*(L$3:L$4&gt;$T$3:$T$4))+ISBLANK(L$3:L$4))</f>
        <v>0</v>
      </c>
      <c r="M12" s="1">
        <f>SUMPRODUCT((NOT(ISBLANK(M$3:M$4))*(M$3:M$4&gt;$U$3:$U$4))+ISBLANK(M$3:M$4))</f>
        <v>0</v>
      </c>
      <c r="N12" s="1">
        <f>SUMPRODUCT((NOT(ISBLANK(N$3:N$4))*(N$3:N$4&gt;$T$3:$T$4))+ISBLANK(N$3:N$4))</f>
        <v>0</v>
      </c>
      <c r="O12" s="1">
        <f>SUMPRODUCT((NOT(ISBLANK(O$3:O$4))*(O$3:O$4&gt;$U$3:$U$4))+ISBLANK(O$3:O$4))</f>
        <v>0</v>
      </c>
      <c r="P12" s="1">
        <f>SUMPRODUCT((NOT(ISBLANK(P$3:P$4))*(P$3:P$4&gt;$T$3:$T$4))+ISBLANK(P$3:P$4))</f>
        <v>0</v>
      </c>
      <c r="Q12" s="1">
        <f>SUMPRODUCT((NOT(ISBLANK(Q$3:Q$4))*(Q$3:Q$4&gt;$U$3:$U$4))+ISBLANK(Q$3:Q$4))</f>
        <v>0</v>
      </c>
      <c r="R12" s="1"/>
      <c r="S12" s="1"/>
      <c r="T12" s="1"/>
      <c r="U12" s="1"/>
      <c r="V12" s="1"/>
      <c r="W12" s="1"/>
    </row>
    <row r="13" spans="1:23">
      <c r="A13" s="1" t="s">
        <v>291</v>
      </c>
      <c r="B13" s="1">
        <f>SUMPRODUCT((NOT(ISBLANK(B$3:B$4))*(B$3:B$4=$V$3:$V$4))+ISBLANK(B$3:B$4))</f>
        <v>0</v>
      </c>
      <c r="C13" s="4">
        <f>SUMPRODUCT((NOT(ISBLANK(C$3:C$4))*(C$3:C$4=$W$3:$W$4))+ISBLANK(C$3:C$4))</f>
        <v>0</v>
      </c>
      <c r="D13" s="1">
        <f>SUMPRODUCT((NOT(ISBLANK(D$3:D$4))*(D$3:D$4=$V$3:$V$4))+ISBLANK(D$3:D$4))</f>
        <v>0</v>
      </c>
      <c r="E13" s="1">
        <f>SUMPRODUCT((NOT(ISBLANK(E$3:E$4))*(E$3:E$4=$W$3:$W$4))+ISBLANK(E$3:E$4))</f>
        <v>0</v>
      </c>
      <c r="F13" s="1">
        <f>SUMPRODUCT((NOT(ISBLANK(F$3:F$4))*(F$3:F$4=$V$3:$V$4))+ISBLANK(F$3:F$4))</f>
        <v>0</v>
      </c>
      <c r="G13" s="4">
        <f>SUMPRODUCT((NOT(ISBLANK(G$3:G$4))*(G$3:G$4=$W$3:$W$4))+ISBLANK(G$3:G$4))</f>
        <v>0</v>
      </c>
      <c r="H13" s="1">
        <f>SUMPRODUCT((NOT(ISBLANK(H$3:H$4))*(H$3:H$4=$V$3:$V$4))+ISBLANK(H$3:H$4))</f>
        <v>0</v>
      </c>
      <c r="I13" s="1">
        <f>SUMPRODUCT((NOT(ISBLANK(I$3:I$4))*(I$3:I$4=$W$3:$W$4))+ISBLANK(I$3:I$4))</f>
        <v>0</v>
      </c>
      <c r="J13" s="1">
        <f>SUMPRODUCT((NOT(ISBLANK(J$3:J$4))*(J$3:J$4=$V$3:$V$4))+ISBLANK(J$3:J$4))</f>
        <v>0</v>
      </c>
      <c r="K13" s="1">
        <f>SUMPRODUCT((NOT(ISBLANK(K$3:K$4))*(K$3:K$4=$W$3:$W$4))+ISBLANK(K$3:K$4))</f>
        <v>0</v>
      </c>
      <c r="L13" s="1">
        <f>SUMPRODUCT((NOT(ISBLANK(L$3:L$4))*(L$3:L$4=$V$3:$V$4))+ISBLANK(L$3:L$4))</f>
        <v>0</v>
      </c>
      <c r="M13" s="1">
        <f>SUMPRODUCT((NOT(ISBLANK(M$3:M$4))*(M$3:M$4=$W$3:$W$4))+ISBLANK(M$3:M$4))</f>
        <v>0</v>
      </c>
      <c r="N13" s="1">
        <f>SUMPRODUCT((NOT(ISBLANK(N$3:N$4))*(N$3:N$4=$V$3:$V$4))+ISBLANK(N$3:N$4))</f>
        <v>0</v>
      </c>
      <c r="O13" s="1">
        <f>SUMPRODUCT((NOT(ISBLANK(O$3:O$4))*(O$3:O$4=$W$3:$W$4))+ISBLANK(O$3:O$4))</f>
        <v>0</v>
      </c>
      <c r="P13" s="1">
        <f>SUMPRODUCT((NOT(ISBLANK(P$3:P$4))*(P$3:P$4=$V$3:$V$4))+ISBLANK(P$3:P$4))</f>
        <v>0</v>
      </c>
      <c r="Q13" s="1">
        <f>SUMPRODUCT((NOT(ISBLANK(Q$3:Q$4))*(Q$3:Q$4=$W$3:$W$4))+ISBLANK(Q$3:Q$4))</f>
        <v>0</v>
      </c>
      <c r="R13" s="1"/>
      <c r="S13" s="1"/>
      <c r="T13" s="1"/>
      <c r="U13" s="1"/>
      <c r="V13" s="1"/>
      <c r="W1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Instances</vt:lpstr>
      <vt:lpstr>Merged Runs</vt:lpstr>
      <vt:lpstr>Classes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2026-04-07T18:22:25Z</dcterms:created>
  <dcterms:modified xsi:type="dcterms:W3CDTF">2026-04-07T18:22:25Z</dcterms:modified>
</cp:coreProperties>
</file>