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<sst xmlns="http://schemas.openxmlformats.org/spreadsheetml/2006/main" count="262" uniqueCount="105">
  <si>
    <t>./citybike-max100_user-input-n100</t>
  </si>
  <si>
    <t>./citybike-max100_user-input-n25</t>
  </si>
  <si>
    <t>./citybike-max100_user-input-n33</t>
  </si>
  <si>
    <t>./citybike-max100_user-input-n50</t>
  </si>
  <si>
    <t>./citybike-max150_user-input-n150</t>
  </si>
  <si>
    <t>./citybike-max150_user-input-n37</t>
  </si>
  <si>
    <t>./citybike-max150_user-input-n50</t>
  </si>
  <si>
    <t>./citybike-max150_user-input-n75</t>
  </si>
  <si>
    <t>./citybike-max200_user-input-n100</t>
  </si>
  <si>
    <t>./citybike-max200_user-input-n200</t>
  </si>
  <si>
    <t>./citybike-max200_user-input-n50</t>
  </si>
  <si>
    <t>./citybike-max200_user-input-n66</t>
  </si>
  <si>
    <t>./citybike-max50_user-input-n12</t>
  </si>
  <si>
    <t>./citybike-max50_user-input-n16</t>
  </si>
  <si>
    <t>./citybike-max50_user-input-n25</t>
  </si>
  <si>
    <t>./citybike-max50_user-input-n50</t>
  </si>
  <si>
    <t>./metro-10_user-input-1</t>
  </si>
  <si>
    <t>./metro-10_user-input-2</t>
  </si>
  <si>
    <t>./metro-10_user-input-3</t>
  </si>
  <si>
    <t>./metro-10_user-input-4</t>
  </si>
  <si>
    <t>./metro-10_user-input-5</t>
  </si>
  <si>
    <t>./metro-10_user-input-7</t>
  </si>
  <si>
    <t>./metro-20_user-input-1</t>
  </si>
  <si>
    <t>./metro-20_user-input-2</t>
  </si>
  <si>
    <t>./metro-20_user-input-3</t>
  </si>
  <si>
    <t>./metro-20_user-input-4</t>
  </si>
  <si>
    <t>./metro-20_user-input-5</t>
  </si>
  <si>
    <t>./metro-20_user-input-7</t>
  </si>
  <si>
    <t>./metro-30_user-input-1</t>
  </si>
  <si>
    <t>./metro-30_user-input-2</t>
  </si>
  <si>
    <t>./metro-30_user-input-3</t>
  </si>
  <si>
    <t>./metro-30_user-input-4</t>
  </si>
  <si>
    <t>./metro-30_user-input-5</t>
  </si>
  <si>
    <t>./metro-30_user-input-7</t>
  </si>
  <si>
    <t>./metro-40_user-input-1</t>
  </si>
  <si>
    <t>./metro-40_user-input-2</t>
  </si>
  <si>
    <t>./metro-40_user-input-3</t>
  </si>
  <si>
    <t>./metro-40_user-input-4</t>
  </si>
  <si>
    <t>./metro-40_user-input-5</t>
  </si>
  <si>
    <t>./metro-40_user-input-7</t>
  </si>
  <si>
    <t>./metro-50_user-input-1</t>
  </si>
  <si>
    <t>./metro-50_user-input-2</t>
  </si>
  <si>
    <t>./metro-50_user-input-3</t>
  </si>
  <si>
    <t>./metro-50_user-input-4</t>
  </si>
  <si>
    <t>./metro-50_user-input-5</t>
  </si>
  <si>
    <t>./metro-50_user-input-7</t>
  </si>
  <si>
    <t>./travelbike-max10_user-input-p372-v85</t>
  </si>
  <si>
    <t>./travelbike-max10_user-input-p419-v895</t>
  </si>
  <si>
    <t>./travelbike-max10_user-input-p425-v981</t>
  </si>
  <si>
    <t>./travelbike-max10_user-input-p480-v206</t>
  </si>
  <si>
    <t>./travelbike-max10_user-input-p62-v812</t>
  </si>
  <si>
    <t>./travelbike-max10_user-input-p753-v757</t>
  </si>
  <si>
    <t>./travelbike-max10_user-input-p800-v879</t>
  </si>
  <si>
    <t>./travelbike-max10_user-input-p84-v603</t>
  </si>
  <si>
    <t>./travelbike-max10_user-input-p885-v252</t>
  </si>
  <si>
    <t>./travelbike-max10_user-input-p888-v811</t>
  </si>
  <si>
    <t>./travelbike-max15_user-input-p1161-v435</t>
  </si>
  <si>
    <t>./travelbike-max15_user-input-p175-v424</t>
  </si>
  <si>
    <t>./travelbike-max15_user-input-p231-v999</t>
  </si>
  <si>
    <t>./travelbike-max15_user-input-p358-v446</t>
  </si>
  <si>
    <t>./travelbike-max15_user-input-p501-v682</t>
  </si>
  <si>
    <t>./travelbike-max15_user-input-p581-v854</t>
  </si>
  <si>
    <t>./travelbike-max15_user-input-p697-v1245</t>
  </si>
  <si>
    <t>./travelbike-max15_user-input-p789-v502</t>
  </si>
  <si>
    <t>./travelbike-max15_user-input-p90-v933</t>
  </si>
  <si>
    <t>./travelbike-max15_user-input-p965-v1266</t>
  </si>
  <si>
    <t>./travelbike-max20_user-input-p1416-v1035</t>
  </si>
  <si>
    <t>./travelbike-max20_user-input-p1777-v824</t>
  </si>
  <si>
    <t>./travelbike-max20_user-input-p1862-v1002</t>
  </si>
  <si>
    <t>./travelbike-max20_user-input-p321-v716</t>
  </si>
  <si>
    <t>./travelbike-max20_user-input-p398-v397</t>
  </si>
  <si>
    <t>./travelbike-max20_user-input-p468-v586</t>
  </si>
  <si>
    <t>./travelbike-max20_user-input-p495-v663</t>
  </si>
  <si>
    <t>./travelbike-max20_user-input-p524-v1039</t>
  </si>
  <si>
    <t>./travelbike-max20_user-input-p527-v149</t>
  </si>
  <si>
    <t>./travelbike-max20_user-input-p989-v687</t>
  </si>
  <si>
    <t>./travelbike-max5_user-input-p120-v487</t>
  </si>
  <si>
    <t>./travelbike-max5_user-input-p18-v147</t>
  </si>
  <si>
    <t>./travelbike-max5_user-input-p225-v316</t>
  </si>
  <si>
    <t>./travelbike-max5_user-input-p328-v77</t>
  </si>
  <si>
    <t>./travelbike-max5_user-input-p373-v252</t>
  </si>
  <si>
    <t>./travelbike-max5_user-input-p431-v92</t>
  </si>
  <si>
    <t>./travelbike-max5_user-input-p432-v138</t>
  </si>
  <si>
    <t>./travelbike-max5_user-input-p466-v255</t>
  </si>
  <si>
    <t>./travelbike-max5_user-input-p69-v221</t>
  </si>
  <si>
    <t>./travelbike-max5_user-input-p92-v415</t>
  </si>
  <si>
    <t>SUM</t>
  </si>
  <si>
    <t>AVG</t>
  </si>
  <si>
    <t>DEV</t>
  </si>
  <si>
    <t>DST</t>
  </si>
  <si>
    <t>BEST</t>
  </si>
  <si>
    <t>BETTER</t>
  </si>
  <si>
    <t>WORSE</t>
  </si>
  <si>
    <t>WORST</t>
  </si>
  <si>
    <t>coomsuite-1.0.0/clingo-base</t>
  </si>
  <si>
    <t>time</t>
  </si>
  <si>
    <t>timeout</t>
  </si>
  <si>
    <t>coomsuite-1.0.0/clingo-brave</t>
  </si>
  <si>
    <t>coomsuite-1.0.0/clingo-cautious</t>
  </si>
  <si>
    <t>coomsuite-1.0.0/flingo-base</t>
  </si>
  <si>
    <t>min</t>
  </si>
  <si>
    <t>median</t>
  </si>
  <si>
    <t>max</t>
  </si>
  <si>
    <t>Merge criteria:</t>
  </si>
  <si>
    <t>.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</si>
</sst>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" fontId="0" fillId="0" borderId="0" xfId="0" applyNumberFormat="1"/>
    <xf numFmtId="164" fontId="0" fillId="2" borderId="0" xfId="0" applyNumberFormat="1" applyFill="1"/>
    <xf numFmtId="164" fontId="0" fillId="3" borderId="0" xfId="0" applyNumberFormat="1" applyFill="1"/>
    <xf numFmtId="1" fontId="0" fillId="3" borderId="0" xfId="0" applyNumberFormat="1" applyFill="1"/>
    <xf numFmtId="1" fontId="0" fillId="2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97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9.7109375" customWidth="1"/>
    <col min="2" max="3" width="13" customWidth="1"/>
    <col min="4" max="5" width="13.42578125" customWidth="1"/>
    <col min="6" max="7" width="14.7109375" customWidth="1"/>
    <col min="8" max="9" width="13" customWidth="1"/>
    <col min="10" max="15" width="11.42578125" customWidth="1"/>
  </cols>
  <sheetData>
    <row r="1" spans="1:15">
      <c r="A1" s="1"/>
      <c r="B1" s="1" t="s">
        <v>94</v>
      </c>
      <c r="C1" s="2"/>
      <c r="D1" s="1" t="s">
        <v>97</v>
      </c>
      <c r="E1" s="2"/>
      <c r="F1" s="1" t="s">
        <v>98</v>
      </c>
      <c r="G1" s="2"/>
      <c r="H1" s="1" t="s">
        <v>99</v>
      </c>
      <c r="I1" s="2"/>
      <c r="J1" s="1" t="s">
        <v>100</v>
      </c>
      <c r="K1" s="1"/>
      <c r="L1" s="1" t="s">
        <v>101</v>
      </c>
      <c r="M1" s="1"/>
      <c r="N1" s="1" t="s">
        <v>102</v>
      </c>
      <c r="O1" s="1"/>
    </row>
    <row r="2" spans="1:15">
      <c r="A2" s="1"/>
      <c r="B2" s="1" t="s">
        <v>95</v>
      </c>
      <c r="C2" s="2" t="s">
        <v>96</v>
      </c>
      <c r="D2" s="1" t="s">
        <v>95</v>
      </c>
      <c r="E2" s="2" t="s">
        <v>96</v>
      </c>
      <c r="F2" s="1" t="s">
        <v>95</v>
      </c>
      <c r="G2" s="2" t="s">
        <v>96</v>
      </c>
      <c r="H2" s="1" t="s">
        <v>95</v>
      </c>
      <c r="I2" s="2" t="s">
        <v>96</v>
      </c>
      <c r="J2" s="1" t="s">
        <v>95</v>
      </c>
      <c r="K2" s="1" t="s">
        <v>96</v>
      </c>
      <c r="L2" s="1" t="s">
        <v>95</v>
      </c>
      <c r="M2" s="1" t="s">
        <v>96</v>
      </c>
      <c r="N2" s="1" t="s">
        <v>95</v>
      </c>
      <c r="O2" s="1" t="s">
        <v>96</v>
      </c>
    </row>
    <row r="3" spans="1:15">
      <c r="A3" s="1" t="s">
        <v>0</v>
      </c>
      <c r="B3" s="3">
        <v>7.15</v>
      </c>
      <c r="C3" s="2">
        <v>0</v>
      </c>
      <c r="D3" s="1">
        <v>11.78</v>
      </c>
      <c r="E3" s="2">
        <v>0</v>
      </c>
      <c r="F3" s="1">
        <v>8.460000000000001</v>
      </c>
      <c r="G3" s="2">
        <v>0</v>
      </c>
      <c r="H3" s="4">
        <v>35.96</v>
      </c>
      <c r="I3" s="2">
        <v>0</v>
      </c>
      <c r="J3" s="1">
        <f>MIN($B3,$D3,$F3,$H3)</f>
        <v>0</v>
      </c>
      <c r="K3" s="1">
        <f>MIN($C3,$E3,$G3,$I3)</f>
        <v>0</v>
      </c>
      <c r="L3" s="1">
        <f>MEDIAN($B3,$D3,$F3,$H3)</f>
        <v>0</v>
      </c>
      <c r="M3" s="1">
        <f>MEDIAN($C3,$E3,$G3,$I3)</f>
        <v>0</v>
      </c>
      <c r="N3" s="1">
        <f>MAX($B3,$D3,$F3,$H3)</f>
        <v>0</v>
      </c>
      <c r="O3" s="1">
        <f>MAX($C3,$E3,$G3,$I3)</f>
        <v>0</v>
      </c>
    </row>
    <row r="4" spans="1:15">
      <c r="A4" s="1" t="s">
        <v>1</v>
      </c>
      <c r="B4" s="3">
        <v>8.039999999999999</v>
      </c>
      <c r="C4" s="2">
        <v>0</v>
      </c>
      <c r="D4" s="1">
        <v>11.59</v>
      </c>
      <c r="E4" s="2">
        <v>0</v>
      </c>
      <c r="F4" s="1">
        <v>8.48</v>
      </c>
      <c r="G4" s="2">
        <v>0</v>
      </c>
      <c r="H4" s="4">
        <v>35.13</v>
      </c>
      <c r="I4" s="2">
        <v>0</v>
      </c>
      <c r="J4" s="1">
        <f>MIN($B4,$D4,$F4,$H4)</f>
        <v>0</v>
      </c>
      <c r="K4" s="1">
        <f>MIN($C4,$E4,$G4,$I4)</f>
        <v>0</v>
      </c>
      <c r="L4" s="1">
        <f>MEDIAN($B4,$D4,$F4,$H4)</f>
        <v>0</v>
      </c>
      <c r="M4" s="1">
        <f>MEDIAN($C4,$E4,$G4,$I4)</f>
        <v>0</v>
      </c>
      <c r="N4" s="1">
        <f>MAX($B4,$D4,$F4,$H4)</f>
        <v>0</v>
      </c>
      <c r="O4" s="1">
        <f>MAX($C4,$E4,$G4,$I4)</f>
        <v>0</v>
      </c>
    </row>
    <row r="5" spans="1:15">
      <c r="A5" s="1" t="s">
        <v>2</v>
      </c>
      <c r="B5" s="3">
        <v>7.24</v>
      </c>
      <c r="C5" s="2">
        <v>0</v>
      </c>
      <c r="D5" s="1">
        <v>13.72</v>
      </c>
      <c r="E5" s="2">
        <v>0</v>
      </c>
      <c r="F5" s="1">
        <v>8.08</v>
      </c>
      <c r="G5" s="2">
        <v>0</v>
      </c>
      <c r="H5" s="4">
        <v>29.76</v>
      </c>
      <c r="I5" s="2">
        <v>0</v>
      </c>
      <c r="J5" s="1">
        <f>MIN($B5,$D5,$F5,$H5)</f>
        <v>0</v>
      </c>
      <c r="K5" s="1">
        <f>MIN($C5,$E5,$G5,$I5)</f>
        <v>0</v>
      </c>
      <c r="L5" s="1">
        <f>MEDIAN($B5,$D5,$F5,$H5)</f>
        <v>0</v>
      </c>
      <c r="M5" s="1">
        <f>MEDIAN($C5,$E5,$G5,$I5)</f>
        <v>0</v>
      </c>
      <c r="N5" s="1">
        <f>MAX($B5,$D5,$F5,$H5)</f>
        <v>0</v>
      </c>
      <c r="O5" s="1">
        <f>MAX($C5,$E5,$G5,$I5)</f>
        <v>0</v>
      </c>
    </row>
    <row r="6" spans="1:15">
      <c r="A6" s="1" t="s">
        <v>3</v>
      </c>
      <c r="B6" s="1">
        <v>9.380000000000001</v>
      </c>
      <c r="C6" s="2">
        <v>0</v>
      </c>
      <c r="D6" s="1">
        <v>13.23</v>
      </c>
      <c r="E6" s="2">
        <v>0</v>
      </c>
      <c r="F6" s="3">
        <v>8.43</v>
      </c>
      <c r="G6" s="2">
        <v>0</v>
      </c>
      <c r="H6" s="4">
        <v>35.53</v>
      </c>
      <c r="I6" s="2">
        <v>0</v>
      </c>
      <c r="J6" s="1">
        <f>MIN($B6,$D6,$F6,$H6)</f>
        <v>0</v>
      </c>
      <c r="K6" s="1">
        <f>MIN($C6,$E6,$G6,$I6)</f>
        <v>0</v>
      </c>
      <c r="L6" s="1">
        <f>MEDIAN($B6,$D6,$F6,$H6)</f>
        <v>0</v>
      </c>
      <c r="M6" s="1">
        <f>MEDIAN($C6,$E6,$G6,$I6)</f>
        <v>0</v>
      </c>
      <c r="N6" s="1">
        <f>MAX($B6,$D6,$F6,$H6)</f>
        <v>0</v>
      </c>
      <c r="O6" s="1">
        <f>MAX($C6,$E6,$G6,$I6)</f>
        <v>0</v>
      </c>
    </row>
    <row r="7" spans="1:15">
      <c r="A7" s="1" t="s">
        <v>4</v>
      </c>
      <c r="B7" s="3">
        <v>13.28</v>
      </c>
      <c r="C7" s="2">
        <v>0</v>
      </c>
      <c r="D7" s="1">
        <v>27.02</v>
      </c>
      <c r="E7" s="2">
        <v>0</v>
      </c>
      <c r="F7" s="1">
        <v>14.42</v>
      </c>
      <c r="G7" s="2">
        <v>0</v>
      </c>
      <c r="H7" s="4">
        <v>42.68</v>
      </c>
      <c r="I7" s="2">
        <v>0</v>
      </c>
      <c r="J7" s="1">
        <f>MIN($B7,$D7,$F7,$H7)</f>
        <v>0</v>
      </c>
      <c r="K7" s="1">
        <f>MIN($C7,$E7,$G7,$I7)</f>
        <v>0</v>
      </c>
      <c r="L7" s="1">
        <f>MEDIAN($B7,$D7,$F7,$H7)</f>
        <v>0</v>
      </c>
      <c r="M7" s="1">
        <f>MEDIAN($C7,$E7,$G7,$I7)</f>
        <v>0</v>
      </c>
      <c r="N7" s="1">
        <f>MAX($B7,$D7,$F7,$H7)</f>
        <v>0</v>
      </c>
      <c r="O7" s="1">
        <f>MAX($C7,$E7,$G7,$I7)</f>
        <v>0</v>
      </c>
    </row>
    <row r="8" spans="1:15">
      <c r="A8" s="1" t="s">
        <v>5</v>
      </c>
      <c r="B8" s="3">
        <v>12.27</v>
      </c>
      <c r="C8" s="2">
        <v>0</v>
      </c>
      <c r="D8" s="1">
        <v>36.8</v>
      </c>
      <c r="E8" s="2">
        <v>0</v>
      </c>
      <c r="F8" s="1">
        <v>13.79</v>
      </c>
      <c r="G8" s="2">
        <v>0</v>
      </c>
      <c r="H8" s="4">
        <v>40.29</v>
      </c>
      <c r="I8" s="2">
        <v>0</v>
      </c>
      <c r="J8" s="1">
        <f>MIN($B8,$D8,$F8,$H8)</f>
        <v>0</v>
      </c>
      <c r="K8" s="1">
        <f>MIN($C8,$E8,$G8,$I8)</f>
        <v>0</v>
      </c>
      <c r="L8" s="1">
        <f>MEDIAN($B8,$D8,$F8,$H8)</f>
        <v>0</v>
      </c>
      <c r="M8" s="1">
        <f>MEDIAN($C8,$E8,$G8,$I8)</f>
        <v>0</v>
      </c>
      <c r="N8" s="1">
        <f>MAX($B8,$D8,$F8,$H8)</f>
        <v>0</v>
      </c>
      <c r="O8" s="1">
        <f>MAX($C8,$E8,$G8,$I8)</f>
        <v>0</v>
      </c>
    </row>
    <row r="9" spans="1:15">
      <c r="A9" s="1" t="s">
        <v>6</v>
      </c>
      <c r="B9" s="1">
        <v>13.36</v>
      </c>
      <c r="C9" s="2">
        <v>0</v>
      </c>
      <c r="D9" s="1">
        <v>27.4</v>
      </c>
      <c r="E9" s="2">
        <v>0</v>
      </c>
      <c r="F9" s="3">
        <v>13.22</v>
      </c>
      <c r="G9" s="2">
        <v>0</v>
      </c>
      <c r="H9" s="4">
        <v>42.27</v>
      </c>
      <c r="I9" s="2">
        <v>0</v>
      </c>
      <c r="J9" s="1">
        <f>MIN($B9,$D9,$F9,$H9)</f>
        <v>0</v>
      </c>
      <c r="K9" s="1">
        <f>MIN($C9,$E9,$G9,$I9)</f>
        <v>0</v>
      </c>
      <c r="L9" s="1">
        <f>MEDIAN($B9,$D9,$F9,$H9)</f>
        <v>0</v>
      </c>
      <c r="M9" s="1">
        <f>MEDIAN($C9,$E9,$G9,$I9)</f>
        <v>0</v>
      </c>
      <c r="N9" s="1">
        <f>MAX($B9,$D9,$F9,$H9)</f>
        <v>0</v>
      </c>
      <c r="O9" s="1">
        <f>MAX($C9,$E9,$G9,$I9)</f>
        <v>0</v>
      </c>
    </row>
    <row r="10" spans="1:15">
      <c r="A10" s="1" t="s">
        <v>7</v>
      </c>
      <c r="B10" s="3">
        <v>13.41</v>
      </c>
      <c r="C10" s="2">
        <v>0</v>
      </c>
      <c r="D10" s="1">
        <v>24.91</v>
      </c>
      <c r="E10" s="2">
        <v>0</v>
      </c>
      <c r="F10" s="1">
        <v>16.04</v>
      </c>
      <c r="G10" s="2">
        <v>0</v>
      </c>
      <c r="H10" s="4">
        <v>41.48</v>
      </c>
      <c r="I10" s="2">
        <v>0</v>
      </c>
      <c r="J10" s="1">
        <f>MIN($B10,$D10,$F10,$H10)</f>
        <v>0</v>
      </c>
      <c r="K10" s="1">
        <f>MIN($C10,$E10,$G10,$I10)</f>
        <v>0</v>
      </c>
      <c r="L10" s="1">
        <f>MEDIAN($B10,$D10,$F10,$H10)</f>
        <v>0</v>
      </c>
      <c r="M10" s="1">
        <f>MEDIAN($C10,$E10,$G10,$I10)</f>
        <v>0</v>
      </c>
      <c r="N10" s="1">
        <f>MAX($B10,$D10,$F10,$H10)</f>
        <v>0</v>
      </c>
      <c r="O10" s="1">
        <f>MAX($C10,$E10,$G10,$I10)</f>
        <v>0</v>
      </c>
    </row>
    <row r="11" spans="1:15">
      <c r="A11" s="1" t="s">
        <v>8</v>
      </c>
      <c r="B11" s="3">
        <v>19.14</v>
      </c>
      <c r="C11" s="2">
        <v>0</v>
      </c>
      <c r="D11" s="1">
        <v>48.56</v>
      </c>
      <c r="E11" s="2">
        <v>0</v>
      </c>
      <c r="F11" s="1">
        <v>21.45</v>
      </c>
      <c r="G11" s="2">
        <v>0</v>
      </c>
      <c r="H11" s="4">
        <v>59.5</v>
      </c>
      <c r="I11" s="2">
        <v>0</v>
      </c>
      <c r="J11" s="1">
        <f>MIN($B11,$D11,$F11,$H11)</f>
        <v>0</v>
      </c>
      <c r="K11" s="1">
        <f>MIN($C11,$E11,$G11,$I11)</f>
        <v>0</v>
      </c>
      <c r="L11" s="1">
        <f>MEDIAN($B11,$D11,$F11,$H11)</f>
        <v>0</v>
      </c>
      <c r="M11" s="1">
        <f>MEDIAN($C11,$E11,$G11,$I11)</f>
        <v>0</v>
      </c>
      <c r="N11" s="1">
        <f>MAX($B11,$D11,$F11,$H11)</f>
        <v>0</v>
      </c>
      <c r="O11" s="1">
        <f>MAX($C11,$E11,$G11,$I11)</f>
        <v>0</v>
      </c>
    </row>
    <row r="12" spans="1:15">
      <c r="A12" s="1" t="s">
        <v>9</v>
      </c>
      <c r="B12" s="1">
        <v>19.43</v>
      </c>
      <c r="C12" s="2">
        <v>0</v>
      </c>
      <c r="D12" s="1">
        <v>41.43</v>
      </c>
      <c r="E12" s="2">
        <v>0</v>
      </c>
      <c r="F12" s="3">
        <v>17.78</v>
      </c>
      <c r="G12" s="2">
        <v>0</v>
      </c>
      <c r="H12" s="4">
        <v>77.91</v>
      </c>
      <c r="I12" s="2">
        <v>0</v>
      </c>
      <c r="J12" s="1">
        <f>MIN($B12,$D12,$F12,$H12)</f>
        <v>0</v>
      </c>
      <c r="K12" s="1">
        <f>MIN($C12,$E12,$G12,$I12)</f>
        <v>0</v>
      </c>
      <c r="L12" s="1">
        <f>MEDIAN($B12,$D12,$F12,$H12)</f>
        <v>0</v>
      </c>
      <c r="M12" s="1">
        <f>MEDIAN($C12,$E12,$G12,$I12)</f>
        <v>0</v>
      </c>
      <c r="N12" s="1">
        <f>MAX($B12,$D12,$F12,$H12)</f>
        <v>0</v>
      </c>
      <c r="O12" s="1">
        <f>MAX($C12,$E12,$G12,$I12)</f>
        <v>0</v>
      </c>
    </row>
    <row r="13" spans="1:15">
      <c r="A13" s="1" t="s">
        <v>10</v>
      </c>
      <c r="B13" s="1">
        <v>18.85</v>
      </c>
      <c r="C13" s="2">
        <v>0</v>
      </c>
      <c r="D13" s="1">
        <v>67.22</v>
      </c>
      <c r="E13" s="2">
        <v>0</v>
      </c>
      <c r="F13" s="3">
        <v>17.54</v>
      </c>
      <c r="G13" s="2">
        <v>0</v>
      </c>
      <c r="H13" s="4">
        <v>70.39</v>
      </c>
      <c r="I13" s="2">
        <v>0</v>
      </c>
      <c r="J13" s="1">
        <f>MIN($B13,$D13,$F13,$H13)</f>
        <v>0</v>
      </c>
      <c r="K13" s="1">
        <f>MIN($C13,$E13,$G13,$I13)</f>
        <v>0</v>
      </c>
      <c r="L13" s="1">
        <f>MEDIAN($B13,$D13,$F13,$H13)</f>
        <v>0</v>
      </c>
      <c r="M13" s="1">
        <f>MEDIAN($C13,$E13,$G13,$I13)</f>
        <v>0</v>
      </c>
      <c r="N13" s="1">
        <f>MAX($B13,$D13,$F13,$H13)</f>
        <v>0</v>
      </c>
      <c r="O13" s="1">
        <f>MAX($C13,$E13,$G13,$I13)</f>
        <v>0</v>
      </c>
    </row>
    <row r="14" spans="1:15">
      <c r="A14" s="1" t="s">
        <v>11</v>
      </c>
      <c r="B14" s="3">
        <v>17.78</v>
      </c>
      <c r="C14" s="2">
        <v>0</v>
      </c>
      <c r="D14" s="1">
        <v>48.41</v>
      </c>
      <c r="E14" s="2">
        <v>0</v>
      </c>
      <c r="F14" s="1">
        <v>20.08</v>
      </c>
      <c r="G14" s="2">
        <v>0</v>
      </c>
      <c r="H14" s="4">
        <v>77.08</v>
      </c>
      <c r="I14" s="2">
        <v>0</v>
      </c>
      <c r="J14" s="1">
        <f>MIN($B14,$D14,$F14,$H14)</f>
        <v>0</v>
      </c>
      <c r="K14" s="1">
        <f>MIN($C14,$E14,$G14,$I14)</f>
        <v>0</v>
      </c>
      <c r="L14" s="1">
        <f>MEDIAN($B14,$D14,$F14,$H14)</f>
        <v>0</v>
      </c>
      <c r="M14" s="1">
        <f>MEDIAN($C14,$E14,$G14,$I14)</f>
        <v>0</v>
      </c>
      <c r="N14" s="1">
        <f>MAX($B14,$D14,$F14,$H14)</f>
        <v>0</v>
      </c>
      <c r="O14" s="1">
        <f>MAX($C14,$E14,$G14,$I14)</f>
        <v>0</v>
      </c>
    </row>
    <row r="15" spans="1:15">
      <c r="A15" s="1" t="s">
        <v>12</v>
      </c>
      <c r="B15" s="1">
        <v>5.66</v>
      </c>
      <c r="C15" s="2">
        <v>0</v>
      </c>
      <c r="D15" s="1">
        <v>5.32</v>
      </c>
      <c r="E15" s="2">
        <v>0</v>
      </c>
      <c r="F15" s="3">
        <v>4.35</v>
      </c>
      <c r="G15" s="2">
        <v>0</v>
      </c>
      <c r="H15" s="4">
        <v>17.39</v>
      </c>
      <c r="I15" s="2">
        <v>0</v>
      </c>
      <c r="J15" s="1">
        <f>MIN($B15,$D15,$F15,$H15)</f>
        <v>0</v>
      </c>
      <c r="K15" s="1">
        <f>MIN($C15,$E15,$G15,$I15)</f>
        <v>0</v>
      </c>
      <c r="L15" s="1">
        <f>MEDIAN($B15,$D15,$F15,$H15)</f>
        <v>0</v>
      </c>
      <c r="M15" s="1">
        <f>MEDIAN($C15,$E15,$G15,$I15)</f>
        <v>0</v>
      </c>
      <c r="N15" s="1">
        <f>MAX($B15,$D15,$F15,$H15)</f>
        <v>0</v>
      </c>
      <c r="O15" s="1">
        <f>MAX($C15,$E15,$G15,$I15)</f>
        <v>0</v>
      </c>
    </row>
    <row r="16" spans="1:15">
      <c r="A16" s="1" t="s">
        <v>13</v>
      </c>
      <c r="B16" s="1">
        <v>5.51</v>
      </c>
      <c r="C16" s="2">
        <v>0</v>
      </c>
      <c r="D16" s="1">
        <v>6.06</v>
      </c>
      <c r="E16" s="2">
        <v>0</v>
      </c>
      <c r="F16" s="3">
        <v>5.11</v>
      </c>
      <c r="G16" s="2">
        <v>0</v>
      </c>
      <c r="H16" s="4">
        <v>12.87</v>
      </c>
      <c r="I16" s="2">
        <v>0</v>
      </c>
      <c r="J16" s="1">
        <f>MIN($B16,$D16,$F16,$H16)</f>
        <v>0</v>
      </c>
      <c r="K16" s="1">
        <f>MIN($C16,$E16,$G16,$I16)</f>
        <v>0</v>
      </c>
      <c r="L16" s="1">
        <f>MEDIAN($B16,$D16,$F16,$H16)</f>
        <v>0</v>
      </c>
      <c r="M16" s="1">
        <f>MEDIAN($C16,$E16,$G16,$I16)</f>
        <v>0</v>
      </c>
      <c r="N16" s="1">
        <f>MAX($B16,$D16,$F16,$H16)</f>
        <v>0</v>
      </c>
      <c r="O16" s="1">
        <f>MAX($C16,$E16,$G16,$I16)</f>
        <v>0</v>
      </c>
    </row>
    <row r="17" spans="1:15">
      <c r="A17" s="1" t="s">
        <v>14</v>
      </c>
      <c r="B17" s="1">
        <v>5.56</v>
      </c>
      <c r="C17" s="2">
        <v>0</v>
      </c>
      <c r="D17" s="1">
        <v>5.35</v>
      </c>
      <c r="E17" s="2">
        <v>0</v>
      </c>
      <c r="F17" s="3">
        <v>4.4</v>
      </c>
      <c r="G17" s="2">
        <v>0</v>
      </c>
      <c r="H17" s="4">
        <v>15.23</v>
      </c>
      <c r="I17" s="2">
        <v>0</v>
      </c>
      <c r="J17" s="1">
        <f>MIN($B17,$D17,$F17,$H17)</f>
        <v>0</v>
      </c>
      <c r="K17" s="1">
        <f>MIN($C17,$E17,$G17,$I17)</f>
        <v>0</v>
      </c>
      <c r="L17" s="1">
        <f>MEDIAN($B17,$D17,$F17,$H17)</f>
        <v>0</v>
      </c>
      <c r="M17" s="1">
        <f>MEDIAN($C17,$E17,$G17,$I17)</f>
        <v>0</v>
      </c>
      <c r="N17" s="1">
        <f>MAX($B17,$D17,$F17,$H17)</f>
        <v>0</v>
      </c>
      <c r="O17" s="1">
        <f>MAX($C17,$E17,$G17,$I17)</f>
        <v>0</v>
      </c>
    </row>
    <row r="18" spans="1:15">
      <c r="A18" s="1" t="s">
        <v>15</v>
      </c>
      <c r="B18" s="1">
        <v>5.29</v>
      </c>
      <c r="C18" s="2">
        <v>0</v>
      </c>
      <c r="D18" s="3">
        <v>5.03</v>
      </c>
      <c r="E18" s="2">
        <v>0</v>
      </c>
      <c r="F18" s="1">
        <v>5.28</v>
      </c>
      <c r="G18" s="2">
        <v>0</v>
      </c>
      <c r="H18" s="4">
        <v>13.44</v>
      </c>
      <c r="I18" s="2">
        <v>0</v>
      </c>
      <c r="J18" s="1">
        <f>MIN($B18,$D18,$F18,$H18)</f>
        <v>0</v>
      </c>
      <c r="K18" s="1">
        <f>MIN($C18,$E18,$G18,$I18)</f>
        <v>0</v>
      </c>
      <c r="L18" s="1">
        <f>MEDIAN($B18,$D18,$F18,$H18)</f>
        <v>0</v>
      </c>
      <c r="M18" s="1">
        <f>MEDIAN($C18,$E18,$G18,$I18)</f>
        <v>0</v>
      </c>
      <c r="N18" s="1">
        <f>MAX($B18,$D18,$F18,$H18)</f>
        <v>0</v>
      </c>
      <c r="O18" s="1">
        <f>MAX($C18,$E18,$G18,$I18)</f>
        <v>0</v>
      </c>
    </row>
    <row r="19" spans="1:15">
      <c r="A19" s="1" t="s">
        <v>16</v>
      </c>
      <c r="B19" s="1">
        <v>11.7</v>
      </c>
      <c r="C19" s="2">
        <v>0</v>
      </c>
      <c r="D19" s="4">
        <v>1200</v>
      </c>
      <c r="E19" s="5">
        <v>1</v>
      </c>
      <c r="F19" s="1">
        <v>12.04</v>
      </c>
      <c r="G19" s="2">
        <v>0</v>
      </c>
      <c r="H19" s="3">
        <v>5.02</v>
      </c>
      <c r="I19" s="2">
        <v>0</v>
      </c>
      <c r="J19" s="1">
        <f>MIN($B19,$D19,$F19,$H19)</f>
        <v>0</v>
      </c>
      <c r="K19" s="1">
        <f>MIN($C19,$E19,$G19,$I19)</f>
        <v>0</v>
      </c>
      <c r="L19" s="1">
        <f>MEDIAN($B19,$D19,$F19,$H19)</f>
        <v>0</v>
      </c>
      <c r="M19" s="1">
        <f>MEDIAN($C19,$E19,$G19,$I19)</f>
        <v>0</v>
      </c>
      <c r="N19" s="1">
        <f>MAX($B19,$D19,$F19,$H19)</f>
        <v>0</v>
      </c>
      <c r="O19" s="1">
        <f>MAX($C19,$E19,$G19,$I19)</f>
        <v>0</v>
      </c>
    </row>
    <row r="20" spans="1:15">
      <c r="A20" s="1" t="s">
        <v>17</v>
      </c>
      <c r="B20" s="1">
        <v>9.34</v>
      </c>
      <c r="C20" s="2">
        <v>0</v>
      </c>
      <c r="D20" s="4">
        <v>1200</v>
      </c>
      <c r="E20" s="5">
        <v>1</v>
      </c>
      <c r="F20" s="1">
        <v>12.79</v>
      </c>
      <c r="G20" s="2">
        <v>0</v>
      </c>
      <c r="H20" s="3">
        <v>5.82</v>
      </c>
      <c r="I20" s="2">
        <v>0</v>
      </c>
      <c r="J20" s="1">
        <f>MIN($B20,$D20,$F20,$H20)</f>
        <v>0</v>
      </c>
      <c r="K20" s="1">
        <f>MIN($C20,$E20,$G20,$I20)</f>
        <v>0</v>
      </c>
      <c r="L20" s="1">
        <f>MEDIAN($B20,$D20,$F20,$H20)</f>
        <v>0</v>
      </c>
      <c r="M20" s="1">
        <f>MEDIAN($C20,$E20,$G20,$I20)</f>
        <v>0</v>
      </c>
      <c r="N20" s="1">
        <f>MAX($B20,$D20,$F20,$H20)</f>
        <v>0</v>
      </c>
      <c r="O20" s="1">
        <f>MAX($C20,$E20,$G20,$I20)</f>
        <v>0</v>
      </c>
    </row>
    <row r="21" spans="1:15">
      <c r="A21" s="1" t="s">
        <v>18</v>
      </c>
      <c r="B21" s="1">
        <v>5.44</v>
      </c>
      <c r="C21" s="2">
        <v>0</v>
      </c>
      <c r="D21" s="1">
        <v>6.26</v>
      </c>
      <c r="E21" s="2">
        <v>0</v>
      </c>
      <c r="F21" s="1">
        <v>6.83</v>
      </c>
      <c r="G21" s="2">
        <v>0</v>
      </c>
      <c r="H21" s="1">
        <v>4.95</v>
      </c>
      <c r="I21" s="2">
        <v>0</v>
      </c>
      <c r="J21" s="1">
        <f>MIN($B21,$D21,$F21,$H21)</f>
        <v>0</v>
      </c>
      <c r="K21" s="1">
        <f>MIN($C21,$E21,$G21,$I21)</f>
        <v>0</v>
      </c>
      <c r="L21" s="1">
        <f>MEDIAN($B21,$D21,$F21,$H21)</f>
        <v>0</v>
      </c>
      <c r="M21" s="1">
        <f>MEDIAN($C21,$E21,$G21,$I21)</f>
        <v>0</v>
      </c>
      <c r="N21" s="1">
        <f>MAX($B21,$D21,$F21,$H21)</f>
        <v>0</v>
      </c>
      <c r="O21" s="1">
        <f>MAX($C21,$E21,$G21,$I21)</f>
        <v>0</v>
      </c>
    </row>
    <row r="22" spans="1:15">
      <c r="A22" s="1" t="s">
        <v>19</v>
      </c>
      <c r="B22" s="1">
        <v>5.52</v>
      </c>
      <c r="C22" s="2">
        <v>0</v>
      </c>
      <c r="D22" s="4">
        <v>1200</v>
      </c>
      <c r="E22" s="5">
        <v>1</v>
      </c>
      <c r="F22" s="1">
        <v>7.06</v>
      </c>
      <c r="G22" s="2">
        <v>0</v>
      </c>
      <c r="H22" s="3">
        <v>5.19</v>
      </c>
      <c r="I22" s="2">
        <v>0</v>
      </c>
      <c r="J22" s="1">
        <f>MIN($B22,$D22,$F22,$H22)</f>
        <v>0</v>
      </c>
      <c r="K22" s="1">
        <f>MIN($C22,$E22,$G22,$I22)</f>
        <v>0</v>
      </c>
      <c r="L22" s="1">
        <f>MEDIAN($B22,$D22,$F22,$H22)</f>
        <v>0</v>
      </c>
      <c r="M22" s="1">
        <f>MEDIAN($C22,$E22,$G22,$I22)</f>
        <v>0</v>
      </c>
      <c r="N22" s="1">
        <f>MAX($B22,$D22,$F22,$H22)</f>
        <v>0</v>
      </c>
      <c r="O22" s="1">
        <f>MAX($C22,$E22,$G22,$I22)</f>
        <v>0</v>
      </c>
    </row>
    <row r="23" spans="1:15">
      <c r="A23" s="1" t="s">
        <v>20</v>
      </c>
      <c r="B23" s="3">
        <v>5.92</v>
      </c>
      <c r="C23" s="2">
        <v>0</v>
      </c>
      <c r="D23" s="4">
        <v>1200</v>
      </c>
      <c r="E23" s="5">
        <v>1</v>
      </c>
      <c r="F23" s="1">
        <v>6.91</v>
      </c>
      <c r="G23" s="2">
        <v>0</v>
      </c>
      <c r="H23" s="1">
        <v>6.19</v>
      </c>
      <c r="I23" s="2">
        <v>0</v>
      </c>
      <c r="J23" s="1">
        <f>MIN($B23,$D23,$F23,$H23)</f>
        <v>0</v>
      </c>
      <c r="K23" s="1">
        <f>MIN($C23,$E23,$G23,$I23)</f>
        <v>0</v>
      </c>
      <c r="L23" s="1">
        <f>MEDIAN($B23,$D23,$F23,$H23)</f>
        <v>0</v>
      </c>
      <c r="M23" s="1">
        <f>MEDIAN($C23,$E23,$G23,$I23)</f>
        <v>0</v>
      </c>
      <c r="N23" s="1">
        <f>MAX($B23,$D23,$F23,$H23)</f>
        <v>0</v>
      </c>
      <c r="O23" s="1">
        <f>MAX($C23,$E23,$G23,$I23)</f>
        <v>0</v>
      </c>
    </row>
    <row r="24" spans="1:15">
      <c r="A24" s="1" t="s">
        <v>21</v>
      </c>
      <c r="B24" s="1">
        <v>5.57</v>
      </c>
      <c r="C24" s="2">
        <v>0</v>
      </c>
      <c r="D24" s="4">
        <v>1200</v>
      </c>
      <c r="E24" s="5">
        <v>1</v>
      </c>
      <c r="F24" s="1">
        <v>7.24</v>
      </c>
      <c r="G24" s="2">
        <v>0</v>
      </c>
      <c r="H24" s="3">
        <v>5.26</v>
      </c>
      <c r="I24" s="2">
        <v>0</v>
      </c>
      <c r="J24" s="1">
        <f>MIN($B24,$D24,$F24,$H24)</f>
        <v>0</v>
      </c>
      <c r="K24" s="1">
        <f>MIN($C24,$E24,$G24,$I24)</f>
        <v>0</v>
      </c>
      <c r="L24" s="1">
        <f>MEDIAN($B24,$D24,$F24,$H24)</f>
        <v>0</v>
      </c>
      <c r="M24" s="1">
        <f>MEDIAN($C24,$E24,$G24,$I24)</f>
        <v>0</v>
      </c>
      <c r="N24" s="1">
        <f>MAX($B24,$D24,$F24,$H24)</f>
        <v>0</v>
      </c>
      <c r="O24" s="1">
        <f>MAX($C24,$E24,$G24,$I24)</f>
        <v>0</v>
      </c>
    </row>
    <row r="25" spans="1:15">
      <c r="A25" s="1" t="s">
        <v>22</v>
      </c>
      <c r="B25" s="1">
        <v>27.22</v>
      </c>
      <c r="C25" s="2">
        <v>0</v>
      </c>
      <c r="D25" s="4">
        <v>1200</v>
      </c>
      <c r="E25" s="5">
        <v>1</v>
      </c>
      <c r="F25" s="1">
        <v>77.34999999999999</v>
      </c>
      <c r="G25" s="2">
        <v>0</v>
      </c>
      <c r="H25" s="3">
        <v>8.49</v>
      </c>
      <c r="I25" s="2">
        <v>0</v>
      </c>
      <c r="J25" s="1">
        <f>MIN($B25,$D25,$F25,$H25)</f>
        <v>0</v>
      </c>
      <c r="K25" s="1">
        <f>MIN($C25,$E25,$G25,$I25)</f>
        <v>0</v>
      </c>
      <c r="L25" s="1">
        <f>MEDIAN($B25,$D25,$F25,$H25)</f>
        <v>0</v>
      </c>
      <c r="M25" s="1">
        <f>MEDIAN($C25,$E25,$G25,$I25)</f>
        <v>0</v>
      </c>
      <c r="N25" s="1">
        <f>MAX($B25,$D25,$F25,$H25)</f>
        <v>0</v>
      </c>
      <c r="O25" s="1">
        <f>MAX($C25,$E25,$G25,$I25)</f>
        <v>0</v>
      </c>
    </row>
    <row r="26" spans="1:15">
      <c r="A26" s="1" t="s">
        <v>23</v>
      </c>
      <c r="B26" s="1">
        <v>44.1</v>
      </c>
      <c r="C26" s="2">
        <v>0</v>
      </c>
      <c r="D26" s="4">
        <v>1200</v>
      </c>
      <c r="E26" s="5">
        <v>1</v>
      </c>
      <c r="F26" s="1">
        <v>82.28</v>
      </c>
      <c r="G26" s="2">
        <v>0</v>
      </c>
      <c r="H26" s="3">
        <v>7.62</v>
      </c>
      <c r="I26" s="2">
        <v>0</v>
      </c>
      <c r="J26" s="1">
        <f>MIN($B26,$D26,$F26,$H26)</f>
        <v>0</v>
      </c>
      <c r="K26" s="1">
        <f>MIN($C26,$E26,$G26,$I26)</f>
        <v>0</v>
      </c>
      <c r="L26" s="1">
        <f>MEDIAN($B26,$D26,$F26,$H26)</f>
        <v>0</v>
      </c>
      <c r="M26" s="1">
        <f>MEDIAN($C26,$E26,$G26,$I26)</f>
        <v>0</v>
      </c>
      <c r="N26" s="1">
        <f>MAX($B26,$D26,$F26,$H26)</f>
        <v>0</v>
      </c>
      <c r="O26" s="1">
        <f>MAX($C26,$E26,$G26,$I26)</f>
        <v>0</v>
      </c>
    </row>
    <row r="27" spans="1:15">
      <c r="A27" s="1" t="s">
        <v>24</v>
      </c>
      <c r="B27" s="1">
        <v>14.74</v>
      </c>
      <c r="C27" s="2">
        <v>0</v>
      </c>
      <c r="D27" s="1">
        <v>13.7</v>
      </c>
      <c r="E27" s="2">
        <v>0</v>
      </c>
      <c r="F27" s="1">
        <v>16.21</v>
      </c>
      <c r="G27" s="2">
        <v>0</v>
      </c>
      <c r="H27" s="3">
        <v>7.92</v>
      </c>
      <c r="I27" s="2">
        <v>0</v>
      </c>
      <c r="J27" s="1">
        <f>MIN($B27,$D27,$F27,$H27)</f>
        <v>0</v>
      </c>
      <c r="K27" s="1">
        <f>MIN($C27,$E27,$G27,$I27)</f>
        <v>0</v>
      </c>
      <c r="L27" s="1">
        <f>MEDIAN($B27,$D27,$F27,$H27)</f>
        <v>0</v>
      </c>
      <c r="M27" s="1">
        <f>MEDIAN($C27,$E27,$G27,$I27)</f>
        <v>0</v>
      </c>
      <c r="N27" s="1">
        <f>MAX($B27,$D27,$F27,$H27)</f>
        <v>0</v>
      </c>
      <c r="O27" s="1">
        <f>MAX($C27,$E27,$G27,$I27)</f>
        <v>0</v>
      </c>
    </row>
    <row r="28" spans="1:15">
      <c r="A28" s="1" t="s">
        <v>25</v>
      </c>
      <c r="B28" s="1">
        <v>13.77</v>
      </c>
      <c r="C28" s="2">
        <v>0</v>
      </c>
      <c r="D28" s="4">
        <v>1200</v>
      </c>
      <c r="E28" s="5">
        <v>1</v>
      </c>
      <c r="F28" s="1">
        <v>13.32</v>
      </c>
      <c r="G28" s="2">
        <v>0</v>
      </c>
      <c r="H28" s="3">
        <v>7.3</v>
      </c>
      <c r="I28" s="2">
        <v>0</v>
      </c>
      <c r="J28" s="1">
        <f>MIN($B28,$D28,$F28,$H28)</f>
        <v>0</v>
      </c>
      <c r="K28" s="1">
        <f>MIN($C28,$E28,$G28,$I28)</f>
        <v>0</v>
      </c>
      <c r="L28" s="1">
        <f>MEDIAN($B28,$D28,$F28,$H28)</f>
        <v>0</v>
      </c>
      <c r="M28" s="1">
        <f>MEDIAN($C28,$E28,$G28,$I28)</f>
        <v>0</v>
      </c>
      <c r="N28" s="1">
        <f>MAX($B28,$D28,$F28,$H28)</f>
        <v>0</v>
      </c>
      <c r="O28" s="1">
        <f>MAX($C28,$E28,$G28,$I28)</f>
        <v>0</v>
      </c>
    </row>
    <row r="29" spans="1:15">
      <c r="A29" s="1" t="s">
        <v>26</v>
      </c>
      <c r="B29" s="1">
        <v>14.84</v>
      </c>
      <c r="C29" s="2">
        <v>0</v>
      </c>
      <c r="D29" s="4">
        <v>1200</v>
      </c>
      <c r="E29" s="5">
        <v>1</v>
      </c>
      <c r="F29" s="1">
        <v>18.17</v>
      </c>
      <c r="G29" s="2">
        <v>0</v>
      </c>
      <c r="H29" s="3">
        <v>7.16</v>
      </c>
      <c r="I29" s="2">
        <v>0</v>
      </c>
      <c r="J29" s="1">
        <f>MIN($B29,$D29,$F29,$H29)</f>
        <v>0</v>
      </c>
      <c r="K29" s="1">
        <f>MIN($C29,$E29,$G29,$I29)</f>
        <v>0</v>
      </c>
      <c r="L29" s="1">
        <f>MEDIAN($B29,$D29,$F29,$H29)</f>
        <v>0</v>
      </c>
      <c r="M29" s="1">
        <f>MEDIAN($C29,$E29,$G29,$I29)</f>
        <v>0</v>
      </c>
      <c r="N29" s="1">
        <f>MAX($B29,$D29,$F29,$H29)</f>
        <v>0</v>
      </c>
      <c r="O29" s="1">
        <f>MAX($C29,$E29,$G29,$I29)</f>
        <v>0</v>
      </c>
    </row>
    <row r="30" spans="1:15">
      <c r="A30" s="1" t="s">
        <v>27</v>
      </c>
      <c r="B30" s="1">
        <v>14.38</v>
      </c>
      <c r="C30" s="2">
        <v>0</v>
      </c>
      <c r="D30" s="4">
        <v>1200</v>
      </c>
      <c r="E30" s="5">
        <v>1</v>
      </c>
      <c r="F30" s="1">
        <v>18.09</v>
      </c>
      <c r="G30" s="2">
        <v>0</v>
      </c>
      <c r="H30" s="3">
        <v>7.16</v>
      </c>
      <c r="I30" s="2">
        <v>0</v>
      </c>
      <c r="J30" s="1">
        <f>MIN($B30,$D30,$F30,$H30)</f>
        <v>0</v>
      </c>
      <c r="K30" s="1">
        <f>MIN($C30,$E30,$G30,$I30)</f>
        <v>0</v>
      </c>
      <c r="L30" s="1">
        <f>MEDIAN($B30,$D30,$F30,$H30)</f>
        <v>0</v>
      </c>
      <c r="M30" s="1">
        <f>MEDIAN($C30,$E30,$G30,$I30)</f>
        <v>0</v>
      </c>
      <c r="N30" s="1">
        <f>MAX($B30,$D30,$F30,$H30)</f>
        <v>0</v>
      </c>
      <c r="O30" s="1">
        <f>MAX($C30,$E30,$G30,$I30)</f>
        <v>0</v>
      </c>
    </row>
    <row r="31" spans="1:15">
      <c r="A31" s="1" t="s">
        <v>28</v>
      </c>
      <c r="B31" s="1">
        <v>84.16</v>
      </c>
      <c r="C31" s="2">
        <v>0</v>
      </c>
      <c r="D31" s="4">
        <v>1200</v>
      </c>
      <c r="E31" s="5">
        <v>1</v>
      </c>
      <c r="F31" s="1">
        <v>121.1</v>
      </c>
      <c r="G31" s="2">
        <v>0</v>
      </c>
      <c r="H31" s="3">
        <v>9.710000000000001</v>
      </c>
      <c r="I31" s="2">
        <v>0</v>
      </c>
      <c r="J31" s="1">
        <f>MIN($B31,$D31,$F31,$H31)</f>
        <v>0</v>
      </c>
      <c r="K31" s="1">
        <f>MIN($C31,$E31,$G31,$I31)</f>
        <v>0</v>
      </c>
      <c r="L31" s="1">
        <f>MEDIAN($B31,$D31,$F31,$H31)</f>
        <v>0</v>
      </c>
      <c r="M31" s="1">
        <f>MEDIAN($C31,$E31,$G31,$I31)</f>
        <v>0</v>
      </c>
      <c r="N31" s="1">
        <f>MAX($B31,$D31,$F31,$H31)</f>
        <v>0</v>
      </c>
      <c r="O31" s="1">
        <f>MAX($C31,$E31,$G31,$I31)</f>
        <v>0</v>
      </c>
    </row>
    <row r="32" spans="1:15">
      <c r="A32" s="1" t="s">
        <v>29</v>
      </c>
      <c r="B32" s="1">
        <v>90.31999999999999</v>
      </c>
      <c r="C32" s="2">
        <v>0</v>
      </c>
      <c r="D32" s="4">
        <v>1200</v>
      </c>
      <c r="E32" s="5">
        <v>1</v>
      </c>
      <c r="F32" s="1">
        <v>112.11</v>
      </c>
      <c r="G32" s="2">
        <v>0</v>
      </c>
      <c r="H32" s="3">
        <v>9.56</v>
      </c>
      <c r="I32" s="2">
        <v>0</v>
      </c>
      <c r="J32" s="1">
        <f>MIN($B32,$D32,$F32,$H32)</f>
        <v>0</v>
      </c>
      <c r="K32" s="1">
        <f>MIN($C32,$E32,$G32,$I32)</f>
        <v>0</v>
      </c>
      <c r="L32" s="1">
        <f>MEDIAN($B32,$D32,$F32,$H32)</f>
        <v>0</v>
      </c>
      <c r="M32" s="1">
        <f>MEDIAN($C32,$E32,$G32,$I32)</f>
        <v>0</v>
      </c>
      <c r="N32" s="1">
        <f>MAX($B32,$D32,$F32,$H32)</f>
        <v>0</v>
      </c>
      <c r="O32" s="1">
        <f>MAX($C32,$E32,$G32,$I32)</f>
        <v>0</v>
      </c>
    </row>
    <row r="33" spans="1:15">
      <c r="A33" s="1" t="s">
        <v>30</v>
      </c>
      <c r="B33" s="1">
        <v>28.88</v>
      </c>
      <c r="C33" s="2">
        <v>0</v>
      </c>
      <c r="D33" s="1">
        <v>28.95</v>
      </c>
      <c r="E33" s="2">
        <v>0</v>
      </c>
      <c r="F33" s="4">
        <v>36.73</v>
      </c>
      <c r="G33" s="2">
        <v>0</v>
      </c>
      <c r="H33" s="3">
        <v>9.74</v>
      </c>
      <c r="I33" s="2">
        <v>0</v>
      </c>
      <c r="J33" s="1">
        <f>MIN($B33,$D33,$F33,$H33)</f>
        <v>0</v>
      </c>
      <c r="K33" s="1">
        <f>MIN($C33,$E33,$G33,$I33)</f>
        <v>0</v>
      </c>
      <c r="L33" s="1">
        <f>MEDIAN($B33,$D33,$F33,$H33)</f>
        <v>0</v>
      </c>
      <c r="M33" s="1">
        <f>MEDIAN($C33,$E33,$G33,$I33)</f>
        <v>0</v>
      </c>
      <c r="N33" s="1">
        <f>MAX($B33,$D33,$F33,$H33)</f>
        <v>0</v>
      </c>
      <c r="O33" s="1">
        <f>MAX($C33,$E33,$G33,$I33)</f>
        <v>0</v>
      </c>
    </row>
    <row r="34" spans="1:15">
      <c r="A34" s="1" t="s">
        <v>31</v>
      </c>
      <c r="B34" s="1">
        <v>29.85</v>
      </c>
      <c r="C34" s="2">
        <v>0</v>
      </c>
      <c r="D34" s="4">
        <v>1200</v>
      </c>
      <c r="E34" s="5">
        <v>1</v>
      </c>
      <c r="F34" s="1">
        <v>38.17</v>
      </c>
      <c r="G34" s="2">
        <v>0</v>
      </c>
      <c r="H34" s="3">
        <v>9.5</v>
      </c>
      <c r="I34" s="2">
        <v>0</v>
      </c>
      <c r="J34" s="1">
        <f>MIN($B34,$D34,$F34,$H34)</f>
        <v>0</v>
      </c>
      <c r="K34" s="1">
        <f>MIN($C34,$E34,$G34,$I34)</f>
        <v>0</v>
      </c>
      <c r="L34" s="1">
        <f>MEDIAN($B34,$D34,$F34,$H34)</f>
        <v>0</v>
      </c>
      <c r="M34" s="1">
        <f>MEDIAN($C34,$E34,$G34,$I34)</f>
        <v>0</v>
      </c>
      <c r="N34" s="1">
        <f>MAX($B34,$D34,$F34,$H34)</f>
        <v>0</v>
      </c>
      <c r="O34" s="1">
        <f>MAX($C34,$E34,$G34,$I34)</f>
        <v>0</v>
      </c>
    </row>
    <row r="35" spans="1:15">
      <c r="A35" s="1" t="s">
        <v>32</v>
      </c>
      <c r="B35" s="1">
        <v>30.87</v>
      </c>
      <c r="C35" s="2">
        <v>0</v>
      </c>
      <c r="D35" s="4">
        <v>1200</v>
      </c>
      <c r="E35" s="5">
        <v>1</v>
      </c>
      <c r="F35" s="1">
        <v>31.85</v>
      </c>
      <c r="G35" s="2">
        <v>0</v>
      </c>
      <c r="H35" s="3">
        <v>10.67</v>
      </c>
      <c r="I35" s="2">
        <v>0</v>
      </c>
      <c r="J35" s="1">
        <f>MIN($B35,$D35,$F35,$H35)</f>
        <v>0</v>
      </c>
      <c r="K35" s="1">
        <f>MIN($C35,$E35,$G35,$I35)</f>
        <v>0</v>
      </c>
      <c r="L35" s="1">
        <f>MEDIAN($B35,$D35,$F35,$H35)</f>
        <v>0</v>
      </c>
      <c r="M35" s="1">
        <f>MEDIAN($C35,$E35,$G35,$I35)</f>
        <v>0</v>
      </c>
      <c r="N35" s="1">
        <f>MAX($B35,$D35,$F35,$H35)</f>
        <v>0</v>
      </c>
      <c r="O35" s="1">
        <f>MAX($C35,$E35,$G35,$I35)</f>
        <v>0</v>
      </c>
    </row>
    <row r="36" spans="1:15">
      <c r="A36" s="1" t="s">
        <v>33</v>
      </c>
      <c r="B36" s="1">
        <v>30.22</v>
      </c>
      <c r="C36" s="2">
        <v>0</v>
      </c>
      <c r="D36" s="4">
        <v>1200</v>
      </c>
      <c r="E36" s="5">
        <v>1</v>
      </c>
      <c r="F36" s="1">
        <v>38.59</v>
      </c>
      <c r="G36" s="2">
        <v>0</v>
      </c>
      <c r="H36" s="3">
        <v>9.74</v>
      </c>
      <c r="I36" s="2">
        <v>0</v>
      </c>
      <c r="J36" s="1">
        <f>MIN($B36,$D36,$F36,$H36)</f>
        <v>0</v>
      </c>
      <c r="K36" s="1">
        <f>MIN($C36,$E36,$G36,$I36)</f>
        <v>0</v>
      </c>
      <c r="L36" s="1">
        <f>MEDIAN($B36,$D36,$F36,$H36)</f>
        <v>0</v>
      </c>
      <c r="M36" s="1">
        <f>MEDIAN($C36,$E36,$G36,$I36)</f>
        <v>0</v>
      </c>
      <c r="N36" s="1">
        <f>MAX($B36,$D36,$F36,$H36)</f>
        <v>0</v>
      </c>
      <c r="O36" s="1">
        <f>MAX($C36,$E36,$G36,$I36)</f>
        <v>0</v>
      </c>
    </row>
    <row r="37" spans="1:15">
      <c r="A37" s="1" t="s">
        <v>34</v>
      </c>
      <c r="B37" s="1">
        <v>116.52</v>
      </c>
      <c r="C37" s="2">
        <v>0</v>
      </c>
      <c r="D37" s="4">
        <v>1200</v>
      </c>
      <c r="E37" s="5">
        <v>1</v>
      </c>
      <c r="F37" s="1">
        <v>186.86</v>
      </c>
      <c r="G37" s="2">
        <v>0</v>
      </c>
      <c r="H37" s="3">
        <v>11.91</v>
      </c>
      <c r="I37" s="2">
        <v>0</v>
      </c>
      <c r="J37" s="1">
        <f>MIN($B37,$D37,$F37,$H37)</f>
        <v>0</v>
      </c>
      <c r="K37" s="1">
        <f>MIN($C37,$E37,$G37,$I37)</f>
        <v>0</v>
      </c>
      <c r="L37" s="1">
        <f>MEDIAN($B37,$D37,$F37,$H37)</f>
        <v>0</v>
      </c>
      <c r="M37" s="1">
        <f>MEDIAN($C37,$E37,$G37,$I37)</f>
        <v>0</v>
      </c>
      <c r="N37" s="1">
        <f>MAX($B37,$D37,$F37,$H37)</f>
        <v>0</v>
      </c>
      <c r="O37" s="1">
        <f>MAX($C37,$E37,$G37,$I37)</f>
        <v>0</v>
      </c>
    </row>
    <row r="38" spans="1:15">
      <c r="A38" s="1" t="s">
        <v>35</v>
      </c>
      <c r="B38" s="1">
        <v>184.41</v>
      </c>
      <c r="C38" s="6">
        <v>0</v>
      </c>
      <c r="D38" s="4">
        <v>1200</v>
      </c>
      <c r="E38" s="5">
        <v>1</v>
      </c>
      <c r="F38" s="4">
        <v>1200</v>
      </c>
      <c r="G38" s="5">
        <v>1</v>
      </c>
      <c r="H38" s="3">
        <v>12.03</v>
      </c>
      <c r="I38" s="6">
        <v>0</v>
      </c>
      <c r="J38" s="1">
        <f>MIN($B38,$D38,$F38,$H38)</f>
        <v>0</v>
      </c>
      <c r="K38" s="1">
        <f>MIN($C38,$E38,$G38,$I38)</f>
        <v>0</v>
      </c>
      <c r="L38" s="1">
        <f>MEDIAN($B38,$D38,$F38,$H38)</f>
        <v>0</v>
      </c>
      <c r="M38" s="1">
        <f>MEDIAN($C38,$E38,$G38,$I38)</f>
        <v>0</v>
      </c>
      <c r="N38" s="1">
        <f>MAX($B38,$D38,$F38,$H38)</f>
        <v>0</v>
      </c>
      <c r="O38" s="1">
        <f>MAX($C38,$E38,$G38,$I38)</f>
        <v>0</v>
      </c>
    </row>
    <row r="39" spans="1:15">
      <c r="A39" s="1" t="s">
        <v>36</v>
      </c>
      <c r="B39" s="4">
        <v>51.96</v>
      </c>
      <c r="C39" s="2">
        <v>0</v>
      </c>
      <c r="D39" s="1">
        <v>51.72</v>
      </c>
      <c r="E39" s="2">
        <v>0</v>
      </c>
      <c r="F39" s="1">
        <v>47.61</v>
      </c>
      <c r="G39" s="2">
        <v>0</v>
      </c>
      <c r="H39" s="3">
        <v>11.84</v>
      </c>
      <c r="I39" s="2">
        <v>0</v>
      </c>
      <c r="J39" s="1">
        <f>MIN($B39,$D39,$F39,$H39)</f>
        <v>0</v>
      </c>
      <c r="K39" s="1">
        <f>MIN($C39,$E39,$G39,$I39)</f>
        <v>0</v>
      </c>
      <c r="L39" s="1">
        <f>MEDIAN($B39,$D39,$F39,$H39)</f>
        <v>0</v>
      </c>
      <c r="M39" s="1">
        <f>MEDIAN($C39,$E39,$G39,$I39)</f>
        <v>0</v>
      </c>
      <c r="N39" s="1">
        <f>MAX($B39,$D39,$F39,$H39)</f>
        <v>0</v>
      </c>
      <c r="O39" s="1">
        <f>MAX($C39,$E39,$G39,$I39)</f>
        <v>0</v>
      </c>
    </row>
    <row r="40" spans="1:15">
      <c r="A40" s="1" t="s">
        <v>37</v>
      </c>
      <c r="B40" s="1">
        <v>49.41</v>
      </c>
      <c r="C40" s="2">
        <v>0</v>
      </c>
      <c r="D40" s="4">
        <v>1200</v>
      </c>
      <c r="E40" s="5">
        <v>1</v>
      </c>
      <c r="F40" s="1">
        <v>58.95</v>
      </c>
      <c r="G40" s="2">
        <v>0</v>
      </c>
      <c r="H40" s="3">
        <v>12.19</v>
      </c>
      <c r="I40" s="2">
        <v>0</v>
      </c>
      <c r="J40" s="1">
        <f>MIN($B40,$D40,$F40,$H40)</f>
        <v>0</v>
      </c>
      <c r="K40" s="1">
        <f>MIN($C40,$E40,$G40,$I40)</f>
        <v>0</v>
      </c>
      <c r="L40" s="1">
        <f>MEDIAN($B40,$D40,$F40,$H40)</f>
        <v>0</v>
      </c>
      <c r="M40" s="1">
        <f>MEDIAN($C40,$E40,$G40,$I40)</f>
        <v>0</v>
      </c>
      <c r="N40" s="1">
        <f>MAX($B40,$D40,$F40,$H40)</f>
        <v>0</v>
      </c>
      <c r="O40" s="1">
        <f>MAX($C40,$E40,$G40,$I40)</f>
        <v>0</v>
      </c>
    </row>
    <row r="41" spans="1:15">
      <c r="A41" s="1" t="s">
        <v>38</v>
      </c>
      <c r="B41" s="1">
        <v>53.55</v>
      </c>
      <c r="C41" s="2">
        <v>0</v>
      </c>
      <c r="D41" s="4">
        <v>1200</v>
      </c>
      <c r="E41" s="5">
        <v>1</v>
      </c>
      <c r="F41" s="1">
        <v>68.39</v>
      </c>
      <c r="G41" s="2">
        <v>0</v>
      </c>
      <c r="H41" s="3">
        <v>11.85</v>
      </c>
      <c r="I41" s="2">
        <v>0</v>
      </c>
      <c r="J41" s="1">
        <f>MIN($B41,$D41,$F41,$H41)</f>
        <v>0</v>
      </c>
      <c r="K41" s="1">
        <f>MIN($C41,$E41,$G41,$I41)</f>
        <v>0</v>
      </c>
      <c r="L41" s="1">
        <f>MEDIAN($B41,$D41,$F41,$H41)</f>
        <v>0</v>
      </c>
      <c r="M41" s="1">
        <f>MEDIAN($C41,$E41,$G41,$I41)</f>
        <v>0</v>
      </c>
      <c r="N41" s="1">
        <f>MAX($B41,$D41,$F41,$H41)</f>
        <v>0</v>
      </c>
      <c r="O41" s="1">
        <f>MAX($C41,$E41,$G41,$I41)</f>
        <v>0</v>
      </c>
    </row>
    <row r="42" spans="1:15">
      <c r="A42" s="1" t="s">
        <v>39</v>
      </c>
      <c r="B42" s="1">
        <v>49.07</v>
      </c>
      <c r="C42" s="2">
        <v>0</v>
      </c>
      <c r="D42" s="4">
        <v>1200</v>
      </c>
      <c r="E42" s="5">
        <v>1</v>
      </c>
      <c r="F42" s="1">
        <v>57.78</v>
      </c>
      <c r="G42" s="2">
        <v>0</v>
      </c>
      <c r="H42" s="3">
        <v>12.83</v>
      </c>
      <c r="I42" s="2">
        <v>0</v>
      </c>
      <c r="J42" s="1">
        <f>MIN($B42,$D42,$F42,$H42)</f>
        <v>0</v>
      </c>
      <c r="K42" s="1">
        <f>MIN($C42,$E42,$G42,$I42)</f>
        <v>0</v>
      </c>
      <c r="L42" s="1">
        <f>MEDIAN($B42,$D42,$F42,$H42)</f>
        <v>0</v>
      </c>
      <c r="M42" s="1">
        <f>MEDIAN($C42,$E42,$G42,$I42)</f>
        <v>0</v>
      </c>
      <c r="N42" s="1">
        <f>MAX($B42,$D42,$F42,$H42)</f>
        <v>0</v>
      </c>
      <c r="O42" s="1">
        <f>MAX($C42,$E42,$G42,$I42)</f>
        <v>0</v>
      </c>
    </row>
    <row r="43" spans="1:15">
      <c r="A43" s="1" t="s">
        <v>40</v>
      </c>
      <c r="B43" s="1">
        <v>1200</v>
      </c>
      <c r="C43" s="2">
        <v>1</v>
      </c>
      <c r="D43" s="1">
        <v>1200</v>
      </c>
      <c r="E43" s="2">
        <v>1</v>
      </c>
      <c r="F43" s="1">
        <v>1200</v>
      </c>
      <c r="G43" s="2">
        <v>1</v>
      </c>
      <c r="H43" s="3">
        <v>15.02</v>
      </c>
      <c r="I43" s="6">
        <v>0</v>
      </c>
      <c r="J43" s="1">
        <f>MIN($B43,$D43,$F43,$H43)</f>
        <v>0</v>
      </c>
      <c r="K43" s="1">
        <f>MIN($C43,$E43,$G43,$I43)</f>
        <v>0</v>
      </c>
      <c r="L43" s="1">
        <f>MEDIAN($B43,$D43,$F43,$H43)</f>
        <v>0</v>
      </c>
      <c r="M43" s="1">
        <f>MEDIAN($C43,$E43,$G43,$I43)</f>
        <v>0</v>
      </c>
      <c r="N43" s="1">
        <f>MAX($B43,$D43,$F43,$H43)</f>
        <v>0</v>
      </c>
      <c r="O43" s="1">
        <f>MAX($C43,$E43,$G43,$I43)</f>
        <v>0</v>
      </c>
    </row>
    <row r="44" spans="1:15">
      <c r="A44" s="1" t="s">
        <v>41</v>
      </c>
      <c r="B44" s="1">
        <v>155.07</v>
      </c>
      <c r="C44" s="6">
        <v>0</v>
      </c>
      <c r="D44" s="4">
        <v>1200</v>
      </c>
      <c r="E44" s="5">
        <v>1</v>
      </c>
      <c r="F44" s="4">
        <v>1200</v>
      </c>
      <c r="G44" s="5">
        <v>1</v>
      </c>
      <c r="H44" s="3">
        <v>14.21</v>
      </c>
      <c r="I44" s="6">
        <v>0</v>
      </c>
      <c r="J44" s="1">
        <f>MIN($B44,$D44,$F44,$H44)</f>
        <v>0</v>
      </c>
      <c r="K44" s="1">
        <f>MIN($C44,$E44,$G44,$I44)</f>
        <v>0</v>
      </c>
      <c r="L44" s="1">
        <f>MEDIAN($B44,$D44,$F44,$H44)</f>
        <v>0</v>
      </c>
      <c r="M44" s="1">
        <f>MEDIAN($C44,$E44,$G44,$I44)</f>
        <v>0</v>
      </c>
      <c r="N44" s="1">
        <f>MAX($B44,$D44,$F44,$H44)</f>
        <v>0</v>
      </c>
      <c r="O44" s="1">
        <f>MAX($C44,$E44,$G44,$I44)</f>
        <v>0</v>
      </c>
    </row>
    <row r="45" spans="1:15">
      <c r="A45" s="1" t="s">
        <v>42</v>
      </c>
      <c r="B45" s="1">
        <v>74.45999999999999</v>
      </c>
      <c r="C45" s="2">
        <v>0</v>
      </c>
      <c r="D45" s="4">
        <v>96.98999999999999</v>
      </c>
      <c r="E45" s="2">
        <v>0</v>
      </c>
      <c r="F45" s="1">
        <v>94.42</v>
      </c>
      <c r="G45" s="2">
        <v>0</v>
      </c>
      <c r="H45" s="3">
        <v>15.14</v>
      </c>
      <c r="I45" s="2">
        <v>0</v>
      </c>
      <c r="J45" s="1">
        <f>MIN($B45,$D45,$F45,$H45)</f>
        <v>0</v>
      </c>
      <c r="K45" s="1">
        <f>MIN($C45,$E45,$G45,$I45)</f>
        <v>0</v>
      </c>
      <c r="L45" s="1">
        <f>MEDIAN($B45,$D45,$F45,$H45)</f>
        <v>0</v>
      </c>
      <c r="M45" s="1">
        <f>MEDIAN($C45,$E45,$G45,$I45)</f>
        <v>0</v>
      </c>
      <c r="N45" s="1">
        <f>MAX($B45,$D45,$F45,$H45)</f>
        <v>0</v>
      </c>
      <c r="O45" s="1">
        <f>MAX($C45,$E45,$G45,$I45)</f>
        <v>0</v>
      </c>
    </row>
    <row r="46" spans="1:15">
      <c r="A46" s="1" t="s">
        <v>43</v>
      </c>
      <c r="B46" s="1">
        <v>77.45999999999999</v>
      </c>
      <c r="C46" s="2">
        <v>0</v>
      </c>
      <c r="D46" s="4">
        <v>1200</v>
      </c>
      <c r="E46" s="5">
        <v>1</v>
      </c>
      <c r="F46" s="1">
        <v>105.87</v>
      </c>
      <c r="G46" s="2">
        <v>0</v>
      </c>
      <c r="H46" s="3">
        <v>14.7</v>
      </c>
      <c r="I46" s="2">
        <v>0</v>
      </c>
      <c r="J46" s="1">
        <f>MIN($B46,$D46,$F46,$H46)</f>
        <v>0</v>
      </c>
      <c r="K46" s="1">
        <f>MIN($C46,$E46,$G46,$I46)</f>
        <v>0</v>
      </c>
      <c r="L46" s="1">
        <f>MEDIAN($B46,$D46,$F46,$H46)</f>
        <v>0</v>
      </c>
      <c r="M46" s="1">
        <f>MEDIAN($C46,$E46,$G46,$I46)</f>
        <v>0</v>
      </c>
      <c r="N46" s="1">
        <f>MAX($B46,$D46,$F46,$H46)</f>
        <v>0</v>
      </c>
      <c r="O46" s="1">
        <f>MAX($C46,$E46,$G46,$I46)</f>
        <v>0</v>
      </c>
    </row>
    <row r="47" spans="1:15">
      <c r="A47" s="1" t="s">
        <v>44</v>
      </c>
      <c r="B47" s="1">
        <v>84.83</v>
      </c>
      <c r="C47" s="2">
        <v>0</v>
      </c>
      <c r="D47" s="4">
        <v>1200</v>
      </c>
      <c r="E47" s="5">
        <v>1</v>
      </c>
      <c r="F47" s="1">
        <v>73.89</v>
      </c>
      <c r="G47" s="2">
        <v>0</v>
      </c>
      <c r="H47" s="3">
        <v>14.71</v>
      </c>
      <c r="I47" s="2">
        <v>0</v>
      </c>
      <c r="J47" s="1">
        <f>MIN($B47,$D47,$F47,$H47)</f>
        <v>0</v>
      </c>
      <c r="K47" s="1">
        <f>MIN($C47,$E47,$G47,$I47)</f>
        <v>0</v>
      </c>
      <c r="L47" s="1">
        <f>MEDIAN($B47,$D47,$F47,$H47)</f>
        <v>0</v>
      </c>
      <c r="M47" s="1">
        <f>MEDIAN($C47,$E47,$G47,$I47)</f>
        <v>0</v>
      </c>
      <c r="N47" s="1">
        <f>MAX($B47,$D47,$F47,$H47)</f>
        <v>0</v>
      </c>
      <c r="O47" s="1">
        <f>MAX($C47,$E47,$G47,$I47)</f>
        <v>0</v>
      </c>
    </row>
    <row r="48" spans="1:15">
      <c r="A48" s="1" t="s">
        <v>45</v>
      </c>
      <c r="B48" s="1">
        <v>77.77</v>
      </c>
      <c r="C48" s="2">
        <v>0</v>
      </c>
      <c r="D48" s="4">
        <v>1200</v>
      </c>
      <c r="E48" s="5">
        <v>1</v>
      </c>
      <c r="F48" s="1">
        <v>84.29000000000001</v>
      </c>
      <c r="G48" s="2">
        <v>0</v>
      </c>
      <c r="H48" s="3">
        <v>14.9</v>
      </c>
      <c r="I48" s="2">
        <v>0</v>
      </c>
      <c r="J48" s="1">
        <f>MIN($B48,$D48,$F48,$H48)</f>
        <v>0</v>
      </c>
      <c r="K48" s="1">
        <f>MIN($C48,$E48,$G48,$I48)</f>
        <v>0</v>
      </c>
      <c r="L48" s="1">
        <f>MEDIAN($B48,$D48,$F48,$H48)</f>
        <v>0</v>
      </c>
      <c r="M48" s="1">
        <f>MEDIAN($C48,$E48,$G48,$I48)</f>
        <v>0</v>
      </c>
      <c r="N48" s="1">
        <f>MAX($B48,$D48,$F48,$H48)</f>
        <v>0</v>
      </c>
      <c r="O48" s="1">
        <f>MAX($C48,$E48,$G48,$I48)</f>
        <v>0</v>
      </c>
    </row>
    <row r="49" spans="1:15">
      <c r="A49" s="1" t="s">
        <v>46</v>
      </c>
      <c r="B49" s="4">
        <v>256.95</v>
      </c>
      <c r="C49" s="2">
        <v>0</v>
      </c>
      <c r="D49" s="1">
        <v>180.72</v>
      </c>
      <c r="E49" s="2">
        <v>0</v>
      </c>
      <c r="F49" s="1">
        <v>178.7</v>
      </c>
      <c r="G49" s="2">
        <v>0</v>
      </c>
      <c r="H49" s="3">
        <v>6.83</v>
      </c>
      <c r="I49" s="2">
        <v>0</v>
      </c>
      <c r="J49" s="1">
        <f>MIN($B49,$D49,$F49,$H49)</f>
        <v>0</v>
      </c>
      <c r="K49" s="1">
        <f>MIN($C49,$E49,$G49,$I49)</f>
        <v>0</v>
      </c>
      <c r="L49" s="1">
        <f>MEDIAN($B49,$D49,$F49,$H49)</f>
        <v>0</v>
      </c>
      <c r="M49" s="1">
        <f>MEDIAN($C49,$E49,$G49,$I49)</f>
        <v>0</v>
      </c>
      <c r="N49" s="1">
        <f>MAX($B49,$D49,$F49,$H49)</f>
        <v>0</v>
      </c>
      <c r="O49" s="1">
        <f>MAX($C49,$E49,$G49,$I49)</f>
        <v>0</v>
      </c>
    </row>
    <row r="50" spans="1:15">
      <c r="A50" s="1" t="s">
        <v>47</v>
      </c>
      <c r="B50" s="4">
        <v>264.25</v>
      </c>
      <c r="C50" s="2">
        <v>0</v>
      </c>
      <c r="D50" s="1">
        <v>185.89</v>
      </c>
      <c r="E50" s="2">
        <v>0</v>
      </c>
      <c r="F50" s="1">
        <v>177.93</v>
      </c>
      <c r="G50" s="2">
        <v>0</v>
      </c>
      <c r="H50" s="3">
        <v>7.19</v>
      </c>
      <c r="I50" s="2">
        <v>0</v>
      </c>
      <c r="J50" s="1">
        <f>MIN($B50,$D50,$F50,$H50)</f>
        <v>0</v>
      </c>
      <c r="K50" s="1">
        <f>MIN($C50,$E50,$G50,$I50)</f>
        <v>0</v>
      </c>
      <c r="L50" s="1">
        <f>MEDIAN($B50,$D50,$F50,$H50)</f>
        <v>0</v>
      </c>
      <c r="M50" s="1">
        <f>MEDIAN($C50,$E50,$G50,$I50)</f>
        <v>0</v>
      </c>
      <c r="N50" s="1">
        <f>MAX($B50,$D50,$F50,$H50)</f>
        <v>0</v>
      </c>
      <c r="O50" s="1">
        <f>MAX($C50,$E50,$G50,$I50)</f>
        <v>0</v>
      </c>
    </row>
    <row r="51" spans="1:15">
      <c r="A51" s="1" t="s">
        <v>48</v>
      </c>
      <c r="B51" s="1">
        <v>254.93</v>
      </c>
      <c r="C51" s="2">
        <v>0</v>
      </c>
      <c r="D51" s="4">
        <v>320.86</v>
      </c>
      <c r="E51" s="2">
        <v>0</v>
      </c>
      <c r="F51" s="1">
        <v>180.7</v>
      </c>
      <c r="G51" s="2">
        <v>0</v>
      </c>
      <c r="H51" s="3">
        <v>7.03</v>
      </c>
      <c r="I51" s="2">
        <v>0</v>
      </c>
      <c r="J51" s="1">
        <f>MIN($B51,$D51,$F51,$H51)</f>
        <v>0</v>
      </c>
      <c r="K51" s="1">
        <f>MIN($C51,$E51,$G51,$I51)</f>
        <v>0</v>
      </c>
      <c r="L51" s="1">
        <f>MEDIAN($B51,$D51,$F51,$H51)</f>
        <v>0</v>
      </c>
      <c r="M51" s="1">
        <f>MEDIAN($C51,$E51,$G51,$I51)</f>
        <v>0</v>
      </c>
      <c r="N51" s="1">
        <f>MAX($B51,$D51,$F51,$H51)</f>
        <v>0</v>
      </c>
      <c r="O51" s="1">
        <f>MAX($C51,$E51,$G51,$I51)</f>
        <v>0</v>
      </c>
    </row>
    <row r="52" spans="1:15">
      <c r="A52" s="1" t="s">
        <v>49</v>
      </c>
      <c r="B52" s="1">
        <v>183.16</v>
      </c>
      <c r="C52" s="2">
        <v>0</v>
      </c>
      <c r="D52" s="1">
        <v>181.32</v>
      </c>
      <c r="E52" s="2">
        <v>0</v>
      </c>
      <c r="F52" s="4">
        <v>262.88</v>
      </c>
      <c r="G52" s="2">
        <v>0</v>
      </c>
      <c r="H52" s="3">
        <v>7.24</v>
      </c>
      <c r="I52" s="2">
        <v>0</v>
      </c>
      <c r="J52" s="1">
        <f>MIN($B52,$D52,$F52,$H52)</f>
        <v>0</v>
      </c>
      <c r="K52" s="1">
        <f>MIN($C52,$E52,$G52,$I52)</f>
        <v>0</v>
      </c>
      <c r="L52" s="1">
        <f>MEDIAN($B52,$D52,$F52,$H52)</f>
        <v>0</v>
      </c>
      <c r="M52" s="1">
        <f>MEDIAN($C52,$E52,$G52,$I52)</f>
        <v>0</v>
      </c>
      <c r="N52" s="1">
        <f>MAX($B52,$D52,$F52,$H52)</f>
        <v>0</v>
      </c>
      <c r="O52" s="1">
        <f>MAX($C52,$E52,$G52,$I52)</f>
        <v>0</v>
      </c>
    </row>
    <row r="53" spans="1:15">
      <c r="A53" s="1" t="s">
        <v>50</v>
      </c>
      <c r="B53" s="1">
        <v>186.96</v>
      </c>
      <c r="C53" s="2">
        <v>0</v>
      </c>
      <c r="D53" s="1">
        <v>181.81</v>
      </c>
      <c r="E53" s="2">
        <v>0</v>
      </c>
      <c r="F53" s="4">
        <v>260.04</v>
      </c>
      <c r="G53" s="2">
        <v>0</v>
      </c>
      <c r="H53" s="3">
        <v>7.2</v>
      </c>
      <c r="I53" s="2">
        <v>0</v>
      </c>
      <c r="J53" s="1">
        <f>MIN($B53,$D53,$F53,$H53)</f>
        <v>0</v>
      </c>
      <c r="K53" s="1">
        <f>MIN($C53,$E53,$G53,$I53)</f>
        <v>0</v>
      </c>
      <c r="L53" s="1">
        <f>MEDIAN($B53,$D53,$F53,$H53)</f>
        <v>0</v>
      </c>
      <c r="M53" s="1">
        <f>MEDIAN($C53,$E53,$G53,$I53)</f>
        <v>0</v>
      </c>
      <c r="N53" s="1">
        <f>MAX($B53,$D53,$F53,$H53)</f>
        <v>0</v>
      </c>
      <c r="O53" s="1">
        <f>MAX($C53,$E53,$G53,$I53)</f>
        <v>0</v>
      </c>
    </row>
    <row r="54" spans="1:15">
      <c r="A54" s="1" t="s">
        <v>51</v>
      </c>
      <c r="B54" s="4">
        <v>258.02</v>
      </c>
      <c r="C54" s="2">
        <v>0</v>
      </c>
      <c r="D54" s="1">
        <v>183.75</v>
      </c>
      <c r="E54" s="2">
        <v>0</v>
      </c>
      <c r="F54" s="1">
        <v>181.11</v>
      </c>
      <c r="G54" s="2">
        <v>0</v>
      </c>
      <c r="H54" s="3">
        <v>8.029999999999999</v>
      </c>
      <c r="I54" s="2">
        <v>0</v>
      </c>
      <c r="J54" s="1">
        <f>MIN($B54,$D54,$F54,$H54)</f>
        <v>0</v>
      </c>
      <c r="K54" s="1">
        <f>MIN($C54,$E54,$G54,$I54)</f>
        <v>0</v>
      </c>
      <c r="L54" s="1">
        <f>MEDIAN($B54,$D54,$F54,$H54)</f>
        <v>0</v>
      </c>
      <c r="M54" s="1">
        <f>MEDIAN($C54,$E54,$G54,$I54)</f>
        <v>0</v>
      </c>
      <c r="N54" s="1">
        <f>MAX($B54,$D54,$F54,$H54)</f>
        <v>0</v>
      </c>
      <c r="O54" s="1">
        <f>MAX($C54,$E54,$G54,$I54)</f>
        <v>0</v>
      </c>
    </row>
    <row r="55" spans="1:15">
      <c r="A55" s="1" t="s">
        <v>52</v>
      </c>
      <c r="B55" s="1">
        <v>214.21</v>
      </c>
      <c r="C55" s="2">
        <v>0</v>
      </c>
      <c r="D55" s="1">
        <v>204.06</v>
      </c>
      <c r="E55" s="2">
        <v>0</v>
      </c>
      <c r="F55" s="4">
        <v>256.05</v>
      </c>
      <c r="G55" s="2">
        <v>0</v>
      </c>
      <c r="H55" s="3">
        <v>6.98</v>
      </c>
      <c r="I55" s="2">
        <v>0</v>
      </c>
      <c r="J55" s="1">
        <f>MIN($B55,$D55,$F55,$H55)</f>
        <v>0</v>
      </c>
      <c r="K55" s="1">
        <f>MIN($C55,$E55,$G55,$I55)</f>
        <v>0</v>
      </c>
      <c r="L55" s="1">
        <f>MEDIAN($B55,$D55,$F55,$H55)</f>
        <v>0</v>
      </c>
      <c r="M55" s="1">
        <f>MEDIAN($C55,$E55,$G55,$I55)</f>
        <v>0</v>
      </c>
      <c r="N55" s="1">
        <f>MAX($B55,$D55,$F55,$H55)</f>
        <v>0</v>
      </c>
      <c r="O55" s="1">
        <f>MAX($C55,$E55,$G55,$I55)</f>
        <v>0</v>
      </c>
    </row>
    <row r="56" spans="1:15">
      <c r="A56" s="1" t="s">
        <v>53</v>
      </c>
      <c r="B56" s="1">
        <v>180.27</v>
      </c>
      <c r="C56" s="2">
        <v>0</v>
      </c>
      <c r="D56" s="1">
        <v>178.61</v>
      </c>
      <c r="E56" s="2">
        <v>0</v>
      </c>
      <c r="F56" s="4">
        <v>257.37</v>
      </c>
      <c r="G56" s="2">
        <v>0</v>
      </c>
      <c r="H56" s="3">
        <v>7.31</v>
      </c>
      <c r="I56" s="2">
        <v>0</v>
      </c>
      <c r="J56" s="1">
        <f>MIN($B56,$D56,$F56,$H56)</f>
        <v>0</v>
      </c>
      <c r="K56" s="1">
        <f>MIN($C56,$E56,$G56,$I56)</f>
        <v>0</v>
      </c>
      <c r="L56" s="1">
        <f>MEDIAN($B56,$D56,$F56,$H56)</f>
        <v>0</v>
      </c>
      <c r="M56" s="1">
        <f>MEDIAN($C56,$E56,$G56,$I56)</f>
        <v>0</v>
      </c>
      <c r="N56" s="1">
        <f>MAX($B56,$D56,$F56,$H56)</f>
        <v>0</v>
      </c>
      <c r="O56" s="1">
        <f>MAX($C56,$E56,$G56,$I56)</f>
        <v>0</v>
      </c>
    </row>
    <row r="57" spans="1:15">
      <c r="A57" s="1" t="s">
        <v>54</v>
      </c>
      <c r="B57" s="4">
        <v>319.48</v>
      </c>
      <c r="C57" s="2">
        <v>0</v>
      </c>
      <c r="D57" s="1">
        <v>179.65</v>
      </c>
      <c r="E57" s="2">
        <v>0</v>
      </c>
      <c r="F57" s="1">
        <v>179.7</v>
      </c>
      <c r="G57" s="2">
        <v>0</v>
      </c>
      <c r="H57" s="3">
        <v>7.07</v>
      </c>
      <c r="I57" s="2">
        <v>0</v>
      </c>
      <c r="J57" s="1">
        <f>MIN($B57,$D57,$F57,$H57)</f>
        <v>0</v>
      </c>
      <c r="K57" s="1">
        <f>MIN($C57,$E57,$G57,$I57)</f>
        <v>0</v>
      </c>
      <c r="L57" s="1">
        <f>MEDIAN($B57,$D57,$F57,$H57)</f>
        <v>0</v>
      </c>
      <c r="M57" s="1">
        <f>MEDIAN($C57,$E57,$G57,$I57)</f>
        <v>0</v>
      </c>
      <c r="N57" s="1">
        <f>MAX($B57,$D57,$F57,$H57)</f>
        <v>0</v>
      </c>
      <c r="O57" s="1">
        <f>MAX($C57,$E57,$G57,$I57)</f>
        <v>0</v>
      </c>
    </row>
    <row r="58" spans="1:15">
      <c r="A58" s="1" t="s">
        <v>55</v>
      </c>
      <c r="B58" s="1">
        <v>257.03</v>
      </c>
      <c r="C58" s="2">
        <v>0</v>
      </c>
      <c r="D58" s="4">
        <v>275.03</v>
      </c>
      <c r="E58" s="2">
        <v>0</v>
      </c>
      <c r="F58" s="1">
        <v>179.39</v>
      </c>
      <c r="G58" s="2">
        <v>0</v>
      </c>
      <c r="H58" s="3">
        <v>7.15</v>
      </c>
      <c r="I58" s="2">
        <v>0</v>
      </c>
      <c r="J58" s="1">
        <f>MIN($B58,$D58,$F58,$H58)</f>
        <v>0</v>
      </c>
      <c r="K58" s="1">
        <f>MIN($C58,$E58,$G58,$I58)</f>
        <v>0</v>
      </c>
      <c r="L58" s="1">
        <f>MEDIAN($B58,$D58,$F58,$H58)</f>
        <v>0</v>
      </c>
      <c r="M58" s="1">
        <f>MEDIAN($C58,$E58,$G58,$I58)</f>
        <v>0</v>
      </c>
      <c r="N58" s="1">
        <f>MAX($B58,$D58,$F58,$H58)</f>
        <v>0</v>
      </c>
      <c r="O58" s="1">
        <f>MAX($C58,$E58,$G58,$I58)</f>
        <v>0</v>
      </c>
    </row>
    <row r="59" spans="1:15">
      <c r="A59" s="1" t="s">
        <v>56</v>
      </c>
      <c r="B59" s="4">
        <v>910.9400000000001</v>
      </c>
      <c r="C59" s="2">
        <v>0</v>
      </c>
      <c r="D59" s="1">
        <v>637.65</v>
      </c>
      <c r="E59" s="2">
        <v>0</v>
      </c>
      <c r="F59" s="1">
        <v>634.66</v>
      </c>
      <c r="G59" s="2">
        <v>0</v>
      </c>
      <c r="H59" s="3">
        <v>9.130000000000001</v>
      </c>
      <c r="I59" s="2">
        <v>0</v>
      </c>
      <c r="J59" s="1">
        <f>MIN($B59,$D59,$F59,$H59)</f>
        <v>0</v>
      </c>
      <c r="K59" s="1">
        <f>MIN($C59,$E59,$G59,$I59)</f>
        <v>0</v>
      </c>
      <c r="L59" s="1">
        <f>MEDIAN($B59,$D59,$F59,$H59)</f>
        <v>0</v>
      </c>
      <c r="M59" s="1">
        <f>MEDIAN($C59,$E59,$G59,$I59)</f>
        <v>0</v>
      </c>
      <c r="N59" s="1">
        <f>MAX($B59,$D59,$F59,$H59)</f>
        <v>0</v>
      </c>
      <c r="O59" s="1">
        <f>MAX($C59,$E59,$G59,$I59)</f>
        <v>0</v>
      </c>
    </row>
    <row r="60" spans="1:15">
      <c r="A60" s="1" t="s">
        <v>57</v>
      </c>
      <c r="B60" s="1">
        <v>632.66</v>
      </c>
      <c r="C60" s="2">
        <v>0</v>
      </c>
      <c r="D60" s="1">
        <v>714.04</v>
      </c>
      <c r="E60" s="2">
        <v>0</v>
      </c>
      <c r="F60" s="4">
        <v>929.27</v>
      </c>
      <c r="G60" s="2">
        <v>0</v>
      </c>
      <c r="H60" s="3">
        <v>9.390000000000001</v>
      </c>
      <c r="I60" s="2">
        <v>0</v>
      </c>
      <c r="J60" s="1">
        <f>MIN($B60,$D60,$F60,$H60)</f>
        <v>0</v>
      </c>
      <c r="K60" s="1">
        <f>MIN($C60,$E60,$G60,$I60)</f>
        <v>0</v>
      </c>
      <c r="L60" s="1">
        <f>MEDIAN($B60,$D60,$F60,$H60)</f>
        <v>0</v>
      </c>
      <c r="M60" s="1">
        <f>MEDIAN($C60,$E60,$G60,$I60)</f>
        <v>0</v>
      </c>
      <c r="N60" s="1">
        <f>MAX($B60,$D60,$F60,$H60)</f>
        <v>0</v>
      </c>
      <c r="O60" s="1">
        <f>MAX($C60,$E60,$G60,$I60)</f>
        <v>0</v>
      </c>
    </row>
    <row r="61" spans="1:15">
      <c r="A61" s="1" t="s">
        <v>58</v>
      </c>
      <c r="B61" s="4">
        <v>944.4299999999999</v>
      </c>
      <c r="C61" s="2">
        <v>0</v>
      </c>
      <c r="D61" s="1">
        <v>662.15</v>
      </c>
      <c r="E61" s="2">
        <v>0</v>
      </c>
      <c r="F61" s="1">
        <v>939.0700000000001</v>
      </c>
      <c r="G61" s="2">
        <v>0</v>
      </c>
      <c r="H61" s="3">
        <v>9.26</v>
      </c>
      <c r="I61" s="2">
        <v>0</v>
      </c>
      <c r="J61" s="1">
        <f>MIN($B61,$D61,$F61,$H61)</f>
        <v>0</v>
      </c>
      <c r="K61" s="1">
        <f>MIN($C61,$E61,$G61,$I61)</f>
        <v>0</v>
      </c>
      <c r="L61" s="1">
        <f>MEDIAN($B61,$D61,$F61,$H61)</f>
        <v>0</v>
      </c>
      <c r="M61" s="1">
        <f>MEDIAN($C61,$E61,$G61,$I61)</f>
        <v>0</v>
      </c>
      <c r="N61" s="1">
        <f>MAX($B61,$D61,$F61,$H61)</f>
        <v>0</v>
      </c>
      <c r="O61" s="1">
        <f>MAX($C61,$E61,$G61,$I61)</f>
        <v>0</v>
      </c>
    </row>
    <row r="62" spans="1:15">
      <c r="A62" s="1" t="s">
        <v>59</v>
      </c>
      <c r="B62" s="1">
        <v>690.7</v>
      </c>
      <c r="C62" s="2">
        <v>0</v>
      </c>
      <c r="D62" s="1">
        <v>640.58</v>
      </c>
      <c r="E62" s="2">
        <v>0</v>
      </c>
      <c r="F62" s="4">
        <v>837.83</v>
      </c>
      <c r="G62" s="2">
        <v>0</v>
      </c>
      <c r="H62" s="3">
        <v>9.300000000000001</v>
      </c>
      <c r="I62" s="2">
        <v>0</v>
      </c>
      <c r="J62" s="1">
        <f>MIN($B62,$D62,$F62,$H62)</f>
        <v>0</v>
      </c>
      <c r="K62" s="1">
        <f>MIN($C62,$E62,$G62,$I62)</f>
        <v>0</v>
      </c>
      <c r="L62" s="1">
        <f>MEDIAN($B62,$D62,$F62,$H62)</f>
        <v>0</v>
      </c>
      <c r="M62" s="1">
        <f>MEDIAN($C62,$E62,$G62,$I62)</f>
        <v>0</v>
      </c>
      <c r="N62" s="1">
        <f>MAX($B62,$D62,$F62,$H62)</f>
        <v>0</v>
      </c>
      <c r="O62" s="1">
        <f>MAX($C62,$E62,$G62,$I62)</f>
        <v>0</v>
      </c>
    </row>
    <row r="63" spans="1:15">
      <c r="A63" s="1" t="s">
        <v>60</v>
      </c>
      <c r="B63" s="4">
        <v>955.45</v>
      </c>
      <c r="C63" s="2">
        <v>0</v>
      </c>
      <c r="D63" s="1">
        <v>792.09</v>
      </c>
      <c r="E63" s="2">
        <v>0</v>
      </c>
      <c r="F63" s="1">
        <v>635.22</v>
      </c>
      <c r="G63" s="2">
        <v>0</v>
      </c>
      <c r="H63" s="3">
        <v>9.359999999999999</v>
      </c>
      <c r="I63" s="2">
        <v>0</v>
      </c>
      <c r="J63" s="1">
        <f>MIN($B63,$D63,$F63,$H63)</f>
        <v>0</v>
      </c>
      <c r="K63" s="1">
        <f>MIN($C63,$E63,$G63,$I63)</f>
        <v>0</v>
      </c>
      <c r="L63" s="1">
        <f>MEDIAN($B63,$D63,$F63,$H63)</f>
        <v>0</v>
      </c>
      <c r="M63" s="1">
        <f>MEDIAN($C63,$E63,$G63,$I63)</f>
        <v>0</v>
      </c>
      <c r="N63" s="1">
        <f>MAX($B63,$D63,$F63,$H63)</f>
        <v>0</v>
      </c>
      <c r="O63" s="1">
        <f>MAX($C63,$E63,$G63,$I63)</f>
        <v>0</v>
      </c>
    </row>
    <row r="64" spans="1:15">
      <c r="A64" s="1" t="s">
        <v>61</v>
      </c>
      <c r="B64" s="4">
        <v>906.88</v>
      </c>
      <c r="C64" s="2">
        <v>0</v>
      </c>
      <c r="D64" s="1">
        <v>637.63</v>
      </c>
      <c r="E64" s="2">
        <v>0</v>
      </c>
      <c r="F64" s="1">
        <v>624.46</v>
      </c>
      <c r="G64" s="2">
        <v>0</v>
      </c>
      <c r="H64" s="3">
        <v>9.300000000000001</v>
      </c>
      <c r="I64" s="2">
        <v>0</v>
      </c>
      <c r="J64" s="1">
        <f>MIN($B64,$D64,$F64,$H64)</f>
        <v>0</v>
      </c>
      <c r="K64" s="1">
        <f>MIN($C64,$E64,$G64,$I64)</f>
        <v>0</v>
      </c>
      <c r="L64" s="1">
        <f>MEDIAN($B64,$D64,$F64,$H64)</f>
        <v>0</v>
      </c>
      <c r="M64" s="1">
        <f>MEDIAN($C64,$E64,$G64,$I64)</f>
        <v>0</v>
      </c>
      <c r="N64" s="1">
        <f>MAX($B64,$D64,$F64,$H64)</f>
        <v>0</v>
      </c>
      <c r="O64" s="1">
        <f>MAX($C64,$E64,$G64,$I64)</f>
        <v>0</v>
      </c>
    </row>
    <row r="65" spans="1:15">
      <c r="A65" s="1" t="s">
        <v>62</v>
      </c>
      <c r="B65" s="4">
        <v>934.67</v>
      </c>
      <c r="C65" s="2">
        <v>0</v>
      </c>
      <c r="D65" s="1">
        <v>677.3200000000001</v>
      </c>
      <c r="E65" s="2">
        <v>0</v>
      </c>
      <c r="F65" s="1">
        <v>863.26</v>
      </c>
      <c r="G65" s="2">
        <v>0</v>
      </c>
      <c r="H65" s="3">
        <v>9.01</v>
      </c>
      <c r="I65" s="2">
        <v>0</v>
      </c>
      <c r="J65" s="1">
        <f>MIN($B65,$D65,$F65,$H65)</f>
        <v>0</v>
      </c>
      <c r="K65" s="1">
        <f>MIN($C65,$E65,$G65,$I65)</f>
        <v>0</v>
      </c>
      <c r="L65" s="1">
        <f>MEDIAN($B65,$D65,$F65,$H65)</f>
        <v>0</v>
      </c>
      <c r="M65" s="1">
        <f>MEDIAN($C65,$E65,$G65,$I65)</f>
        <v>0</v>
      </c>
      <c r="N65" s="1">
        <f>MAX($B65,$D65,$F65,$H65)</f>
        <v>0</v>
      </c>
      <c r="O65" s="1">
        <f>MAX($C65,$E65,$G65,$I65)</f>
        <v>0</v>
      </c>
    </row>
    <row r="66" spans="1:15">
      <c r="A66" s="1" t="s">
        <v>63</v>
      </c>
      <c r="B66" s="4">
        <v>922.89</v>
      </c>
      <c r="C66" s="2">
        <v>0</v>
      </c>
      <c r="D66" s="1">
        <v>655.95</v>
      </c>
      <c r="E66" s="2">
        <v>0</v>
      </c>
      <c r="F66" s="1">
        <v>864.61</v>
      </c>
      <c r="G66" s="2">
        <v>0</v>
      </c>
      <c r="H66" s="3">
        <v>9.27</v>
      </c>
      <c r="I66" s="2">
        <v>0</v>
      </c>
      <c r="J66" s="1">
        <f>MIN($B66,$D66,$F66,$H66)</f>
        <v>0</v>
      </c>
      <c r="K66" s="1">
        <f>MIN($C66,$E66,$G66,$I66)</f>
        <v>0</v>
      </c>
      <c r="L66" s="1">
        <f>MEDIAN($B66,$D66,$F66,$H66)</f>
        <v>0</v>
      </c>
      <c r="M66" s="1">
        <f>MEDIAN($C66,$E66,$G66,$I66)</f>
        <v>0</v>
      </c>
      <c r="N66" s="1">
        <f>MAX($B66,$D66,$F66,$H66)</f>
        <v>0</v>
      </c>
      <c r="O66" s="1">
        <f>MAX($C66,$E66,$G66,$I66)</f>
        <v>0</v>
      </c>
    </row>
    <row r="67" spans="1:15">
      <c r="A67" s="1" t="s">
        <v>64</v>
      </c>
      <c r="B67" s="1">
        <v>652.77</v>
      </c>
      <c r="C67" s="2">
        <v>0</v>
      </c>
      <c r="D67" s="1">
        <v>637.0700000000001</v>
      </c>
      <c r="E67" s="2">
        <v>0</v>
      </c>
      <c r="F67" s="4">
        <v>815.8200000000001</v>
      </c>
      <c r="G67" s="2">
        <v>0</v>
      </c>
      <c r="H67" s="3">
        <v>9.289999999999999</v>
      </c>
      <c r="I67" s="2">
        <v>0</v>
      </c>
      <c r="J67" s="1">
        <f>MIN($B67,$D67,$F67,$H67)</f>
        <v>0</v>
      </c>
      <c r="K67" s="1">
        <f>MIN($C67,$E67,$G67,$I67)</f>
        <v>0</v>
      </c>
      <c r="L67" s="1">
        <f>MEDIAN($B67,$D67,$F67,$H67)</f>
        <v>0</v>
      </c>
      <c r="M67" s="1">
        <f>MEDIAN($C67,$E67,$G67,$I67)</f>
        <v>0</v>
      </c>
      <c r="N67" s="1">
        <f>MAX($B67,$D67,$F67,$H67)</f>
        <v>0</v>
      </c>
      <c r="O67" s="1">
        <f>MAX($C67,$E67,$G67,$I67)</f>
        <v>0</v>
      </c>
    </row>
    <row r="68" spans="1:15">
      <c r="A68" s="1" t="s">
        <v>65</v>
      </c>
      <c r="B68" s="4">
        <v>883.13</v>
      </c>
      <c r="C68" s="2">
        <v>0</v>
      </c>
      <c r="D68" s="1">
        <v>741.92</v>
      </c>
      <c r="E68" s="2">
        <v>0</v>
      </c>
      <c r="F68" s="1">
        <v>624.63</v>
      </c>
      <c r="G68" s="2">
        <v>0</v>
      </c>
      <c r="H68" s="3">
        <v>8.99</v>
      </c>
      <c r="I68" s="2">
        <v>0</v>
      </c>
      <c r="J68" s="1">
        <f>MIN($B68,$D68,$F68,$H68)</f>
        <v>0</v>
      </c>
      <c r="K68" s="1">
        <f>MIN($C68,$E68,$G68,$I68)</f>
        <v>0</v>
      </c>
      <c r="L68" s="1">
        <f>MEDIAN($B68,$D68,$F68,$H68)</f>
        <v>0</v>
      </c>
      <c r="M68" s="1">
        <f>MEDIAN($C68,$E68,$G68,$I68)</f>
        <v>0</v>
      </c>
      <c r="N68" s="1">
        <f>MAX($B68,$D68,$F68,$H68)</f>
        <v>0</v>
      </c>
      <c r="O68" s="1">
        <f>MAX($C68,$E68,$G68,$I68)</f>
        <v>0</v>
      </c>
    </row>
    <row r="69" spans="1:15">
      <c r="A69" s="1" t="s">
        <v>66</v>
      </c>
      <c r="B69" s="1">
        <v>1200</v>
      </c>
      <c r="C69" s="2">
        <v>1</v>
      </c>
      <c r="D69" s="1">
        <v>1200</v>
      </c>
      <c r="E69" s="2">
        <v>1</v>
      </c>
      <c r="F69" s="1">
        <v>1200</v>
      </c>
      <c r="G69" s="2">
        <v>1</v>
      </c>
      <c r="H69" s="3">
        <v>11.29</v>
      </c>
      <c r="I69" s="6">
        <v>0</v>
      </c>
      <c r="J69" s="1">
        <f>MIN($B69,$D69,$F69,$H69)</f>
        <v>0</v>
      </c>
      <c r="K69" s="1">
        <f>MIN($C69,$E69,$G69,$I69)</f>
        <v>0</v>
      </c>
      <c r="L69" s="1">
        <f>MEDIAN($B69,$D69,$F69,$H69)</f>
        <v>0</v>
      </c>
      <c r="M69" s="1">
        <f>MEDIAN($C69,$E69,$G69,$I69)</f>
        <v>0</v>
      </c>
      <c r="N69" s="1">
        <f>MAX($B69,$D69,$F69,$H69)</f>
        <v>0</v>
      </c>
      <c r="O69" s="1">
        <f>MAX($C69,$E69,$G69,$I69)</f>
        <v>0</v>
      </c>
    </row>
    <row r="70" spans="1:15">
      <c r="A70" s="1" t="s">
        <v>67</v>
      </c>
      <c r="B70" s="1">
        <v>1200</v>
      </c>
      <c r="C70" s="2">
        <v>1</v>
      </c>
      <c r="D70" s="1">
        <v>1200</v>
      </c>
      <c r="E70" s="2">
        <v>1</v>
      </c>
      <c r="F70" s="1">
        <v>1200</v>
      </c>
      <c r="G70" s="2">
        <v>1</v>
      </c>
      <c r="H70" s="3">
        <v>11.37</v>
      </c>
      <c r="I70" s="6">
        <v>0</v>
      </c>
      <c r="J70" s="1">
        <f>MIN($B70,$D70,$F70,$H70)</f>
        <v>0</v>
      </c>
      <c r="K70" s="1">
        <f>MIN($C70,$E70,$G70,$I70)</f>
        <v>0</v>
      </c>
      <c r="L70" s="1">
        <f>MEDIAN($B70,$D70,$F70,$H70)</f>
        <v>0</v>
      </c>
      <c r="M70" s="1">
        <f>MEDIAN($C70,$E70,$G70,$I70)</f>
        <v>0</v>
      </c>
      <c r="N70" s="1">
        <f>MAX($B70,$D70,$F70,$H70)</f>
        <v>0</v>
      </c>
      <c r="O70" s="1">
        <f>MAX($C70,$E70,$G70,$I70)</f>
        <v>0</v>
      </c>
    </row>
    <row r="71" spans="1:15">
      <c r="A71" s="1" t="s">
        <v>68</v>
      </c>
      <c r="B71" s="1">
        <v>1200</v>
      </c>
      <c r="C71" s="2">
        <v>1</v>
      </c>
      <c r="D71" s="1">
        <v>1200</v>
      </c>
      <c r="E71" s="2">
        <v>1</v>
      </c>
      <c r="F71" s="1">
        <v>1200</v>
      </c>
      <c r="G71" s="2">
        <v>1</v>
      </c>
      <c r="H71" s="3">
        <v>11.06</v>
      </c>
      <c r="I71" s="6">
        <v>0</v>
      </c>
      <c r="J71" s="1">
        <f>MIN($B71,$D71,$F71,$H71)</f>
        <v>0</v>
      </c>
      <c r="K71" s="1">
        <f>MIN($C71,$E71,$G71,$I71)</f>
        <v>0</v>
      </c>
      <c r="L71" s="1">
        <f>MEDIAN($B71,$D71,$F71,$H71)</f>
        <v>0</v>
      </c>
      <c r="M71" s="1">
        <f>MEDIAN($C71,$E71,$G71,$I71)</f>
        <v>0</v>
      </c>
      <c r="N71" s="1">
        <f>MAX($B71,$D71,$F71,$H71)</f>
        <v>0</v>
      </c>
      <c r="O71" s="1">
        <f>MAX($C71,$E71,$G71,$I71)</f>
        <v>0</v>
      </c>
    </row>
    <row r="72" spans="1:15">
      <c r="A72" s="1" t="s">
        <v>69</v>
      </c>
      <c r="B72" s="1">
        <v>1200</v>
      </c>
      <c r="C72" s="2">
        <v>1</v>
      </c>
      <c r="D72" s="1">
        <v>1200</v>
      </c>
      <c r="E72" s="2">
        <v>1</v>
      </c>
      <c r="F72" s="1">
        <v>1200</v>
      </c>
      <c r="G72" s="2">
        <v>1</v>
      </c>
      <c r="H72" s="3">
        <v>11.2</v>
      </c>
      <c r="I72" s="6">
        <v>0</v>
      </c>
      <c r="J72" s="1">
        <f>MIN($B72,$D72,$F72,$H72)</f>
        <v>0</v>
      </c>
      <c r="K72" s="1">
        <f>MIN($C72,$E72,$G72,$I72)</f>
        <v>0</v>
      </c>
      <c r="L72" s="1">
        <f>MEDIAN($B72,$D72,$F72,$H72)</f>
        <v>0</v>
      </c>
      <c r="M72" s="1">
        <f>MEDIAN($C72,$E72,$G72,$I72)</f>
        <v>0</v>
      </c>
      <c r="N72" s="1">
        <f>MAX($B72,$D72,$F72,$H72)</f>
        <v>0</v>
      </c>
      <c r="O72" s="1">
        <f>MAX($C72,$E72,$G72,$I72)</f>
        <v>0</v>
      </c>
    </row>
    <row r="73" spans="1:15">
      <c r="A73" s="1" t="s">
        <v>70</v>
      </c>
      <c r="B73" s="1">
        <v>1200</v>
      </c>
      <c r="C73" s="2">
        <v>1</v>
      </c>
      <c r="D73" s="1">
        <v>1200</v>
      </c>
      <c r="E73" s="2">
        <v>1</v>
      </c>
      <c r="F73" s="1">
        <v>1200</v>
      </c>
      <c r="G73" s="2">
        <v>1</v>
      </c>
      <c r="H73" s="3">
        <v>11</v>
      </c>
      <c r="I73" s="6">
        <v>0</v>
      </c>
      <c r="J73" s="1">
        <f>MIN($B73,$D73,$F73,$H73)</f>
        <v>0</v>
      </c>
      <c r="K73" s="1">
        <f>MIN($C73,$E73,$G73,$I73)</f>
        <v>0</v>
      </c>
      <c r="L73" s="1">
        <f>MEDIAN($B73,$D73,$F73,$H73)</f>
        <v>0</v>
      </c>
      <c r="M73" s="1">
        <f>MEDIAN($C73,$E73,$G73,$I73)</f>
        <v>0</v>
      </c>
      <c r="N73" s="1">
        <f>MAX($B73,$D73,$F73,$H73)</f>
        <v>0</v>
      </c>
      <c r="O73" s="1">
        <f>MAX($C73,$E73,$G73,$I73)</f>
        <v>0</v>
      </c>
    </row>
    <row r="74" spans="1:15">
      <c r="A74" s="1" t="s">
        <v>71</v>
      </c>
      <c r="B74" s="1">
        <v>1200</v>
      </c>
      <c r="C74" s="2">
        <v>1</v>
      </c>
      <c r="D74" s="1">
        <v>1200</v>
      </c>
      <c r="E74" s="2">
        <v>1</v>
      </c>
      <c r="F74" s="1">
        <v>1200</v>
      </c>
      <c r="G74" s="2">
        <v>1</v>
      </c>
      <c r="H74" s="3">
        <v>11.32</v>
      </c>
      <c r="I74" s="6">
        <v>0</v>
      </c>
      <c r="J74" s="1">
        <f>MIN($B74,$D74,$F74,$H74)</f>
        <v>0</v>
      </c>
      <c r="K74" s="1">
        <f>MIN($C74,$E74,$G74,$I74)</f>
        <v>0</v>
      </c>
      <c r="L74" s="1">
        <f>MEDIAN($B74,$D74,$F74,$H74)</f>
        <v>0</v>
      </c>
      <c r="M74" s="1">
        <f>MEDIAN($C74,$E74,$G74,$I74)</f>
        <v>0</v>
      </c>
      <c r="N74" s="1">
        <f>MAX($B74,$D74,$F74,$H74)</f>
        <v>0</v>
      </c>
      <c r="O74" s="1">
        <f>MAX($C74,$E74,$G74,$I74)</f>
        <v>0</v>
      </c>
    </row>
    <row r="75" spans="1:15">
      <c r="A75" s="1" t="s">
        <v>72</v>
      </c>
      <c r="B75" s="1">
        <v>1200</v>
      </c>
      <c r="C75" s="2">
        <v>1</v>
      </c>
      <c r="D75" s="1">
        <v>1200</v>
      </c>
      <c r="E75" s="2">
        <v>1</v>
      </c>
      <c r="F75" s="1">
        <v>1200</v>
      </c>
      <c r="G75" s="2">
        <v>1</v>
      </c>
      <c r="H75" s="3">
        <v>11.29</v>
      </c>
      <c r="I75" s="6">
        <v>0</v>
      </c>
      <c r="J75" s="1">
        <f>MIN($B75,$D75,$F75,$H75)</f>
        <v>0</v>
      </c>
      <c r="K75" s="1">
        <f>MIN($C75,$E75,$G75,$I75)</f>
        <v>0</v>
      </c>
      <c r="L75" s="1">
        <f>MEDIAN($B75,$D75,$F75,$H75)</f>
        <v>0</v>
      </c>
      <c r="M75" s="1">
        <f>MEDIAN($C75,$E75,$G75,$I75)</f>
        <v>0</v>
      </c>
      <c r="N75" s="1">
        <f>MAX($B75,$D75,$F75,$H75)</f>
        <v>0</v>
      </c>
      <c r="O75" s="1">
        <f>MAX($C75,$E75,$G75,$I75)</f>
        <v>0</v>
      </c>
    </row>
    <row r="76" spans="1:15">
      <c r="A76" s="1" t="s">
        <v>73</v>
      </c>
      <c r="B76" s="1">
        <v>1200</v>
      </c>
      <c r="C76" s="2">
        <v>1</v>
      </c>
      <c r="D76" s="1">
        <v>1200</v>
      </c>
      <c r="E76" s="2">
        <v>1</v>
      </c>
      <c r="F76" s="1">
        <v>1200</v>
      </c>
      <c r="G76" s="2">
        <v>1</v>
      </c>
      <c r="H76" s="3">
        <v>11.19</v>
      </c>
      <c r="I76" s="6">
        <v>0</v>
      </c>
      <c r="J76" s="1">
        <f>MIN($B76,$D76,$F76,$H76)</f>
        <v>0</v>
      </c>
      <c r="K76" s="1">
        <f>MIN($C76,$E76,$G76,$I76)</f>
        <v>0</v>
      </c>
      <c r="L76" s="1">
        <f>MEDIAN($B76,$D76,$F76,$H76)</f>
        <v>0</v>
      </c>
      <c r="M76" s="1">
        <f>MEDIAN($C76,$E76,$G76,$I76)</f>
        <v>0</v>
      </c>
      <c r="N76" s="1">
        <f>MAX($B76,$D76,$F76,$H76)</f>
        <v>0</v>
      </c>
      <c r="O76" s="1">
        <f>MAX($C76,$E76,$G76,$I76)</f>
        <v>0</v>
      </c>
    </row>
    <row r="77" spans="1:15">
      <c r="A77" s="1" t="s">
        <v>74</v>
      </c>
      <c r="B77" s="1">
        <v>1200</v>
      </c>
      <c r="C77" s="2">
        <v>1</v>
      </c>
      <c r="D77" s="1">
        <v>1200</v>
      </c>
      <c r="E77" s="2">
        <v>1</v>
      </c>
      <c r="F77" s="1">
        <v>1200</v>
      </c>
      <c r="G77" s="2">
        <v>1</v>
      </c>
      <c r="H77" s="3">
        <v>11.22</v>
      </c>
      <c r="I77" s="6">
        <v>0</v>
      </c>
      <c r="J77" s="1">
        <f>MIN($B77,$D77,$F77,$H77)</f>
        <v>0</v>
      </c>
      <c r="K77" s="1">
        <f>MIN($C77,$E77,$G77,$I77)</f>
        <v>0</v>
      </c>
      <c r="L77" s="1">
        <f>MEDIAN($B77,$D77,$F77,$H77)</f>
        <v>0</v>
      </c>
      <c r="M77" s="1">
        <f>MEDIAN($C77,$E77,$G77,$I77)</f>
        <v>0</v>
      </c>
      <c r="N77" s="1">
        <f>MAX($B77,$D77,$F77,$H77)</f>
        <v>0</v>
      </c>
      <c r="O77" s="1">
        <f>MAX($C77,$E77,$G77,$I77)</f>
        <v>0</v>
      </c>
    </row>
    <row r="78" spans="1:15">
      <c r="A78" s="1" t="s">
        <v>75</v>
      </c>
      <c r="B78" s="1">
        <v>1200</v>
      </c>
      <c r="C78" s="2">
        <v>1</v>
      </c>
      <c r="D78" s="1">
        <v>1200</v>
      </c>
      <c r="E78" s="2">
        <v>1</v>
      </c>
      <c r="F78" s="1">
        <v>1200</v>
      </c>
      <c r="G78" s="2">
        <v>1</v>
      </c>
      <c r="H78" s="3">
        <v>11.37</v>
      </c>
      <c r="I78" s="6">
        <v>0</v>
      </c>
      <c r="J78" s="1">
        <f>MIN($B78,$D78,$F78,$H78)</f>
        <v>0</v>
      </c>
      <c r="K78" s="1">
        <f>MIN($C78,$E78,$G78,$I78)</f>
        <v>0</v>
      </c>
      <c r="L78" s="1">
        <f>MEDIAN($B78,$D78,$F78,$H78)</f>
        <v>0</v>
      </c>
      <c r="M78" s="1">
        <f>MEDIAN($C78,$E78,$G78,$I78)</f>
        <v>0</v>
      </c>
      <c r="N78" s="1">
        <f>MAX($B78,$D78,$F78,$H78)</f>
        <v>0</v>
      </c>
      <c r="O78" s="1">
        <f>MAX($C78,$E78,$G78,$I78)</f>
        <v>0</v>
      </c>
    </row>
    <row r="79" spans="1:15">
      <c r="A79" s="1" t="s">
        <v>76</v>
      </c>
      <c r="B79" s="1">
        <v>35.2</v>
      </c>
      <c r="C79" s="2">
        <v>0</v>
      </c>
      <c r="D79" s="1">
        <v>31.79</v>
      </c>
      <c r="E79" s="2">
        <v>0</v>
      </c>
      <c r="F79" s="4">
        <v>44.8</v>
      </c>
      <c r="G79" s="2">
        <v>0</v>
      </c>
      <c r="H79" s="3">
        <v>5.06</v>
      </c>
      <c r="I79" s="2">
        <v>0</v>
      </c>
      <c r="J79" s="1">
        <f>MIN($B79,$D79,$F79,$H79)</f>
        <v>0</v>
      </c>
      <c r="K79" s="1">
        <f>MIN($C79,$E79,$G79,$I79)</f>
        <v>0</v>
      </c>
      <c r="L79" s="1">
        <f>MEDIAN($B79,$D79,$F79,$H79)</f>
        <v>0</v>
      </c>
      <c r="M79" s="1">
        <f>MEDIAN($C79,$E79,$G79,$I79)</f>
        <v>0</v>
      </c>
      <c r="N79" s="1">
        <f>MAX($B79,$D79,$F79,$H79)</f>
        <v>0</v>
      </c>
      <c r="O79" s="1">
        <f>MAX($C79,$E79,$G79,$I79)</f>
        <v>0</v>
      </c>
    </row>
    <row r="80" spans="1:15">
      <c r="A80" s="1" t="s">
        <v>77</v>
      </c>
      <c r="B80" s="4">
        <v>44.74</v>
      </c>
      <c r="C80" s="2">
        <v>0</v>
      </c>
      <c r="D80" s="1">
        <v>30.96</v>
      </c>
      <c r="E80" s="2">
        <v>0</v>
      </c>
      <c r="F80" s="1">
        <v>32.73</v>
      </c>
      <c r="G80" s="2">
        <v>0</v>
      </c>
      <c r="H80" s="3">
        <v>4.81</v>
      </c>
      <c r="I80" s="2">
        <v>0</v>
      </c>
      <c r="J80" s="1">
        <f>MIN($B80,$D80,$F80,$H80)</f>
        <v>0</v>
      </c>
      <c r="K80" s="1">
        <f>MIN($C80,$E80,$G80,$I80)</f>
        <v>0</v>
      </c>
      <c r="L80" s="1">
        <f>MEDIAN($B80,$D80,$F80,$H80)</f>
        <v>0</v>
      </c>
      <c r="M80" s="1">
        <f>MEDIAN($C80,$E80,$G80,$I80)</f>
        <v>0</v>
      </c>
      <c r="N80" s="1">
        <f>MAX($B80,$D80,$F80,$H80)</f>
        <v>0</v>
      </c>
      <c r="O80" s="1">
        <f>MAX($C80,$E80,$G80,$I80)</f>
        <v>0</v>
      </c>
    </row>
    <row r="81" spans="1:15">
      <c r="A81" s="1" t="s">
        <v>78</v>
      </c>
      <c r="B81" s="4">
        <v>46.12</v>
      </c>
      <c r="C81" s="2">
        <v>0</v>
      </c>
      <c r="D81" s="1">
        <v>34.25</v>
      </c>
      <c r="E81" s="2">
        <v>0</v>
      </c>
      <c r="F81" s="1">
        <v>45.86</v>
      </c>
      <c r="G81" s="2">
        <v>0</v>
      </c>
      <c r="H81" s="3">
        <v>5.16</v>
      </c>
      <c r="I81" s="2">
        <v>0</v>
      </c>
      <c r="J81" s="1">
        <f>MIN($B81,$D81,$F81,$H81)</f>
        <v>0</v>
      </c>
      <c r="K81" s="1">
        <f>MIN($C81,$E81,$G81,$I81)</f>
        <v>0</v>
      </c>
      <c r="L81" s="1">
        <f>MEDIAN($B81,$D81,$F81,$H81)</f>
        <v>0</v>
      </c>
      <c r="M81" s="1">
        <f>MEDIAN($C81,$E81,$G81,$I81)</f>
        <v>0</v>
      </c>
      <c r="N81" s="1">
        <f>MAX($B81,$D81,$F81,$H81)</f>
        <v>0</v>
      </c>
      <c r="O81" s="1">
        <f>MAX($C81,$E81,$G81,$I81)</f>
        <v>0</v>
      </c>
    </row>
    <row r="82" spans="1:15">
      <c r="A82" s="1" t="s">
        <v>79</v>
      </c>
      <c r="B82" s="1">
        <v>33.36</v>
      </c>
      <c r="C82" s="2">
        <v>0</v>
      </c>
      <c r="D82" s="1">
        <v>32.74</v>
      </c>
      <c r="E82" s="2">
        <v>0</v>
      </c>
      <c r="F82" s="4">
        <v>44.96</v>
      </c>
      <c r="G82" s="2">
        <v>0</v>
      </c>
      <c r="H82" s="3">
        <v>5.23</v>
      </c>
      <c r="I82" s="2">
        <v>0</v>
      </c>
      <c r="J82" s="1">
        <f>MIN($B82,$D82,$F82,$H82)</f>
        <v>0</v>
      </c>
      <c r="K82" s="1">
        <f>MIN($C82,$E82,$G82,$I82)</f>
        <v>0</v>
      </c>
      <c r="L82" s="1">
        <f>MEDIAN($B82,$D82,$F82,$H82)</f>
        <v>0</v>
      </c>
      <c r="M82" s="1">
        <f>MEDIAN($C82,$E82,$G82,$I82)</f>
        <v>0</v>
      </c>
      <c r="N82" s="1">
        <f>MAX($B82,$D82,$F82,$H82)</f>
        <v>0</v>
      </c>
      <c r="O82" s="1">
        <f>MAX($C82,$E82,$G82,$I82)</f>
        <v>0</v>
      </c>
    </row>
    <row r="83" spans="1:15">
      <c r="A83" s="1" t="s">
        <v>80</v>
      </c>
      <c r="B83" s="1">
        <v>34.1</v>
      </c>
      <c r="C83" s="2">
        <v>0</v>
      </c>
      <c r="D83" s="1">
        <v>31.93</v>
      </c>
      <c r="E83" s="2">
        <v>0</v>
      </c>
      <c r="F83" s="4">
        <v>44.81</v>
      </c>
      <c r="G83" s="2">
        <v>0</v>
      </c>
      <c r="H83" s="3">
        <v>5.11</v>
      </c>
      <c r="I83" s="2">
        <v>0</v>
      </c>
      <c r="J83" s="1">
        <f>MIN($B83,$D83,$F83,$H83)</f>
        <v>0</v>
      </c>
      <c r="K83" s="1">
        <f>MIN($C83,$E83,$G83,$I83)</f>
        <v>0</v>
      </c>
      <c r="L83" s="1">
        <f>MEDIAN($B83,$D83,$F83,$H83)</f>
        <v>0</v>
      </c>
      <c r="M83" s="1">
        <f>MEDIAN($C83,$E83,$G83,$I83)</f>
        <v>0</v>
      </c>
      <c r="N83" s="1">
        <f>MAX($B83,$D83,$F83,$H83)</f>
        <v>0</v>
      </c>
      <c r="O83" s="1">
        <f>MAX($C83,$E83,$G83,$I83)</f>
        <v>0</v>
      </c>
    </row>
    <row r="84" spans="1:15">
      <c r="A84" s="1" t="s">
        <v>81</v>
      </c>
      <c r="B84" s="4">
        <v>45.51</v>
      </c>
      <c r="C84" s="2">
        <v>0</v>
      </c>
      <c r="D84" s="1">
        <v>31.67</v>
      </c>
      <c r="E84" s="2">
        <v>0</v>
      </c>
      <c r="F84" s="1">
        <v>32.91</v>
      </c>
      <c r="G84" s="2">
        <v>0</v>
      </c>
      <c r="H84" s="3">
        <v>4.97</v>
      </c>
      <c r="I84" s="2">
        <v>0</v>
      </c>
      <c r="J84" s="1">
        <f>MIN($B84,$D84,$F84,$H84)</f>
        <v>0</v>
      </c>
      <c r="K84" s="1">
        <f>MIN($C84,$E84,$G84,$I84)</f>
        <v>0</v>
      </c>
      <c r="L84" s="1">
        <f>MEDIAN($B84,$D84,$F84,$H84)</f>
        <v>0</v>
      </c>
      <c r="M84" s="1">
        <f>MEDIAN($C84,$E84,$G84,$I84)</f>
        <v>0</v>
      </c>
      <c r="N84" s="1">
        <f>MAX($B84,$D84,$F84,$H84)</f>
        <v>0</v>
      </c>
      <c r="O84" s="1">
        <f>MAX($C84,$E84,$G84,$I84)</f>
        <v>0</v>
      </c>
    </row>
    <row r="85" spans="1:15">
      <c r="A85" s="1" t="s">
        <v>82</v>
      </c>
      <c r="B85" s="1">
        <v>34.18</v>
      </c>
      <c r="C85" s="2">
        <v>0</v>
      </c>
      <c r="D85" s="1">
        <v>33.65</v>
      </c>
      <c r="E85" s="2">
        <v>0</v>
      </c>
      <c r="F85" s="1">
        <v>32.81</v>
      </c>
      <c r="G85" s="2">
        <v>0</v>
      </c>
      <c r="H85" s="3">
        <v>4.79</v>
      </c>
      <c r="I85" s="2">
        <v>0</v>
      </c>
      <c r="J85" s="1">
        <f>MIN($B85,$D85,$F85,$H85)</f>
        <v>0</v>
      </c>
      <c r="K85" s="1">
        <f>MIN($C85,$E85,$G85,$I85)</f>
        <v>0</v>
      </c>
      <c r="L85" s="1">
        <f>MEDIAN($B85,$D85,$F85,$H85)</f>
        <v>0</v>
      </c>
      <c r="M85" s="1">
        <f>MEDIAN($C85,$E85,$G85,$I85)</f>
        <v>0</v>
      </c>
      <c r="N85" s="1">
        <f>MAX($B85,$D85,$F85,$H85)</f>
        <v>0</v>
      </c>
      <c r="O85" s="1">
        <f>MAX($C85,$E85,$G85,$I85)</f>
        <v>0</v>
      </c>
    </row>
    <row r="86" spans="1:15">
      <c r="A86" s="1" t="s">
        <v>83</v>
      </c>
      <c r="B86" s="4">
        <v>45.61</v>
      </c>
      <c r="C86" s="2">
        <v>0</v>
      </c>
      <c r="D86" s="1">
        <v>36.2</v>
      </c>
      <c r="E86" s="2">
        <v>0</v>
      </c>
      <c r="F86" s="1">
        <v>32.45</v>
      </c>
      <c r="G86" s="2">
        <v>0</v>
      </c>
      <c r="H86" s="3">
        <v>5.38</v>
      </c>
      <c r="I86" s="2">
        <v>0</v>
      </c>
      <c r="J86" s="1">
        <f>MIN($B86,$D86,$F86,$H86)</f>
        <v>0</v>
      </c>
      <c r="K86" s="1">
        <f>MIN($C86,$E86,$G86,$I86)</f>
        <v>0</v>
      </c>
      <c r="L86" s="1">
        <f>MEDIAN($B86,$D86,$F86,$H86)</f>
        <v>0</v>
      </c>
      <c r="M86" s="1">
        <f>MEDIAN($C86,$E86,$G86,$I86)</f>
        <v>0</v>
      </c>
      <c r="N86" s="1">
        <f>MAX($B86,$D86,$F86,$H86)</f>
        <v>0</v>
      </c>
      <c r="O86" s="1">
        <f>MAX($C86,$E86,$G86,$I86)</f>
        <v>0</v>
      </c>
    </row>
    <row r="87" spans="1:15">
      <c r="A87" s="1" t="s">
        <v>84</v>
      </c>
      <c r="B87" s="1">
        <v>32.1</v>
      </c>
      <c r="C87" s="2">
        <v>0</v>
      </c>
      <c r="D87" s="1">
        <v>32.51</v>
      </c>
      <c r="E87" s="2">
        <v>0</v>
      </c>
      <c r="F87" s="1">
        <v>32.74</v>
      </c>
      <c r="G87" s="2">
        <v>0</v>
      </c>
      <c r="H87" s="3">
        <v>5.22</v>
      </c>
      <c r="I87" s="2">
        <v>0</v>
      </c>
      <c r="J87" s="1">
        <f>MIN($B87,$D87,$F87,$H87)</f>
        <v>0</v>
      </c>
      <c r="K87" s="1">
        <f>MIN($C87,$E87,$G87,$I87)</f>
        <v>0</v>
      </c>
      <c r="L87" s="1">
        <f>MEDIAN($B87,$D87,$F87,$H87)</f>
        <v>0</v>
      </c>
      <c r="M87" s="1">
        <f>MEDIAN($C87,$E87,$G87,$I87)</f>
        <v>0</v>
      </c>
      <c r="N87" s="1">
        <f>MAX($B87,$D87,$F87,$H87)</f>
        <v>0</v>
      </c>
      <c r="O87" s="1">
        <f>MAX($C87,$E87,$G87,$I87)</f>
        <v>0</v>
      </c>
    </row>
    <row r="88" spans="1:15">
      <c r="A88" s="1" t="s">
        <v>85</v>
      </c>
      <c r="B88" s="4">
        <v>45.1</v>
      </c>
      <c r="C88" s="2">
        <v>0</v>
      </c>
      <c r="D88" s="1">
        <v>34.35</v>
      </c>
      <c r="E88" s="2">
        <v>0</v>
      </c>
      <c r="F88" s="1">
        <v>32.66</v>
      </c>
      <c r="G88" s="2">
        <v>0</v>
      </c>
      <c r="H88" s="3">
        <v>4.9</v>
      </c>
      <c r="I88" s="2">
        <v>0</v>
      </c>
      <c r="J88" s="1">
        <f>MIN($B88,$D88,$F88,$H88)</f>
        <v>0</v>
      </c>
      <c r="K88" s="1">
        <f>MIN($C88,$E88,$G88,$I88)</f>
        <v>0</v>
      </c>
      <c r="L88" s="1">
        <f>MEDIAN($B88,$D88,$F88,$H88)</f>
        <v>0</v>
      </c>
      <c r="M88" s="1">
        <f>MEDIAN($C88,$E88,$G88,$I88)</f>
        <v>0</v>
      </c>
      <c r="N88" s="1">
        <f>MAX($B88,$D88,$F88,$H88)</f>
        <v>0</v>
      </c>
      <c r="O88" s="1">
        <f>MAX($C88,$E88,$G88,$I88)</f>
        <v>0</v>
      </c>
    </row>
    <row r="89" spans="1:15">
      <c r="A89" s="1"/>
      <c r="B89" s="1"/>
      <c r="C89" s="2"/>
      <c r="D89" s="1"/>
      <c r="E89" s="2"/>
      <c r="F89" s="1"/>
      <c r="G89" s="2"/>
      <c r="H89" s="1"/>
      <c r="I89" s="2"/>
      <c r="J89" s="1"/>
      <c r="K89" s="1"/>
      <c r="L89" s="1"/>
      <c r="M89" s="1"/>
      <c r="N89" s="1"/>
      <c r="O89" s="1"/>
    </row>
    <row r="90" spans="1:15">
      <c r="A90" s="1" t="s">
        <v>86</v>
      </c>
      <c r="B90" s="1">
        <f>SUM(B$3:B$88)</f>
        <v>0</v>
      </c>
      <c r="C90" s="1">
        <f>SUM(C$3:C$88)</f>
        <v>0</v>
      </c>
      <c r="D90" s="4">
        <f>SUM(D$3:D$88)</f>
        <v>0</v>
      </c>
      <c r="E90" s="4">
        <f>SUM(E$3:E$88)</f>
        <v>0</v>
      </c>
      <c r="F90" s="1">
        <f>SUM(F$3:F$88)</f>
        <v>0</v>
      </c>
      <c r="G90" s="1">
        <f>SUM(G$3:G$88)</f>
        <v>0</v>
      </c>
      <c r="H90" s="3">
        <f>SUM(H$3:H$88)</f>
        <v>0</v>
      </c>
      <c r="I90" s="3">
        <f>SUM(I$3:I$88)</f>
        <v>0</v>
      </c>
      <c r="J90" s="1">
        <f>SUM(J$3:J$88)</f>
        <v>0</v>
      </c>
      <c r="K90" s="1">
        <f>SUM(K$3:K$88)</f>
        <v>0</v>
      </c>
      <c r="L90" s="1">
        <f>SUM(L$3:L$88)</f>
        <v>0</v>
      </c>
      <c r="M90" s="1">
        <f>SUM(M$3:M$88)</f>
        <v>0</v>
      </c>
      <c r="N90" s="1">
        <f>SUM(N$3:N$88)</f>
        <v>0</v>
      </c>
      <c r="O90" s="1">
        <f>SUM(O$3:O$88)</f>
        <v>0</v>
      </c>
    </row>
    <row r="91" spans="1:15">
      <c r="A91" s="1" t="s">
        <v>87</v>
      </c>
      <c r="B91" s="1">
        <f>AVERAGE(B$3:B$88)</f>
        <v>0</v>
      </c>
      <c r="C91" s="1">
        <f>AVERAGE(C$3:C$88)</f>
        <v>0</v>
      </c>
      <c r="D91" s="4">
        <f>AVERAGE(D$3:D$88)</f>
        <v>0</v>
      </c>
      <c r="E91" s="4">
        <f>AVERAGE(E$3:E$88)</f>
        <v>0</v>
      </c>
      <c r="F91" s="1">
        <f>AVERAGE(F$3:F$88)</f>
        <v>0</v>
      </c>
      <c r="G91" s="1">
        <f>AVERAGE(G$3:G$88)</f>
        <v>0</v>
      </c>
      <c r="H91" s="3">
        <f>AVERAGE(H$3:H$88)</f>
        <v>0</v>
      </c>
      <c r="I91" s="3">
        <f>AVERAGE(I$3:I$88)</f>
        <v>0</v>
      </c>
      <c r="J91" s="1">
        <f>AVERAGE(J$3:J$88)</f>
        <v>0</v>
      </c>
      <c r="K91" s="1">
        <f>AVERAGE(K$3:K$88)</f>
        <v>0</v>
      </c>
      <c r="L91" s="1">
        <f>AVERAGE(L$3:L$88)</f>
        <v>0</v>
      </c>
      <c r="M91" s="1">
        <f>AVERAGE(M$3:M$88)</f>
        <v>0</v>
      </c>
      <c r="N91" s="1">
        <f>AVERAGE(N$3:N$88)</f>
        <v>0</v>
      </c>
      <c r="O91" s="1">
        <f>AVERAGE(O$3:O$88)</f>
        <v>0</v>
      </c>
    </row>
    <row r="92" spans="1:15">
      <c r="A92" s="1" t="s">
        <v>88</v>
      </c>
      <c r="B92" s="1">
        <f>STDEV(B$3:B$88)</f>
        <v>0</v>
      </c>
      <c r="C92" s="1">
        <f>STDEV(C$3:C$88)</f>
        <v>0</v>
      </c>
      <c r="D92" s="4">
        <f>STDEV(D$3:D$88)</f>
        <v>0</v>
      </c>
      <c r="E92" s="4">
        <f>STDEV(E$3:E$88)</f>
        <v>0</v>
      </c>
      <c r="F92" s="1">
        <f>STDEV(F$3:F$88)</f>
        <v>0</v>
      </c>
      <c r="G92" s="1">
        <f>STDEV(G$3:G$88)</f>
        <v>0</v>
      </c>
      <c r="H92" s="3">
        <f>STDEV(H$3:H$88)</f>
        <v>0</v>
      </c>
      <c r="I92" s="3">
        <f>STDEV(I$3:I$88)</f>
        <v>0</v>
      </c>
      <c r="J92" s="1">
        <f>STDEV(J$3:J$88)</f>
        <v>0</v>
      </c>
      <c r="K92" s="1">
        <f>STDEV(K$3:K$88)</f>
        <v>0</v>
      </c>
      <c r="L92" s="1">
        <f>STDEV(L$3:L$88)</f>
        <v>0</v>
      </c>
      <c r="M92" s="1">
        <f>STDEV(M$3:M$88)</f>
        <v>0</v>
      </c>
      <c r="N92" s="1">
        <f>STDEV(N$3:N$88)</f>
        <v>0</v>
      </c>
      <c r="O92" s="1">
        <f>STDEV(O$3:O$88)</f>
        <v>0</v>
      </c>
    </row>
    <row r="93" spans="1:15">
      <c r="A93" s="1" t="s">
        <v>89</v>
      </c>
      <c r="B93" s="1">
        <f>SUMPRODUCT(--(B$3:B$88-$J$3:$J$88)^2)^0.5</f>
        <v>0</v>
      </c>
      <c r="C93" s="1">
        <f>SUMPRODUCT(--(C$3:C$88-$K$3:$K$88)^2)^0.5</f>
        <v>0</v>
      </c>
      <c r="D93" s="4">
        <f>SUMPRODUCT(--(D$3:D$88-$J$3:$J$88)^2)^0.5</f>
        <v>0</v>
      </c>
      <c r="E93" s="4">
        <f>SUMPRODUCT(--(E$3:E$88-$K$3:$K$88)^2)^0.5</f>
        <v>0</v>
      </c>
      <c r="F93" s="1">
        <f>SUMPRODUCT(--(F$3:F$88-$J$3:$J$88)^2)^0.5</f>
        <v>0</v>
      </c>
      <c r="G93" s="1">
        <f>SUMPRODUCT(--(G$3:G$88-$K$3:$K$88)^2)^0.5</f>
        <v>0</v>
      </c>
      <c r="H93" s="3">
        <f>SUMPRODUCT(--(H$3:H$88-$J$3:$J$88)^2)^0.5</f>
        <v>0</v>
      </c>
      <c r="I93" s="3">
        <f>SUMPRODUCT(--(I$3:I$88-$K$3:$K$88)^2)^0.5</f>
        <v>0</v>
      </c>
      <c r="J93" s="1"/>
      <c r="K93" s="1"/>
      <c r="L93" s="1"/>
      <c r="M93" s="1"/>
      <c r="N93" s="1"/>
      <c r="O93" s="1"/>
    </row>
    <row r="94" spans="1:15">
      <c r="A94" s="1" t="s">
        <v>90</v>
      </c>
      <c r="B94" s="1">
        <f>SUMPRODUCT(NOT(ISBLANK(B$3:B$88))*(B$3:B$88=$J$3:$J$88))</f>
        <v>0</v>
      </c>
      <c r="C94" s="1">
        <f>SUMPRODUCT(NOT(ISBLANK(C$3:C$88))*(C$3:C$88=$K$3:$K$88))</f>
        <v>0</v>
      </c>
      <c r="D94" s="4">
        <f>SUMPRODUCT(NOT(ISBLANK(D$3:D$88))*(D$3:D$88=$J$3:$J$88))</f>
        <v>0</v>
      </c>
      <c r="E94" s="4">
        <f>SUMPRODUCT(NOT(ISBLANK(E$3:E$88))*(E$3:E$88=$K$3:$K$88))</f>
        <v>0</v>
      </c>
      <c r="F94" s="1">
        <f>SUMPRODUCT(NOT(ISBLANK(F$3:F$88))*(F$3:F$88=$J$3:$J$88))</f>
        <v>0</v>
      </c>
      <c r="G94" s="1">
        <f>SUMPRODUCT(NOT(ISBLANK(G$3:G$88))*(G$3:G$88=$K$3:$K$88))</f>
        <v>0</v>
      </c>
      <c r="H94" s="3">
        <f>SUMPRODUCT(NOT(ISBLANK(H$3:H$88))*(H$3:H$88=$J$3:$J$88))</f>
        <v>0</v>
      </c>
      <c r="I94" s="3">
        <f>SUMPRODUCT(NOT(ISBLANK(I$3:I$88))*(I$3:I$88=$K$3:$K$88))</f>
        <v>0</v>
      </c>
      <c r="J94" s="1"/>
      <c r="K94" s="1"/>
      <c r="L94" s="1"/>
      <c r="M94" s="1"/>
      <c r="N94" s="1"/>
      <c r="O94" s="1"/>
    </row>
    <row r="95" spans="1:15">
      <c r="A95" s="1" t="s">
        <v>91</v>
      </c>
      <c r="B95" s="1">
        <f>SUMPRODUCT(NOT(ISBLANK(B$3:B$88))*(B$3:B$88&lt;$L$3:$L$88))</f>
        <v>0</v>
      </c>
      <c r="C95" s="1">
        <f>SUMPRODUCT(NOT(ISBLANK(C$3:C$88))*(C$3:C$88&lt;$M$3:$M$88))</f>
        <v>0</v>
      </c>
      <c r="D95" s="4">
        <f>SUMPRODUCT(NOT(ISBLANK(D$3:D$88))*(D$3:D$88&lt;$L$3:$L$88))</f>
        <v>0</v>
      </c>
      <c r="E95" s="4">
        <f>SUMPRODUCT(NOT(ISBLANK(E$3:E$88))*(E$3:E$88&lt;$M$3:$M$88))</f>
        <v>0</v>
      </c>
      <c r="F95" s="1">
        <f>SUMPRODUCT(NOT(ISBLANK(F$3:F$88))*(F$3:F$88&lt;$L$3:$L$88))</f>
        <v>0</v>
      </c>
      <c r="G95" s="4">
        <f>SUMPRODUCT(NOT(ISBLANK(G$3:G$88))*(G$3:G$88&lt;$M$3:$M$88))</f>
        <v>0</v>
      </c>
      <c r="H95" s="3">
        <f>SUMPRODUCT(NOT(ISBLANK(H$3:H$88))*(H$3:H$88&lt;$L$3:$L$88))</f>
        <v>0</v>
      </c>
      <c r="I95" s="3">
        <f>SUMPRODUCT(NOT(ISBLANK(I$3:I$88))*(I$3:I$88&lt;$M$3:$M$88))</f>
        <v>0</v>
      </c>
      <c r="J95" s="1"/>
      <c r="K95" s="1"/>
      <c r="L95" s="1"/>
      <c r="M95" s="1"/>
      <c r="N95" s="1"/>
      <c r="O95" s="1"/>
    </row>
    <row r="96" spans="1:15">
      <c r="A96" s="1" t="s">
        <v>92</v>
      </c>
      <c r="B96" s="1">
        <f>SUMPRODUCT((NOT(ISBLANK(B$3:B$88))*(B$3:B$88&gt;$L$3:$L$88))+ISBLANK(B$3:B$88))</f>
        <v>0</v>
      </c>
      <c r="C96" s="3">
        <f>SUMPRODUCT((NOT(ISBLANK(C$3:C$88))*(C$3:C$88&gt;$M$3:$M$88))+ISBLANK(C$3:C$88))</f>
        <v>0</v>
      </c>
      <c r="D96" s="4">
        <f>SUMPRODUCT((NOT(ISBLANK(D$3:D$88))*(D$3:D$88&gt;$L$3:$L$88))+ISBLANK(D$3:D$88))</f>
        <v>0</v>
      </c>
      <c r="E96" s="4">
        <f>SUMPRODUCT((NOT(ISBLANK(E$3:E$88))*(E$3:E$88&gt;$M$3:$M$88))+ISBLANK(E$3:E$88))</f>
        <v>0</v>
      </c>
      <c r="F96" s="1">
        <f>SUMPRODUCT((NOT(ISBLANK(F$3:F$88))*(F$3:F$88&gt;$L$3:$L$88))+ISBLANK(F$3:F$88))</f>
        <v>0</v>
      </c>
      <c r="G96" s="1">
        <f>SUMPRODUCT((NOT(ISBLANK(G$3:G$88))*(G$3:G$88&gt;$M$3:$M$88))+ISBLANK(G$3:G$88))</f>
        <v>0</v>
      </c>
      <c r="H96" s="3">
        <f>SUMPRODUCT((NOT(ISBLANK(H$3:H$88))*(H$3:H$88&gt;$L$3:$L$88))+ISBLANK(H$3:H$88))</f>
        <v>0</v>
      </c>
      <c r="I96" s="3">
        <f>SUMPRODUCT((NOT(ISBLANK(I$3:I$88))*(I$3:I$88&gt;$M$3:$M$88))+ISBLANK(I$3:I$88))</f>
        <v>0</v>
      </c>
      <c r="J96" s="1"/>
      <c r="K96" s="1"/>
      <c r="L96" s="1"/>
      <c r="M96" s="1"/>
      <c r="N96" s="1"/>
      <c r="O96" s="1"/>
    </row>
    <row r="97" spans="1:15">
      <c r="A97" s="1" t="s">
        <v>93</v>
      </c>
      <c r="B97" s="1">
        <f>SUMPRODUCT((NOT(ISBLANK(B$3:B$88))*(B$3:B$88=$N$3:$N$88))+ISBLANK(B$3:B$88))</f>
        <v>0</v>
      </c>
      <c r="C97" s="1">
        <f>SUMPRODUCT((NOT(ISBLANK(C$3:C$88))*(C$3:C$88=$O$3:$O$88))+ISBLANK(C$3:C$88))</f>
        <v>0</v>
      </c>
      <c r="D97" s="4">
        <f>SUMPRODUCT((NOT(ISBLANK(D$3:D$88))*(D$3:D$88=$N$3:$N$88))+ISBLANK(D$3:D$88))</f>
        <v>0</v>
      </c>
      <c r="E97" s="4">
        <f>SUMPRODUCT((NOT(ISBLANK(E$3:E$88))*(E$3:E$88=$O$3:$O$88))+ISBLANK(E$3:E$88))</f>
        <v>0</v>
      </c>
      <c r="F97" s="1">
        <f>SUMPRODUCT((NOT(ISBLANK(F$3:F$88))*(F$3:F$88=$N$3:$N$88))+ISBLANK(F$3:F$88))</f>
        <v>0</v>
      </c>
      <c r="G97" s="1">
        <f>SUMPRODUCT((NOT(ISBLANK(G$3:G$88))*(G$3:G$88=$O$3:$O$88))+ISBLANK(G$3:G$88))</f>
        <v>0</v>
      </c>
      <c r="H97" s="3">
        <f>SUMPRODUCT((NOT(ISBLANK(H$3:H$88))*(H$3:H$88=$N$3:$N$88))+ISBLANK(H$3:H$88))</f>
        <v>0</v>
      </c>
      <c r="I97" s="3">
        <f>SUMPRODUCT((NOT(ISBLANK(I$3:I$88))*(I$3:I$88=$O$3:$O$88))+ISBLANK(I$3:I$88))</f>
        <v>0</v>
      </c>
      <c r="J97" s="1"/>
      <c r="K97" s="1"/>
      <c r="L97" s="1"/>
      <c r="M97" s="1"/>
      <c r="N97" s="1"/>
      <c r="O9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9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9.7109375" customWidth="1"/>
    <col min="2" max="3" width="13" customWidth="1"/>
    <col min="4" max="5" width="13.42578125" customWidth="1"/>
    <col min="6" max="7" width="14.7109375" customWidth="1"/>
    <col min="8" max="9" width="13" customWidth="1"/>
    <col min="10" max="15" width="11.42578125" customWidth="1"/>
  </cols>
  <sheetData>
    <row r="1" spans="1:15">
      <c r="A1" s="1" t="s">
        <v>103</v>
      </c>
      <c r="B1" s="1" t="s">
        <v>94</v>
      </c>
      <c r="C1" s="2"/>
      <c r="D1" s="1" t="s">
        <v>97</v>
      </c>
      <c r="E1" s="2"/>
      <c r="F1" s="1" t="s">
        <v>98</v>
      </c>
      <c r="G1" s="2"/>
      <c r="H1" s="1" t="s">
        <v>99</v>
      </c>
      <c r="I1" s="2"/>
      <c r="J1" s="1" t="s">
        <v>100</v>
      </c>
      <c r="K1" s="1"/>
      <c r="L1" s="1" t="s">
        <v>101</v>
      </c>
      <c r="M1" s="1"/>
      <c r="N1" s="1" t="s">
        <v>102</v>
      </c>
      <c r="O1" s="1"/>
    </row>
    <row r="2" spans="1:15">
      <c r="A2" s="7" t="s">
        <v>101</v>
      </c>
      <c r="B2" s="1" t="s">
        <v>95</v>
      </c>
      <c r="C2" s="2" t="s">
        <v>96</v>
      </c>
      <c r="D2" s="1" t="s">
        <v>95</v>
      </c>
      <c r="E2" s="2" t="s">
        <v>96</v>
      </c>
      <c r="F2" s="1" t="s">
        <v>95</v>
      </c>
      <c r="G2" s="2" t="s">
        <v>96</v>
      </c>
      <c r="H2" s="1" t="s">
        <v>95</v>
      </c>
      <c r="I2" s="2" t="s">
        <v>96</v>
      </c>
      <c r="J2" s="1" t="s">
        <v>95</v>
      </c>
      <c r="K2" s="1" t="s">
        <v>96</v>
      </c>
      <c r="L2" s="1" t="s">
        <v>95</v>
      </c>
      <c r="M2" s="1" t="s">
        <v>96</v>
      </c>
      <c r="N2" s="1" t="s">
        <v>95</v>
      </c>
      <c r="O2" s="1" t="s">
        <v>96</v>
      </c>
    </row>
    <row r="3" spans="1:15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>
        <f>MIN($B3,$D3,$F3,$H3)</f>
        <v>0</v>
      </c>
      <c r="K3" s="1">
        <f>MIN($C3,$E3,$G3,$I3)</f>
        <v>0</v>
      </c>
      <c r="L3" s="1">
        <f>MEDIAN($B3,$D3,$F3,$H3)</f>
        <v>0</v>
      </c>
      <c r="M3" s="1">
        <f>MEDIAN($C3,$E3,$G3,$I3)</f>
        <v>0</v>
      </c>
      <c r="N3" s="1">
        <f>MAX($B3,$D3,$F3,$H3)</f>
        <v>0</v>
      </c>
      <c r="O3" s="1">
        <f>MAX($C3,$E3,$G3,$I3)</f>
        <v>0</v>
      </c>
    </row>
    <row r="4" spans="1:15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>
        <f>MIN($B4,$D4,$F4,$H4)</f>
        <v>0</v>
      </c>
      <c r="K4" s="1">
        <f>MIN($C4,$E4,$G4,$I4)</f>
        <v>0</v>
      </c>
      <c r="L4" s="1">
        <f>MEDIAN($B4,$D4,$F4,$H4)</f>
        <v>0</v>
      </c>
      <c r="M4" s="1">
        <f>MEDIAN($C4,$E4,$G4,$I4)</f>
        <v>0</v>
      </c>
      <c r="N4" s="1">
        <f>MAX($B4,$D4,$F4,$H4)</f>
        <v>0</v>
      </c>
      <c r="O4" s="1">
        <f>MAX($C4,$E4,$G4,$I4)</f>
        <v>0</v>
      </c>
    </row>
    <row r="5" spans="1:15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>
        <f>MIN($B5,$D5,$F5,$H5)</f>
        <v>0</v>
      </c>
      <c r="K5" s="1">
        <f>MIN($C5,$E5,$G5,$I5)</f>
        <v>0</v>
      </c>
      <c r="L5" s="1">
        <f>MEDIAN($B5,$D5,$F5,$H5)</f>
        <v>0</v>
      </c>
      <c r="M5" s="1">
        <f>MEDIAN($C5,$E5,$G5,$I5)</f>
        <v>0</v>
      </c>
      <c r="N5" s="1">
        <f>MAX($B5,$D5,$F5,$H5)</f>
        <v>0</v>
      </c>
      <c r="O5" s="1">
        <f>MAX($C5,$E5,$G5,$I5)</f>
        <v>0</v>
      </c>
    </row>
    <row r="6" spans="1:15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>
        <f>MIN($B6,$D6,$F6,$H6)</f>
        <v>0</v>
      </c>
      <c r="K6" s="1">
        <f>MIN($C6,$E6,$G6,$I6)</f>
        <v>0</v>
      </c>
      <c r="L6" s="1">
        <f>MEDIAN($B6,$D6,$F6,$H6)</f>
        <v>0</v>
      </c>
      <c r="M6" s="1">
        <f>MEDIAN($C6,$E6,$G6,$I6)</f>
        <v>0</v>
      </c>
      <c r="N6" s="1">
        <f>MAX($B6,$D6,$F6,$H6)</f>
        <v>0</v>
      </c>
      <c r="O6" s="1">
        <f>MAX($C6,$E6,$G6,$I6)</f>
        <v>0</v>
      </c>
    </row>
    <row r="7" spans="1:15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>
        <f>MIN($B7,$D7,$F7,$H7)</f>
        <v>0</v>
      </c>
      <c r="K7" s="1">
        <f>MIN($C7,$E7,$G7,$I7)</f>
        <v>0</v>
      </c>
      <c r="L7" s="1">
        <f>MEDIAN($B7,$D7,$F7,$H7)</f>
        <v>0</v>
      </c>
      <c r="M7" s="1">
        <f>MEDIAN($C7,$E7,$G7,$I7)</f>
        <v>0</v>
      </c>
      <c r="N7" s="1">
        <f>MAX($B7,$D7,$F7,$H7)</f>
        <v>0</v>
      </c>
      <c r="O7" s="1">
        <f>MAX($C7,$E7,$G7,$I7)</f>
        <v>0</v>
      </c>
    </row>
    <row r="8" spans="1:15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>
        <f>MIN($B8,$D8,$F8,$H8)</f>
        <v>0</v>
      </c>
      <c r="K8" s="1">
        <f>MIN($C8,$E8,$G8,$I8)</f>
        <v>0</v>
      </c>
      <c r="L8" s="1">
        <f>MEDIAN($B8,$D8,$F8,$H8)</f>
        <v>0</v>
      </c>
      <c r="M8" s="1">
        <f>MEDIAN($C8,$E8,$G8,$I8)</f>
        <v>0</v>
      </c>
      <c r="N8" s="1">
        <f>MAX($B8,$D8,$F8,$H8)</f>
        <v>0</v>
      </c>
      <c r="O8" s="1">
        <f>MAX($C8,$E8,$G8,$I8)</f>
        <v>0</v>
      </c>
    </row>
    <row r="9" spans="1:15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>
        <f>MIN($B9,$D9,$F9,$H9)</f>
        <v>0</v>
      </c>
      <c r="K9" s="1">
        <f>MIN($C9,$E9,$G9,$I9)</f>
        <v>0</v>
      </c>
      <c r="L9" s="1">
        <f>MEDIAN($B9,$D9,$F9,$H9)</f>
        <v>0</v>
      </c>
      <c r="M9" s="1">
        <f>MEDIAN($C9,$E9,$G9,$I9)</f>
        <v>0</v>
      </c>
      <c r="N9" s="1">
        <f>MAX($B9,$D9,$F9,$H9)</f>
        <v>0</v>
      </c>
      <c r="O9" s="1">
        <f>MAX($C9,$E9,$G9,$I9)</f>
        <v>0</v>
      </c>
    </row>
    <row r="10" spans="1:15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>
        <f>MIN($B10,$D10,$F10,$H10)</f>
        <v>0</v>
      </c>
      <c r="K10" s="1">
        <f>MIN($C10,$E10,$G10,$I10)</f>
        <v>0</v>
      </c>
      <c r="L10" s="1">
        <f>MEDIAN($B10,$D10,$F10,$H10)</f>
        <v>0</v>
      </c>
      <c r="M10" s="1">
        <f>MEDIAN($C10,$E10,$G10,$I10)</f>
        <v>0</v>
      </c>
      <c r="N10" s="1">
        <f>MAX($B10,$D10,$F10,$H10)</f>
        <v>0</v>
      </c>
      <c r="O10" s="1">
        <f>MAX($C10,$E10,$G10,$I10)</f>
        <v>0</v>
      </c>
    </row>
    <row r="11" spans="1:15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>
        <f>MIN($B11,$D11,$F11,$H11)</f>
        <v>0</v>
      </c>
      <c r="K11" s="1">
        <f>MIN($C11,$E11,$G11,$I11)</f>
        <v>0</v>
      </c>
      <c r="L11" s="1">
        <f>MEDIAN($B11,$D11,$F11,$H11)</f>
        <v>0</v>
      </c>
      <c r="M11" s="1">
        <f>MEDIAN($C11,$E11,$G11,$I11)</f>
        <v>0</v>
      </c>
      <c r="N11" s="1">
        <f>MAX($B11,$D11,$F11,$H11)</f>
        <v>0</v>
      </c>
      <c r="O11" s="1">
        <f>MAX($C11,$E11,$G11,$I11)</f>
        <v>0</v>
      </c>
    </row>
    <row r="12" spans="1:15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>
        <f>MIN($B12,$D12,$F12,$H12)</f>
        <v>0</v>
      </c>
      <c r="K12" s="1">
        <f>MIN($C12,$E12,$G12,$I12)</f>
        <v>0</v>
      </c>
      <c r="L12" s="1">
        <f>MEDIAN($B12,$D12,$F12,$H12)</f>
        <v>0</v>
      </c>
      <c r="M12" s="1">
        <f>MEDIAN($C12,$E12,$G12,$I12)</f>
        <v>0</v>
      </c>
      <c r="N12" s="1">
        <f>MAX($B12,$D12,$F12,$H12)</f>
        <v>0</v>
      </c>
      <c r="O12" s="1">
        <f>MAX($C12,$E12,$G12,$I12)</f>
        <v>0</v>
      </c>
    </row>
    <row r="13" spans="1:15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>
        <f>MIN($B13,$D13,$F13,$H13)</f>
        <v>0</v>
      </c>
      <c r="K13" s="1">
        <f>MIN($C13,$E13,$G13,$I13)</f>
        <v>0</v>
      </c>
      <c r="L13" s="1">
        <f>MEDIAN($B13,$D13,$F13,$H13)</f>
        <v>0</v>
      </c>
      <c r="M13" s="1">
        <f>MEDIAN($C13,$E13,$G13,$I13)</f>
        <v>0</v>
      </c>
      <c r="N13" s="1">
        <f>MAX($B13,$D13,$F13,$H13)</f>
        <v>0</v>
      </c>
      <c r="O13" s="1">
        <f>MAX($C13,$E13,$G13,$I13)</f>
        <v>0</v>
      </c>
    </row>
    <row r="14" spans="1:15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>
        <f>MIN($B14,$D14,$F14,$H14)</f>
        <v>0</v>
      </c>
      <c r="K14" s="1">
        <f>MIN($C14,$E14,$G14,$I14)</f>
        <v>0</v>
      </c>
      <c r="L14" s="1">
        <f>MEDIAN($B14,$D14,$F14,$H14)</f>
        <v>0</v>
      </c>
      <c r="M14" s="1">
        <f>MEDIAN($C14,$E14,$G14,$I14)</f>
        <v>0</v>
      </c>
      <c r="N14" s="1">
        <f>MAX($B14,$D14,$F14,$H14)</f>
        <v>0</v>
      </c>
      <c r="O14" s="1">
        <f>MAX($C14,$E14,$G14,$I14)</f>
        <v>0</v>
      </c>
    </row>
    <row r="15" spans="1:15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>
        <f>MIN($B15,$D15,$F15,$H15)</f>
        <v>0</v>
      </c>
      <c r="K15" s="1">
        <f>MIN($C15,$E15,$G15,$I15)</f>
        <v>0</v>
      </c>
      <c r="L15" s="1">
        <f>MEDIAN($B15,$D15,$F15,$H15)</f>
        <v>0</v>
      </c>
      <c r="M15" s="1">
        <f>MEDIAN($C15,$E15,$G15,$I15)</f>
        <v>0</v>
      </c>
      <c r="N15" s="1">
        <f>MAX($B15,$D15,$F15,$H15)</f>
        <v>0</v>
      </c>
      <c r="O15" s="1">
        <f>MAX($C15,$E15,$G15,$I15)</f>
        <v>0</v>
      </c>
    </row>
    <row r="16" spans="1:15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>
        <f>MIN($B16,$D16,$F16,$H16)</f>
        <v>0</v>
      </c>
      <c r="K16" s="1">
        <f>MIN($C16,$E16,$G16,$I16)</f>
        <v>0</v>
      </c>
      <c r="L16" s="1">
        <f>MEDIAN($B16,$D16,$F16,$H16)</f>
        <v>0</v>
      </c>
      <c r="M16" s="1">
        <f>MEDIAN($C16,$E16,$G16,$I16)</f>
        <v>0</v>
      </c>
      <c r="N16" s="1">
        <f>MAX($B16,$D16,$F16,$H16)</f>
        <v>0</v>
      </c>
      <c r="O16" s="1">
        <f>MAX($C16,$E16,$G16,$I16)</f>
        <v>0</v>
      </c>
    </row>
    <row r="17" spans="1:15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>
        <f>MIN($B17,$D17,$F17,$H17)</f>
        <v>0</v>
      </c>
      <c r="K17" s="1">
        <f>MIN($C17,$E17,$G17,$I17)</f>
        <v>0</v>
      </c>
      <c r="L17" s="1">
        <f>MEDIAN($B17,$D17,$F17,$H17)</f>
        <v>0</v>
      </c>
      <c r="M17" s="1">
        <f>MEDIAN($C17,$E17,$G17,$I17)</f>
        <v>0</v>
      </c>
      <c r="N17" s="1">
        <f>MAX($B17,$D17,$F17,$H17)</f>
        <v>0</v>
      </c>
      <c r="O17" s="1">
        <f>MAX($C17,$E17,$G17,$I17)</f>
        <v>0</v>
      </c>
    </row>
    <row r="18" spans="1:15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>
        <f>MIN($B18,$D18,$F18,$H18)</f>
        <v>0</v>
      </c>
      <c r="K18" s="1">
        <f>MIN($C18,$E18,$G18,$I18)</f>
        <v>0</v>
      </c>
      <c r="L18" s="1">
        <f>MEDIAN($B18,$D18,$F18,$H18)</f>
        <v>0</v>
      </c>
      <c r="M18" s="1">
        <f>MEDIAN($C18,$E18,$G18,$I18)</f>
        <v>0</v>
      </c>
      <c r="N18" s="1">
        <f>MAX($B18,$D18,$F18,$H18)</f>
        <v>0</v>
      </c>
      <c r="O18" s="1">
        <f>MAX($C18,$E18,$G18,$I18)</f>
        <v>0</v>
      </c>
    </row>
    <row r="19" spans="1:15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>
        <f>MIN($B19,$D19,$F19,$H19)</f>
        <v>0</v>
      </c>
      <c r="K19" s="1">
        <f>MIN($C19,$E19,$G19,$I19)</f>
        <v>0</v>
      </c>
      <c r="L19" s="1">
        <f>MEDIAN($B19,$D19,$F19,$H19)</f>
        <v>0</v>
      </c>
      <c r="M19" s="1">
        <f>MEDIAN($C19,$E19,$G19,$I19)</f>
        <v>0</v>
      </c>
      <c r="N19" s="1">
        <f>MAX($B19,$D19,$F19,$H19)</f>
        <v>0</v>
      </c>
      <c r="O19" s="1">
        <f>MAX($C19,$E19,$G19,$I19)</f>
        <v>0</v>
      </c>
    </row>
    <row r="20" spans="1:15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>
        <f>MIN($B20,$D20,$F20,$H20)</f>
        <v>0</v>
      </c>
      <c r="K20" s="1">
        <f>MIN($C20,$E20,$G20,$I20)</f>
        <v>0</v>
      </c>
      <c r="L20" s="1">
        <f>MEDIAN($B20,$D20,$F20,$H20)</f>
        <v>0</v>
      </c>
      <c r="M20" s="1">
        <f>MEDIAN($C20,$E20,$G20,$I20)</f>
        <v>0</v>
      </c>
      <c r="N20" s="1">
        <f>MAX($B20,$D20,$F20,$H20)</f>
        <v>0</v>
      </c>
      <c r="O20" s="1">
        <f>MAX($C20,$E20,$G20,$I20)</f>
        <v>0</v>
      </c>
    </row>
    <row r="21" spans="1:15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>
        <f>MIN($B21,$D21,$F21,$H21)</f>
        <v>0</v>
      </c>
      <c r="K21" s="1">
        <f>MIN($C21,$E21,$G21,$I21)</f>
        <v>0</v>
      </c>
      <c r="L21" s="1">
        <f>MEDIAN($B21,$D21,$F21,$H21)</f>
        <v>0</v>
      </c>
      <c r="M21" s="1">
        <f>MEDIAN($C21,$E21,$G21,$I21)</f>
        <v>0</v>
      </c>
      <c r="N21" s="1">
        <f>MAX($B21,$D21,$F21,$H21)</f>
        <v>0</v>
      </c>
      <c r="O21" s="1">
        <f>MAX($C21,$E21,$G21,$I21)</f>
        <v>0</v>
      </c>
    </row>
    <row r="22" spans="1:15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>
        <f>MIN($B22,$D22,$F22,$H22)</f>
        <v>0</v>
      </c>
      <c r="K22" s="1">
        <f>MIN($C22,$E22,$G22,$I22)</f>
        <v>0</v>
      </c>
      <c r="L22" s="1">
        <f>MEDIAN($B22,$D22,$F22,$H22)</f>
        <v>0</v>
      </c>
      <c r="M22" s="1">
        <f>MEDIAN($C22,$E22,$G22,$I22)</f>
        <v>0</v>
      </c>
      <c r="N22" s="1">
        <f>MAX($B22,$D22,$F22,$H22)</f>
        <v>0</v>
      </c>
      <c r="O22" s="1">
        <f>MAX($C22,$E22,$G22,$I22)</f>
        <v>0</v>
      </c>
    </row>
    <row r="23" spans="1:15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>
        <f>MIN($B23,$D23,$F23,$H23)</f>
        <v>0</v>
      </c>
      <c r="K23" s="1">
        <f>MIN($C23,$E23,$G23,$I23)</f>
        <v>0</v>
      </c>
      <c r="L23" s="1">
        <f>MEDIAN($B23,$D23,$F23,$H23)</f>
        <v>0</v>
      </c>
      <c r="M23" s="1">
        <f>MEDIAN($C23,$E23,$G23,$I23)</f>
        <v>0</v>
      </c>
      <c r="N23" s="1">
        <f>MAX($B23,$D23,$F23,$H23)</f>
        <v>0</v>
      </c>
      <c r="O23" s="1">
        <f>MAX($C23,$E23,$G23,$I23)</f>
        <v>0</v>
      </c>
    </row>
    <row r="24" spans="1:15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>
        <f>MIN($B24,$D24,$F24,$H24)</f>
        <v>0</v>
      </c>
      <c r="K24" s="1">
        <f>MIN($C24,$E24,$G24,$I24)</f>
        <v>0</v>
      </c>
      <c r="L24" s="1">
        <f>MEDIAN($B24,$D24,$F24,$H24)</f>
        <v>0</v>
      </c>
      <c r="M24" s="1">
        <f>MEDIAN($C24,$E24,$G24,$I24)</f>
        <v>0</v>
      </c>
      <c r="N24" s="1">
        <f>MAX($B24,$D24,$F24,$H24)</f>
        <v>0</v>
      </c>
      <c r="O24" s="1">
        <f>MAX($C24,$E24,$G24,$I24)</f>
        <v>0</v>
      </c>
    </row>
    <row r="25" spans="1:15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>
        <f>MIN($B25,$D25,$F25,$H25)</f>
        <v>0</v>
      </c>
      <c r="K25" s="1">
        <f>MIN($C25,$E25,$G25,$I25)</f>
        <v>0</v>
      </c>
      <c r="L25" s="1">
        <f>MEDIAN($B25,$D25,$F25,$H25)</f>
        <v>0</v>
      </c>
      <c r="M25" s="1">
        <f>MEDIAN($C25,$E25,$G25,$I25)</f>
        <v>0</v>
      </c>
      <c r="N25" s="1">
        <f>MAX($B25,$D25,$F25,$H25)</f>
        <v>0</v>
      </c>
      <c r="O25" s="1">
        <f>MAX($C25,$E25,$G25,$I25)</f>
        <v>0</v>
      </c>
    </row>
    <row r="26" spans="1:15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>
        <f>MIN($B26,$D26,$F26,$H26)</f>
        <v>0</v>
      </c>
      <c r="K26" s="1">
        <f>MIN($C26,$E26,$G26,$I26)</f>
        <v>0</v>
      </c>
      <c r="L26" s="1">
        <f>MEDIAN($B26,$D26,$F26,$H26)</f>
        <v>0</v>
      </c>
      <c r="M26" s="1">
        <f>MEDIAN($C26,$E26,$G26,$I26)</f>
        <v>0</v>
      </c>
      <c r="N26" s="1">
        <f>MAX($B26,$D26,$F26,$H26)</f>
        <v>0</v>
      </c>
      <c r="O26" s="1">
        <f>MAX($C26,$E26,$G26,$I26)</f>
        <v>0</v>
      </c>
    </row>
    <row r="27" spans="1:15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>
        <f>MIN($B27,$D27,$F27,$H27)</f>
        <v>0</v>
      </c>
      <c r="K27" s="1">
        <f>MIN($C27,$E27,$G27,$I27)</f>
        <v>0</v>
      </c>
      <c r="L27" s="1">
        <f>MEDIAN($B27,$D27,$F27,$H27)</f>
        <v>0</v>
      </c>
      <c r="M27" s="1">
        <f>MEDIAN($C27,$E27,$G27,$I27)</f>
        <v>0</v>
      </c>
      <c r="N27" s="1">
        <f>MAX($B27,$D27,$F27,$H27)</f>
        <v>0</v>
      </c>
      <c r="O27" s="1">
        <f>MAX($C27,$E27,$G27,$I27)</f>
        <v>0</v>
      </c>
    </row>
    <row r="28" spans="1:15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>
        <f>MIN($B28,$D28,$F28,$H28)</f>
        <v>0</v>
      </c>
      <c r="K28" s="1">
        <f>MIN($C28,$E28,$G28,$I28)</f>
        <v>0</v>
      </c>
      <c r="L28" s="1">
        <f>MEDIAN($B28,$D28,$F28,$H28)</f>
        <v>0</v>
      </c>
      <c r="M28" s="1">
        <f>MEDIAN($C28,$E28,$G28,$I28)</f>
        <v>0</v>
      </c>
      <c r="N28" s="1">
        <f>MAX($B28,$D28,$F28,$H28)</f>
        <v>0</v>
      </c>
      <c r="O28" s="1">
        <f>MAX($C28,$E28,$G28,$I28)</f>
        <v>0</v>
      </c>
    </row>
    <row r="29" spans="1:15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>
        <f>MIN($B29,$D29,$F29,$H29)</f>
        <v>0</v>
      </c>
      <c r="K29" s="1">
        <f>MIN($C29,$E29,$G29,$I29)</f>
        <v>0</v>
      </c>
      <c r="L29" s="1">
        <f>MEDIAN($B29,$D29,$F29,$H29)</f>
        <v>0</v>
      </c>
      <c r="M29" s="1">
        <f>MEDIAN($C29,$E29,$G29,$I29)</f>
        <v>0</v>
      </c>
      <c r="N29" s="1">
        <f>MAX($B29,$D29,$F29,$H29)</f>
        <v>0</v>
      </c>
      <c r="O29" s="1">
        <f>MAX($C29,$E29,$G29,$I29)</f>
        <v>0</v>
      </c>
    </row>
    <row r="30" spans="1:15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>
        <f>MIN($B30,$D30,$F30,$H30)</f>
        <v>0</v>
      </c>
      <c r="K30" s="1">
        <f>MIN($C30,$E30,$G30,$I30)</f>
        <v>0</v>
      </c>
      <c r="L30" s="1">
        <f>MEDIAN($B30,$D30,$F30,$H30)</f>
        <v>0</v>
      </c>
      <c r="M30" s="1">
        <f>MEDIAN($C30,$E30,$G30,$I30)</f>
        <v>0</v>
      </c>
      <c r="N30" s="1">
        <f>MAX($B30,$D30,$F30,$H30)</f>
        <v>0</v>
      </c>
      <c r="O30" s="1">
        <f>MAX($C30,$E30,$G30,$I30)</f>
        <v>0</v>
      </c>
    </row>
    <row r="31" spans="1:15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>
        <f>MIN($B31,$D31,$F31,$H31)</f>
        <v>0</v>
      </c>
      <c r="K31" s="1">
        <f>MIN($C31,$E31,$G31,$I31)</f>
        <v>0</v>
      </c>
      <c r="L31" s="1">
        <f>MEDIAN($B31,$D31,$F31,$H31)</f>
        <v>0</v>
      </c>
      <c r="M31" s="1">
        <f>MEDIAN($C31,$E31,$G31,$I31)</f>
        <v>0</v>
      </c>
      <c r="N31" s="1">
        <f>MAX($B31,$D31,$F31,$H31)</f>
        <v>0</v>
      </c>
      <c r="O31" s="1">
        <f>MAX($C31,$E31,$G31,$I31)</f>
        <v>0</v>
      </c>
    </row>
    <row r="32" spans="1:15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>
        <f>MIN($B32,$D32,$F32,$H32)</f>
        <v>0</v>
      </c>
      <c r="K32" s="1">
        <f>MIN($C32,$E32,$G32,$I32)</f>
        <v>0</v>
      </c>
      <c r="L32" s="1">
        <f>MEDIAN($B32,$D32,$F32,$H32)</f>
        <v>0</v>
      </c>
      <c r="M32" s="1">
        <f>MEDIAN($C32,$E32,$G32,$I32)</f>
        <v>0</v>
      </c>
      <c r="N32" s="1">
        <f>MAX($B32,$D32,$F32,$H32)</f>
        <v>0</v>
      </c>
      <c r="O32" s="1">
        <f>MAX($C32,$E32,$G32,$I32)</f>
        <v>0</v>
      </c>
    </row>
    <row r="33" spans="1:15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>
        <f>MIN($B33,$D33,$F33,$H33)</f>
        <v>0</v>
      </c>
      <c r="K33" s="1">
        <f>MIN($C33,$E33,$G33,$I33)</f>
        <v>0</v>
      </c>
      <c r="L33" s="1">
        <f>MEDIAN($B33,$D33,$F33,$H33)</f>
        <v>0</v>
      </c>
      <c r="M33" s="1">
        <f>MEDIAN($C33,$E33,$G33,$I33)</f>
        <v>0</v>
      </c>
      <c r="N33" s="1">
        <f>MAX($B33,$D33,$F33,$H33)</f>
        <v>0</v>
      </c>
      <c r="O33" s="1">
        <f>MAX($C33,$E33,$G33,$I33)</f>
        <v>0</v>
      </c>
    </row>
    <row r="34" spans="1:15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>
        <f>MIN($B34,$D34,$F34,$H34)</f>
        <v>0</v>
      </c>
      <c r="K34" s="1">
        <f>MIN($C34,$E34,$G34,$I34)</f>
        <v>0</v>
      </c>
      <c r="L34" s="1">
        <f>MEDIAN($B34,$D34,$F34,$H34)</f>
        <v>0</v>
      </c>
      <c r="M34" s="1">
        <f>MEDIAN($C34,$E34,$G34,$I34)</f>
        <v>0</v>
      </c>
      <c r="N34" s="1">
        <f>MAX($B34,$D34,$F34,$H34)</f>
        <v>0</v>
      </c>
      <c r="O34" s="1">
        <f>MAX($C34,$E34,$G34,$I34)</f>
        <v>0</v>
      </c>
    </row>
    <row r="35" spans="1:15">
      <c r="A35" s="1" t="s">
        <v>32</v>
      </c>
      <c r="B35" s="1" cm="1">
        <f t="array" ref="B35">_xlfn.SWITCH($A$2,"average", AVERAGE(Instances!B35:Instances!B35),"median", MEDIAN(Instances!B35:Instances!B35),"min", MIN(Instances!B35:Instances!B35),"max", MAX(Instances!B35:Instances!B35),"diff", MAX(Instances!B35:Instances!B35)-MIN(Instances!B35:Instances!B35))</f>
        <v>0</v>
      </c>
      <c r="C35" s="1" cm="1">
        <f t="array" ref="C35">_xlfn.SWITCH($A$2,"average", AVERAGE(Instances!C35:Instances!C35),"median", MEDIAN(Instances!C35:Instances!C35),"min", MIN(Instances!C35:Instances!C35),"max", MAX(Instances!C35:Instances!C35),"diff", MAX(Instances!C35:Instances!C35)-MIN(Instances!C35:Instances!C35))</f>
        <v>0</v>
      </c>
      <c r="D35" s="1" cm="1">
        <f t="array" ref="D35">_xlfn.SWITCH($A$2,"average", AVERAGE(Instances!D35:Instances!D35),"median", MEDIAN(Instances!D35:Instances!D35),"min", MIN(Instances!D35:Instances!D35),"max", MAX(Instances!D35:Instances!D35),"diff", MAX(Instances!D35:Instances!D35)-MIN(Instances!D35:Instances!D35))</f>
        <v>0</v>
      </c>
      <c r="E35" s="1" cm="1">
        <f t="array" ref="E35">_xlfn.SWITCH($A$2,"average", AVERAGE(Instances!E35:Instances!E35),"median", MEDIAN(Instances!E35:Instances!E35),"min", MIN(Instances!E35:Instances!E35),"max", MAX(Instances!E35:Instances!E35),"diff", MAX(Instances!E35:Instances!E35)-MIN(Instances!E35:Instances!E35))</f>
        <v>0</v>
      </c>
      <c r="F35" s="1" cm="1">
        <f t="array" ref="F35">_xlfn.SWITCH($A$2,"average", AVERAGE(Instances!F35:Instances!F35),"median", MEDIAN(Instances!F35:Instances!F35),"min", MIN(Instances!F35:Instances!F35),"max", MAX(Instances!F35:Instances!F35),"diff", MAX(Instances!F35:Instances!F35)-MIN(Instances!F35:Instances!F35))</f>
        <v>0</v>
      </c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 cm="1">
        <f t="array" ref="H35">_xlfn.SWITCH($A$2,"average", AVERAGE(Instances!H35:Instances!H35),"median", MEDIAN(Instances!H35:Instances!H35),"min", MIN(Instances!H35:Instances!H35),"max", MAX(Instances!H35:Instances!H35),"diff", MAX(Instances!H35:Instances!H35)-MIN(Instances!H35:Instances!H35))</f>
        <v>0</v>
      </c>
      <c r="I35" s="1" cm="1">
        <f t="array" ref="I35">_xlfn.SWITCH($A$2,"average", AVERAGE(Instances!I35:Instances!I35),"median", MEDIAN(Instances!I35:Instances!I35),"min", MIN(Instances!I35:Instances!I35),"max", MAX(Instances!I35:Instances!I35),"diff", MAX(Instances!I35:Instances!I35)-MIN(Instances!I35:Instances!I35))</f>
        <v>0</v>
      </c>
      <c r="J35" s="1">
        <f>MIN($B35,$D35,$F35,$H35)</f>
        <v>0</v>
      </c>
      <c r="K35" s="1">
        <f>MIN($C35,$E35,$G35,$I35)</f>
        <v>0</v>
      </c>
      <c r="L35" s="1">
        <f>MEDIAN($B35,$D35,$F35,$H35)</f>
        <v>0</v>
      </c>
      <c r="M35" s="1">
        <f>MEDIAN($C35,$E35,$G35,$I35)</f>
        <v>0</v>
      </c>
      <c r="N35" s="1">
        <f>MAX($B35,$D35,$F35,$H35)</f>
        <v>0</v>
      </c>
      <c r="O35" s="1">
        <f>MAX($C35,$E35,$G35,$I35)</f>
        <v>0</v>
      </c>
    </row>
    <row r="36" spans="1:15">
      <c r="A36" s="1" t="s">
        <v>33</v>
      </c>
      <c r="B36" s="1" cm="1">
        <f t="array" ref="B36">_xlfn.SWITCH($A$2,"average", AVERAGE(Instances!B36:Instances!B36),"median", MEDIAN(Instances!B36:Instances!B36),"min", MIN(Instances!B36:Instances!B36),"max", MAX(Instances!B36:Instances!B36),"diff", MAX(Instances!B36:Instances!B36)-MIN(Instances!B36:Instances!B36))</f>
        <v>0</v>
      </c>
      <c r="C36" s="1" cm="1">
        <f t="array" ref="C36">_xlfn.SWITCH($A$2,"average", AVERAGE(Instances!C36:Instances!C36),"median", MEDIAN(Instances!C36:Instances!C36),"min", MIN(Instances!C36:Instances!C36),"max", MAX(Instances!C36:Instances!C36),"diff", MAX(Instances!C36:Instances!C36)-MIN(Instances!C36:Instances!C36))</f>
        <v>0</v>
      </c>
      <c r="D36" s="1" cm="1">
        <f t="array" ref="D36">_xlfn.SWITCH($A$2,"average", AVERAGE(Instances!D36:Instances!D36),"median", MEDIAN(Instances!D36:Instances!D36),"min", MIN(Instances!D36:Instances!D36),"max", MAX(Instances!D36:Instances!D36),"diff", MAX(Instances!D36:Instances!D36)-MIN(Instances!D36:Instances!D36))</f>
        <v>0</v>
      </c>
      <c r="E36" s="1" cm="1">
        <f t="array" ref="E36">_xlfn.SWITCH($A$2,"average", AVERAGE(Instances!E36:Instances!E36),"median", MEDIAN(Instances!E36:Instances!E36),"min", MIN(Instances!E36:Instances!E36),"max", MAX(Instances!E36:Instances!E36),"diff", MAX(Instances!E36:Instances!E36)-MIN(Instances!E36:Instances!E36))</f>
        <v>0</v>
      </c>
      <c r="F36" s="1" cm="1">
        <f t="array" ref="F36">_xlfn.SWITCH($A$2,"average", AVERAGE(Instances!F36:Instances!F36),"median", MEDIAN(Instances!F36:Instances!F36),"min", MIN(Instances!F36:Instances!F36),"max", MAX(Instances!F36:Instances!F36),"diff", MAX(Instances!F36:Instances!F36)-MIN(Instances!F36:Instances!F36))</f>
        <v>0</v>
      </c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 cm="1">
        <f t="array" ref="H36">_xlfn.SWITCH($A$2,"average", AVERAGE(Instances!H36:Instances!H36),"median", MEDIAN(Instances!H36:Instances!H36),"min", MIN(Instances!H36:Instances!H36),"max", MAX(Instances!H36:Instances!H36),"diff", MAX(Instances!H36:Instances!H36)-MIN(Instances!H36:Instances!H36))</f>
        <v>0</v>
      </c>
      <c r="I36" s="1" cm="1">
        <f t="array" ref="I36">_xlfn.SWITCH($A$2,"average", AVERAGE(Instances!I36:Instances!I36),"median", MEDIAN(Instances!I36:Instances!I36),"min", MIN(Instances!I36:Instances!I36),"max", MAX(Instances!I36:Instances!I36),"diff", MAX(Instances!I36:Instances!I36)-MIN(Instances!I36:Instances!I36))</f>
        <v>0</v>
      </c>
      <c r="J36" s="1">
        <f>MIN($B36,$D36,$F36,$H36)</f>
        <v>0</v>
      </c>
      <c r="K36" s="1">
        <f>MIN($C36,$E36,$G36,$I36)</f>
        <v>0</v>
      </c>
      <c r="L36" s="1">
        <f>MEDIAN($B36,$D36,$F36,$H36)</f>
        <v>0</v>
      </c>
      <c r="M36" s="1">
        <f>MEDIAN($C36,$E36,$G36,$I36)</f>
        <v>0</v>
      </c>
      <c r="N36" s="1">
        <f>MAX($B36,$D36,$F36,$H36)</f>
        <v>0</v>
      </c>
      <c r="O36" s="1">
        <f>MAX($C36,$E36,$G36,$I36)</f>
        <v>0</v>
      </c>
    </row>
    <row r="37" spans="1:15">
      <c r="A37" s="1" t="s">
        <v>34</v>
      </c>
      <c r="B37" s="1" cm="1">
        <f t="array" ref="B37">_xlfn.SWITCH($A$2,"average", AVERAGE(Instances!B37:Instances!B37),"median", MEDIAN(Instances!B37:Instances!B37),"min", MIN(Instances!B37:Instances!B37),"max", MAX(Instances!B37:Instances!B37),"diff", MAX(Instances!B37:Instances!B37)-MIN(Instances!B37:Instances!B37))</f>
        <v>0</v>
      </c>
      <c r="C37" s="1" cm="1">
        <f t="array" ref="C37">_xlfn.SWITCH($A$2,"average", AVERAGE(Instances!C37:Instances!C37),"median", MEDIAN(Instances!C37:Instances!C37),"min", MIN(Instances!C37:Instances!C37),"max", MAX(Instances!C37:Instances!C37),"diff", MAX(Instances!C37:Instances!C37)-MIN(Instances!C37:Instances!C37))</f>
        <v>0</v>
      </c>
      <c r="D37" s="1" cm="1">
        <f t="array" ref="D37">_xlfn.SWITCH($A$2,"average", AVERAGE(Instances!D37:Instances!D37),"median", MEDIAN(Instances!D37:Instances!D37),"min", MIN(Instances!D37:Instances!D37),"max", MAX(Instances!D37:Instances!D37),"diff", MAX(Instances!D37:Instances!D37)-MIN(Instances!D37:Instances!D37))</f>
        <v>0</v>
      </c>
      <c r="E37" s="1" cm="1">
        <f t="array" ref="E37">_xlfn.SWITCH($A$2,"average", AVERAGE(Instances!E37:Instances!E37),"median", MEDIAN(Instances!E37:Instances!E37),"min", MIN(Instances!E37:Instances!E37),"max", MAX(Instances!E37:Instances!E37),"diff", MAX(Instances!E37:Instances!E37)-MIN(Instances!E37:Instances!E37))</f>
        <v>0</v>
      </c>
      <c r="F37" s="1" cm="1">
        <f t="array" ref="F37">_xlfn.SWITCH($A$2,"average", AVERAGE(Instances!F37:Instances!F37),"median", MEDIAN(Instances!F37:Instances!F37),"min", MIN(Instances!F37:Instances!F37),"max", MAX(Instances!F37:Instances!F37),"diff", MAX(Instances!F37:Instances!F37)-MIN(Instances!F37:Instances!F37))</f>
        <v>0</v>
      </c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 cm="1">
        <f t="array" ref="H37">_xlfn.SWITCH($A$2,"average", AVERAGE(Instances!H37:Instances!H37),"median", MEDIAN(Instances!H37:Instances!H37),"min", MIN(Instances!H37:Instances!H37),"max", MAX(Instances!H37:Instances!H37),"diff", MAX(Instances!H37:Instances!H37)-MIN(Instances!H37:Instances!H37))</f>
        <v>0</v>
      </c>
      <c r="I37" s="1" cm="1">
        <f t="array" ref="I37">_xlfn.SWITCH($A$2,"average", AVERAGE(Instances!I37:Instances!I37),"median", MEDIAN(Instances!I37:Instances!I37),"min", MIN(Instances!I37:Instances!I37),"max", MAX(Instances!I37:Instances!I37),"diff", MAX(Instances!I37:Instances!I37)-MIN(Instances!I37:Instances!I37))</f>
        <v>0</v>
      </c>
      <c r="J37" s="1">
        <f>MIN($B37,$D37,$F37,$H37)</f>
        <v>0</v>
      </c>
      <c r="K37" s="1">
        <f>MIN($C37,$E37,$G37,$I37)</f>
        <v>0</v>
      </c>
      <c r="L37" s="1">
        <f>MEDIAN($B37,$D37,$F37,$H37)</f>
        <v>0</v>
      </c>
      <c r="M37" s="1">
        <f>MEDIAN($C37,$E37,$G37,$I37)</f>
        <v>0</v>
      </c>
      <c r="N37" s="1">
        <f>MAX($B37,$D37,$F37,$H37)</f>
        <v>0</v>
      </c>
      <c r="O37" s="1">
        <f>MAX($C37,$E37,$G37,$I37)</f>
        <v>0</v>
      </c>
    </row>
    <row r="38" spans="1:15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 cm="1">
        <f t="array" ref="D38">_xlfn.SWITCH($A$2,"average", AVERAGE(Instances!D38:Instances!D38),"median", MEDIAN(Instances!D38:Instances!D38),"min", MIN(Instances!D38:Instances!D38),"max", MAX(Instances!D38:Instances!D38),"diff", MAX(Instances!D38:Instances!D38)-MIN(Instances!D38:Instances!D38))</f>
        <v>0</v>
      </c>
      <c r="E38" s="1" cm="1">
        <f t="array" ref="E38">_xlfn.SWITCH($A$2,"average", AVERAGE(Instances!E38:Instances!E38),"median", MEDIAN(Instances!E38:Instances!E38),"min", MIN(Instances!E38:Instances!E38),"max", MAX(Instances!E38:Instances!E38),"diff", MAX(Instances!E38:Instances!E38)-MIN(Instances!E38:Instances!E38))</f>
        <v>0</v>
      </c>
      <c r="F38" s="1" cm="1">
        <f t="array" ref="F38">_xlfn.SWITCH($A$2,"average", AVERAGE(Instances!F38:Instances!F38),"median", MEDIAN(Instances!F38:Instances!F38),"min", MIN(Instances!F38:Instances!F38),"max", MAX(Instances!F38:Instances!F38),"diff", MAX(Instances!F38:Instances!F38)-MIN(Instances!F38:Instances!F38))</f>
        <v>0</v>
      </c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>
        <f>MIN($B38,$D38,$F38,$H38)</f>
        <v>0</v>
      </c>
      <c r="K38" s="1">
        <f>MIN($C38,$E38,$G38,$I38)</f>
        <v>0</v>
      </c>
      <c r="L38" s="1">
        <f>MEDIAN($B38,$D38,$F38,$H38)</f>
        <v>0</v>
      </c>
      <c r="M38" s="1">
        <f>MEDIAN($C38,$E38,$G38,$I38)</f>
        <v>0</v>
      </c>
      <c r="N38" s="1">
        <f>MAX($B38,$D38,$F38,$H38)</f>
        <v>0</v>
      </c>
      <c r="O38" s="1">
        <f>MAX($C38,$E38,$G38,$I38)</f>
        <v>0</v>
      </c>
    </row>
    <row r="39" spans="1:15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 cm="1">
        <f t="array" ref="D39">_xlfn.SWITCH($A$2,"average", AVERAGE(Instances!D39:Instances!D39),"median", MEDIAN(Instances!D39:Instances!D39),"min", MIN(Instances!D39:Instances!D39),"max", MAX(Instances!D39:Instances!D39),"diff", MAX(Instances!D39:Instances!D39)-MIN(Instances!D39:Instances!D39))</f>
        <v>0</v>
      </c>
      <c r="E39" s="1" cm="1">
        <f t="array" ref="E39">_xlfn.SWITCH($A$2,"average", AVERAGE(Instances!E39:Instances!E39),"median", MEDIAN(Instances!E39:Instances!E39),"min", MIN(Instances!E39:Instances!E39),"max", MAX(Instances!E39:Instances!E39),"diff", MAX(Instances!E39:Instances!E39)-MIN(Instances!E39:Instances!E39))</f>
        <v>0</v>
      </c>
      <c r="F39" s="1" cm="1">
        <f t="array" ref="F39">_xlfn.SWITCH($A$2,"average", AVERAGE(Instances!F39:Instances!F39),"median", MEDIAN(Instances!F39:Instances!F39),"min", MIN(Instances!F39:Instances!F39),"max", MAX(Instances!F39:Instances!F39),"diff", MAX(Instances!F39:Instances!F39)-MIN(Instances!F39:Instances!F39))</f>
        <v>0</v>
      </c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>
        <f>MIN($B39,$D39,$F39,$H39)</f>
        <v>0</v>
      </c>
      <c r="K39" s="1">
        <f>MIN($C39,$E39,$G39,$I39)</f>
        <v>0</v>
      </c>
      <c r="L39" s="1">
        <f>MEDIAN($B39,$D39,$F39,$H39)</f>
        <v>0</v>
      </c>
      <c r="M39" s="1">
        <f>MEDIAN($C39,$E39,$G39,$I39)</f>
        <v>0</v>
      </c>
      <c r="N39" s="1">
        <f>MAX($B39,$D39,$F39,$H39)</f>
        <v>0</v>
      </c>
      <c r="O39" s="1">
        <f>MAX($C39,$E39,$G39,$I39)</f>
        <v>0</v>
      </c>
    </row>
    <row r="40" spans="1:15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 cm="1">
        <f t="array" ref="D40">_xlfn.SWITCH($A$2,"average", AVERAGE(Instances!D40:Instances!D40),"median", MEDIAN(Instances!D40:Instances!D40),"min", MIN(Instances!D40:Instances!D40),"max", MAX(Instances!D40:Instances!D40),"diff", MAX(Instances!D40:Instances!D40)-MIN(Instances!D40:Instances!D40))</f>
        <v>0</v>
      </c>
      <c r="E40" s="1" cm="1">
        <f t="array" ref="E40">_xlfn.SWITCH($A$2,"average", AVERAGE(Instances!E40:Instances!E40),"median", MEDIAN(Instances!E40:Instances!E40),"min", MIN(Instances!E40:Instances!E40),"max", MAX(Instances!E40:Instances!E40),"diff", MAX(Instances!E40:Instances!E40)-MIN(Instances!E40:Instances!E40))</f>
        <v>0</v>
      </c>
      <c r="F40" s="1" cm="1">
        <f t="array" ref="F40">_xlfn.SWITCH($A$2,"average", AVERAGE(Instances!F40:Instances!F40),"median", MEDIAN(Instances!F40:Instances!F40),"min", MIN(Instances!F40:Instances!F40),"max", MAX(Instances!F40:Instances!F40),"diff", MAX(Instances!F40:Instances!F40)-MIN(Instances!F40:Instances!F40))</f>
        <v>0</v>
      </c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>
        <f>MIN($B40,$D40,$F40,$H40)</f>
        <v>0</v>
      </c>
      <c r="K40" s="1">
        <f>MIN($C40,$E40,$G40,$I40)</f>
        <v>0</v>
      </c>
      <c r="L40" s="1">
        <f>MEDIAN($B40,$D40,$F40,$H40)</f>
        <v>0</v>
      </c>
      <c r="M40" s="1">
        <f>MEDIAN($C40,$E40,$G40,$I40)</f>
        <v>0</v>
      </c>
      <c r="N40" s="1">
        <f>MAX($B40,$D40,$F40,$H40)</f>
        <v>0</v>
      </c>
      <c r="O40" s="1">
        <f>MAX($C40,$E40,$G40,$I40)</f>
        <v>0</v>
      </c>
    </row>
    <row r="41" spans="1:15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 cm="1">
        <f t="array" ref="D41">_xlfn.SWITCH($A$2,"average", AVERAGE(Instances!D41:Instances!D41),"median", MEDIAN(Instances!D41:Instances!D41),"min", MIN(Instances!D41:Instances!D41),"max", MAX(Instances!D41:Instances!D41),"diff", MAX(Instances!D41:Instances!D41)-MIN(Instances!D41:Instances!D41))</f>
        <v>0</v>
      </c>
      <c r="E41" s="1" cm="1">
        <f t="array" ref="E41">_xlfn.SWITCH($A$2,"average", AVERAGE(Instances!E41:Instances!E41),"median", MEDIAN(Instances!E41:Instances!E41),"min", MIN(Instances!E41:Instances!E41),"max", MAX(Instances!E41:Instances!E41),"diff", MAX(Instances!E41:Instances!E41)-MIN(Instances!E41:Instances!E41))</f>
        <v>0</v>
      </c>
      <c r="F41" s="1" cm="1">
        <f t="array" ref="F41">_xlfn.SWITCH($A$2,"average", AVERAGE(Instances!F41:Instances!F41),"median", MEDIAN(Instances!F41:Instances!F41),"min", MIN(Instances!F41:Instances!F41),"max", MAX(Instances!F41:Instances!F41),"diff", MAX(Instances!F41:Instances!F41)-MIN(Instances!F41:Instances!F41))</f>
        <v>0</v>
      </c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>
        <f>MIN($B41,$D41,$F41,$H41)</f>
        <v>0</v>
      </c>
      <c r="K41" s="1">
        <f>MIN($C41,$E41,$G41,$I41)</f>
        <v>0</v>
      </c>
      <c r="L41" s="1">
        <f>MEDIAN($B41,$D41,$F41,$H41)</f>
        <v>0</v>
      </c>
      <c r="M41" s="1">
        <f>MEDIAN($C41,$E41,$G41,$I41)</f>
        <v>0</v>
      </c>
      <c r="N41" s="1">
        <f>MAX($B41,$D41,$F41,$H41)</f>
        <v>0</v>
      </c>
      <c r="O41" s="1">
        <f>MAX($C41,$E41,$G41,$I41)</f>
        <v>0</v>
      </c>
    </row>
    <row r="42" spans="1:15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 cm="1">
        <f t="array" ref="D42">_xlfn.SWITCH($A$2,"average", AVERAGE(Instances!D42:Instances!D42),"median", MEDIAN(Instances!D42:Instances!D42),"min", MIN(Instances!D42:Instances!D42),"max", MAX(Instances!D42:Instances!D42),"diff", MAX(Instances!D42:Instances!D42)-MIN(Instances!D42:Instances!D42))</f>
        <v>0</v>
      </c>
      <c r="E42" s="1" cm="1">
        <f t="array" ref="E42">_xlfn.SWITCH($A$2,"average", AVERAGE(Instances!E42:Instances!E42),"median", MEDIAN(Instances!E42:Instances!E42),"min", MIN(Instances!E42:Instances!E42),"max", MAX(Instances!E42:Instances!E42),"diff", MAX(Instances!E42:Instances!E42)-MIN(Instances!E42:Instances!E42))</f>
        <v>0</v>
      </c>
      <c r="F42" s="1" cm="1">
        <f t="array" ref="F42">_xlfn.SWITCH($A$2,"average", AVERAGE(Instances!F42:Instances!F42),"median", MEDIAN(Instances!F42:Instances!F42),"min", MIN(Instances!F42:Instances!F42),"max", MAX(Instances!F42:Instances!F42),"diff", MAX(Instances!F42:Instances!F42)-MIN(Instances!F42:Instances!F42))</f>
        <v>0</v>
      </c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>
        <f>MIN($B42,$D42,$F42,$H42)</f>
        <v>0</v>
      </c>
      <c r="K42" s="1">
        <f>MIN($C42,$E42,$G42,$I42)</f>
        <v>0</v>
      </c>
      <c r="L42" s="1">
        <f>MEDIAN($B42,$D42,$F42,$H42)</f>
        <v>0</v>
      </c>
      <c r="M42" s="1">
        <f>MEDIAN($C42,$E42,$G42,$I42)</f>
        <v>0</v>
      </c>
      <c r="N42" s="1">
        <f>MAX($B42,$D42,$F42,$H42)</f>
        <v>0</v>
      </c>
      <c r="O42" s="1">
        <f>MAX($C42,$E42,$G42,$I42)</f>
        <v>0</v>
      </c>
    </row>
    <row r="43" spans="1:15">
      <c r="A43" s="1" t="s">
        <v>40</v>
      </c>
      <c r="B43" s="1" cm="1">
        <f t="array" ref="B43">_xlfn.SWITCH($A$2,"average", AVERAGE(Instances!B43:Instances!B43),"median", MEDIAN(Instances!B43:Instances!B43),"min", MIN(Instances!B43:Instances!B43),"max", MAX(Instances!B43:Instances!B43),"diff", MAX(Instances!B43:Instances!B43)-MIN(Instances!B43:Instances!B43))</f>
        <v>0</v>
      </c>
      <c r="C43" s="1" cm="1">
        <f t="array" ref="C43">_xlfn.SWITCH($A$2,"average", AVERAGE(Instances!C43:Instances!C43),"median", MEDIAN(Instances!C43:Instances!C43),"min", MIN(Instances!C43:Instances!C43),"max", MAX(Instances!C43:Instances!C43),"diff", MAX(Instances!C43:Instances!C43)-MIN(Instances!C43:Instances!C43))</f>
        <v>0</v>
      </c>
      <c r="D43" s="1" cm="1">
        <f t="array" ref="D43">_xlfn.SWITCH($A$2,"average", AVERAGE(Instances!D43:Instances!D43),"median", MEDIAN(Instances!D43:Instances!D43),"min", MIN(Instances!D43:Instances!D43),"max", MAX(Instances!D43:Instances!D43),"diff", MAX(Instances!D43:Instances!D43)-MIN(Instances!D43:Instances!D43))</f>
        <v>0</v>
      </c>
      <c r="E43" s="1" cm="1">
        <f t="array" ref="E43">_xlfn.SWITCH($A$2,"average", AVERAGE(Instances!E43:Instances!E43),"median", MEDIAN(Instances!E43:Instances!E43),"min", MIN(Instances!E43:Instances!E43),"max", MAX(Instances!E43:Instances!E43),"diff", MAX(Instances!E43:Instances!E43)-MIN(Instances!E43:Instances!E43))</f>
        <v>0</v>
      </c>
      <c r="F43" s="1" cm="1">
        <f t="array" ref="F43">_xlfn.SWITCH($A$2,"average", AVERAGE(Instances!F43:Instances!F43),"median", MEDIAN(Instances!F43:Instances!F43),"min", MIN(Instances!F43:Instances!F43),"max", MAX(Instances!F43:Instances!F43),"diff", MAX(Instances!F43:Instances!F43)-MIN(Instances!F43:Instances!F43))</f>
        <v>0</v>
      </c>
      <c r="G43" s="1" cm="1">
        <f t="array" ref="G43">_xlfn.SWITCH($A$2,"average", AVERAGE(Instances!G43:Instances!G43),"median", MEDIAN(Instances!G43:Instances!G43),"min", MIN(Instances!G43:Instances!G43),"max", MAX(Instances!G43:Instances!G43),"diff", MAX(Instances!G43:Instances!G43)-MIN(Instances!G43:Instances!G43))</f>
        <v>0</v>
      </c>
      <c r="H43" s="1" cm="1">
        <f t="array" ref="H43">_xlfn.SWITCH($A$2,"average", AVERAGE(Instances!H43:Instances!H43),"median", MEDIAN(Instances!H43:Instances!H43),"min", MIN(Instances!H43:Instances!H43),"max", MAX(Instances!H43:Instances!H43),"diff", MAX(Instances!H43:Instances!H43)-MIN(Instances!H43:Instances!H43))</f>
        <v>0</v>
      </c>
      <c r="I43" s="1" cm="1">
        <f t="array" ref="I43">_xlfn.SWITCH($A$2,"average", AVERAGE(Instances!I43:Instances!I43),"median", MEDIAN(Instances!I43:Instances!I43),"min", MIN(Instances!I43:Instances!I43),"max", MAX(Instances!I43:Instances!I43),"diff", MAX(Instances!I43:Instances!I43)-MIN(Instances!I43:Instances!I43))</f>
        <v>0</v>
      </c>
      <c r="J43" s="1">
        <f>MIN($B43,$D43,$F43,$H43)</f>
        <v>0</v>
      </c>
      <c r="K43" s="1">
        <f>MIN($C43,$E43,$G43,$I43)</f>
        <v>0</v>
      </c>
      <c r="L43" s="1">
        <f>MEDIAN($B43,$D43,$F43,$H43)</f>
        <v>0</v>
      </c>
      <c r="M43" s="1">
        <f>MEDIAN($C43,$E43,$G43,$I43)</f>
        <v>0</v>
      </c>
      <c r="N43" s="1">
        <f>MAX($B43,$D43,$F43,$H43)</f>
        <v>0</v>
      </c>
      <c r="O43" s="1">
        <f>MAX($C43,$E43,$G43,$I43)</f>
        <v>0</v>
      </c>
    </row>
    <row r="44" spans="1:15">
      <c r="A44" s="1" t="s">
        <v>41</v>
      </c>
      <c r="B44" s="1" cm="1">
        <f t="array" ref="B44">_xlfn.SWITCH($A$2,"average", AVERAGE(Instances!B44:Instances!B44),"median", MEDIAN(Instances!B44:Instances!B44),"min", MIN(Instances!B44:Instances!B44),"max", MAX(Instances!B44:Instances!B44),"diff", MAX(Instances!B44:Instances!B44)-MIN(Instances!B44:Instances!B44))</f>
        <v>0</v>
      </c>
      <c r="C44" s="1" cm="1">
        <f t="array" ref="C44">_xlfn.SWITCH($A$2,"average", AVERAGE(Instances!C44:Instances!C44),"median", MEDIAN(Instances!C44:Instances!C44),"min", MIN(Instances!C44:Instances!C44),"max", MAX(Instances!C44:Instances!C44),"diff", MAX(Instances!C44:Instances!C44)-MIN(Instances!C44:Instances!C44))</f>
        <v>0</v>
      </c>
      <c r="D44" s="1" cm="1">
        <f t="array" ref="D44">_xlfn.SWITCH($A$2,"average", AVERAGE(Instances!D44:Instances!D44),"median", MEDIAN(Instances!D44:Instances!D44),"min", MIN(Instances!D44:Instances!D44),"max", MAX(Instances!D44:Instances!D44),"diff", MAX(Instances!D44:Instances!D44)-MIN(Instances!D44:Instances!D44))</f>
        <v>0</v>
      </c>
      <c r="E44" s="1" cm="1">
        <f t="array" ref="E44">_xlfn.SWITCH($A$2,"average", AVERAGE(Instances!E44:Instances!E44),"median", MEDIAN(Instances!E44:Instances!E44),"min", MIN(Instances!E44:Instances!E44),"max", MAX(Instances!E44:Instances!E44),"diff", MAX(Instances!E44:Instances!E44)-MIN(Instances!E44:Instances!E44))</f>
        <v>0</v>
      </c>
      <c r="F44" s="1" cm="1">
        <f t="array" ref="F44">_xlfn.SWITCH($A$2,"average", AVERAGE(Instances!F44:Instances!F44),"median", MEDIAN(Instances!F44:Instances!F44),"min", MIN(Instances!F44:Instances!F44),"max", MAX(Instances!F44:Instances!F44),"diff", MAX(Instances!F44:Instances!F44)-MIN(Instances!F44:Instances!F44))</f>
        <v>0</v>
      </c>
      <c r="G44" s="1" cm="1">
        <f t="array" ref="G44">_xlfn.SWITCH($A$2,"average", AVERAGE(Instances!G44:Instances!G44),"median", MEDIAN(Instances!G44:Instances!G44),"min", MIN(Instances!G44:Instances!G44),"max", MAX(Instances!G44:Instances!G44),"diff", MAX(Instances!G44:Instances!G44)-MIN(Instances!G44:Instances!G44))</f>
        <v>0</v>
      </c>
      <c r="H44" s="1" cm="1">
        <f t="array" ref="H44">_xlfn.SWITCH($A$2,"average", AVERAGE(Instances!H44:Instances!H44),"median", MEDIAN(Instances!H44:Instances!H44),"min", MIN(Instances!H44:Instances!H44),"max", MAX(Instances!H44:Instances!H44),"diff", MAX(Instances!H44:Instances!H44)-MIN(Instances!H44:Instances!H44))</f>
        <v>0</v>
      </c>
      <c r="I44" s="1" cm="1">
        <f t="array" ref="I44">_xlfn.SWITCH($A$2,"average", AVERAGE(Instances!I44:Instances!I44),"median", MEDIAN(Instances!I44:Instances!I44),"min", MIN(Instances!I44:Instances!I44),"max", MAX(Instances!I44:Instances!I44),"diff", MAX(Instances!I44:Instances!I44)-MIN(Instances!I44:Instances!I44))</f>
        <v>0</v>
      </c>
      <c r="J44" s="1">
        <f>MIN($B44,$D44,$F44,$H44)</f>
        <v>0</v>
      </c>
      <c r="K44" s="1">
        <f>MIN($C44,$E44,$G44,$I44)</f>
        <v>0</v>
      </c>
      <c r="L44" s="1">
        <f>MEDIAN($B44,$D44,$F44,$H44)</f>
        <v>0</v>
      </c>
      <c r="M44" s="1">
        <f>MEDIAN($C44,$E44,$G44,$I44)</f>
        <v>0</v>
      </c>
      <c r="N44" s="1">
        <f>MAX($B44,$D44,$F44,$H44)</f>
        <v>0</v>
      </c>
      <c r="O44" s="1">
        <f>MAX($C44,$E44,$G44,$I44)</f>
        <v>0</v>
      </c>
    </row>
    <row r="45" spans="1:15">
      <c r="A45" s="1" t="s">
        <v>42</v>
      </c>
      <c r="B45" s="1" cm="1">
        <f t="array" ref="B45">_xlfn.SWITCH($A$2,"average", AVERAGE(Instances!B45:Instances!B45),"median", MEDIAN(Instances!B45:Instances!B45),"min", MIN(Instances!B45:Instances!B45),"max", MAX(Instances!B45:Instances!B45),"diff", MAX(Instances!B45:Instances!B45)-MIN(Instances!B45:Instances!B45))</f>
        <v>0</v>
      </c>
      <c r="C45" s="1" cm="1">
        <f t="array" ref="C45">_xlfn.SWITCH($A$2,"average", AVERAGE(Instances!C45:Instances!C45),"median", MEDIAN(Instances!C45:Instances!C45),"min", MIN(Instances!C45:Instances!C45),"max", MAX(Instances!C45:Instances!C45),"diff", MAX(Instances!C45:Instances!C45)-MIN(Instances!C45:Instances!C45))</f>
        <v>0</v>
      </c>
      <c r="D45" s="1" cm="1">
        <f t="array" ref="D45">_xlfn.SWITCH($A$2,"average", AVERAGE(Instances!D45:Instances!D45),"median", MEDIAN(Instances!D45:Instances!D45),"min", MIN(Instances!D45:Instances!D45),"max", MAX(Instances!D45:Instances!D45),"diff", MAX(Instances!D45:Instances!D45)-MIN(Instances!D45:Instances!D45))</f>
        <v>0</v>
      </c>
      <c r="E45" s="1" cm="1">
        <f t="array" ref="E45">_xlfn.SWITCH($A$2,"average", AVERAGE(Instances!E45:Instances!E45),"median", MEDIAN(Instances!E45:Instances!E45),"min", MIN(Instances!E45:Instances!E45),"max", MAX(Instances!E45:Instances!E45),"diff", MAX(Instances!E45:Instances!E45)-MIN(Instances!E45:Instances!E45))</f>
        <v>0</v>
      </c>
      <c r="F45" s="1" cm="1">
        <f t="array" ref="F45">_xlfn.SWITCH($A$2,"average", AVERAGE(Instances!F45:Instances!F45),"median", MEDIAN(Instances!F45:Instances!F45),"min", MIN(Instances!F45:Instances!F45),"max", MAX(Instances!F45:Instances!F45),"diff", MAX(Instances!F45:Instances!F45)-MIN(Instances!F45:Instances!F45))</f>
        <v>0</v>
      </c>
      <c r="G45" s="1" cm="1">
        <f t="array" ref="G45">_xlfn.SWITCH($A$2,"average", AVERAGE(Instances!G45:Instances!G45),"median", MEDIAN(Instances!G45:Instances!G45),"min", MIN(Instances!G45:Instances!G45),"max", MAX(Instances!G45:Instances!G45),"diff", MAX(Instances!G45:Instances!G45)-MIN(Instances!G45:Instances!G45))</f>
        <v>0</v>
      </c>
      <c r="H45" s="1" cm="1">
        <f t="array" ref="H45">_xlfn.SWITCH($A$2,"average", AVERAGE(Instances!H45:Instances!H45),"median", MEDIAN(Instances!H45:Instances!H45),"min", MIN(Instances!H45:Instances!H45),"max", MAX(Instances!H45:Instances!H45),"diff", MAX(Instances!H45:Instances!H45)-MIN(Instances!H45:Instances!H45))</f>
        <v>0</v>
      </c>
      <c r="I45" s="1" cm="1">
        <f t="array" ref="I45">_xlfn.SWITCH($A$2,"average", AVERAGE(Instances!I45:Instances!I45),"median", MEDIAN(Instances!I45:Instances!I45),"min", MIN(Instances!I45:Instances!I45),"max", MAX(Instances!I45:Instances!I45),"diff", MAX(Instances!I45:Instances!I45)-MIN(Instances!I45:Instances!I45))</f>
        <v>0</v>
      </c>
      <c r="J45" s="1">
        <f>MIN($B45,$D45,$F45,$H45)</f>
        <v>0</v>
      </c>
      <c r="K45" s="1">
        <f>MIN($C45,$E45,$G45,$I45)</f>
        <v>0</v>
      </c>
      <c r="L45" s="1">
        <f>MEDIAN($B45,$D45,$F45,$H45)</f>
        <v>0</v>
      </c>
      <c r="M45" s="1">
        <f>MEDIAN($C45,$E45,$G45,$I45)</f>
        <v>0</v>
      </c>
      <c r="N45" s="1">
        <f>MAX($B45,$D45,$F45,$H45)</f>
        <v>0</v>
      </c>
      <c r="O45" s="1">
        <f>MAX($C45,$E45,$G45,$I45)</f>
        <v>0</v>
      </c>
    </row>
    <row r="46" spans="1:15">
      <c r="A46" s="1" t="s">
        <v>43</v>
      </c>
      <c r="B46" s="1" cm="1">
        <f t="array" ref="B46">_xlfn.SWITCH($A$2,"average", AVERAGE(Instances!B46:Instances!B46),"median", MEDIAN(Instances!B46:Instances!B46),"min", MIN(Instances!B46:Instances!B46),"max", MAX(Instances!B46:Instances!B46),"diff", MAX(Instances!B46:Instances!B46)-MIN(Instances!B46:Instances!B46))</f>
        <v>0</v>
      </c>
      <c r="C46" s="1" cm="1">
        <f t="array" ref="C46">_xlfn.SWITCH($A$2,"average", AVERAGE(Instances!C46:Instances!C46),"median", MEDIAN(Instances!C46:Instances!C46),"min", MIN(Instances!C46:Instances!C46),"max", MAX(Instances!C46:Instances!C46),"diff", MAX(Instances!C46:Instances!C46)-MIN(Instances!C46:Instances!C46))</f>
        <v>0</v>
      </c>
      <c r="D46" s="1" cm="1">
        <f t="array" ref="D46">_xlfn.SWITCH($A$2,"average", AVERAGE(Instances!D46:Instances!D46),"median", MEDIAN(Instances!D46:Instances!D46),"min", MIN(Instances!D46:Instances!D46),"max", MAX(Instances!D46:Instances!D46),"diff", MAX(Instances!D46:Instances!D46)-MIN(Instances!D46:Instances!D46))</f>
        <v>0</v>
      </c>
      <c r="E46" s="1" cm="1">
        <f t="array" ref="E46">_xlfn.SWITCH($A$2,"average", AVERAGE(Instances!E46:Instances!E46),"median", MEDIAN(Instances!E46:Instances!E46),"min", MIN(Instances!E46:Instances!E46),"max", MAX(Instances!E46:Instances!E46),"diff", MAX(Instances!E46:Instances!E46)-MIN(Instances!E46:Instances!E46))</f>
        <v>0</v>
      </c>
      <c r="F46" s="1" cm="1">
        <f t="array" ref="F46">_xlfn.SWITCH($A$2,"average", AVERAGE(Instances!F46:Instances!F46),"median", MEDIAN(Instances!F46:Instances!F46),"min", MIN(Instances!F46:Instances!F46),"max", MAX(Instances!F46:Instances!F46),"diff", MAX(Instances!F46:Instances!F46)-MIN(Instances!F46:Instances!F46))</f>
        <v>0</v>
      </c>
      <c r="G46" s="1" cm="1">
        <f t="array" ref="G46">_xlfn.SWITCH($A$2,"average", AVERAGE(Instances!G46:Instances!G46),"median", MEDIAN(Instances!G46:Instances!G46),"min", MIN(Instances!G46:Instances!G46),"max", MAX(Instances!G46:Instances!G46),"diff", MAX(Instances!G46:Instances!G46)-MIN(Instances!G46:Instances!G46))</f>
        <v>0</v>
      </c>
      <c r="H46" s="1" cm="1">
        <f t="array" ref="H46">_xlfn.SWITCH($A$2,"average", AVERAGE(Instances!H46:Instances!H46),"median", MEDIAN(Instances!H46:Instances!H46),"min", MIN(Instances!H46:Instances!H46),"max", MAX(Instances!H46:Instances!H46),"diff", MAX(Instances!H46:Instances!H46)-MIN(Instances!H46:Instances!H46))</f>
        <v>0</v>
      </c>
      <c r="I46" s="1" cm="1">
        <f t="array" ref="I46">_xlfn.SWITCH($A$2,"average", AVERAGE(Instances!I46:Instances!I46),"median", MEDIAN(Instances!I46:Instances!I46),"min", MIN(Instances!I46:Instances!I46),"max", MAX(Instances!I46:Instances!I46),"diff", MAX(Instances!I46:Instances!I46)-MIN(Instances!I46:Instances!I46))</f>
        <v>0</v>
      </c>
      <c r="J46" s="1">
        <f>MIN($B46,$D46,$F46,$H46)</f>
        <v>0</v>
      </c>
      <c r="K46" s="1">
        <f>MIN($C46,$E46,$G46,$I46)</f>
        <v>0</v>
      </c>
      <c r="L46" s="1">
        <f>MEDIAN($B46,$D46,$F46,$H46)</f>
        <v>0</v>
      </c>
      <c r="M46" s="1">
        <f>MEDIAN($C46,$E46,$G46,$I46)</f>
        <v>0</v>
      </c>
      <c r="N46" s="1">
        <f>MAX($B46,$D46,$F46,$H46)</f>
        <v>0</v>
      </c>
      <c r="O46" s="1">
        <f>MAX($C46,$E46,$G46,$I46)</f>
        <v>0</v>
      </c>
    </row>
    <row r="47" spans="1:15">
      <c r="A47" s="1" t="s">
        <v>44</v>
      </c>
      <c r="B47" s="1" cm="1">
        <f t="array" ref="B47">_xlfn.SWITCH($A$2,"average", AVERAGE(Instances!B47:Instances!B47),"median", MEDIAN(Instances!B47:Instances!B47),"min", MIN(Instances!B47:Instances!B47),"max", MAX(Instances!B47:Instances!B47),"diff", MAX(Instances!B47:Instances!B47)-MIN(Instances!B47:Instances!B47))</f>
        <v>0</v>
      </c>
      <c r="C47" s="1" cm="1">
        <f t="array" ref="C47">_xlfn.SWITCH($A$2,"average", AVERAGE(Instances!C47:Instances!C47),"median", MEDIAN(Instances!C47:Instances!C47),"min", MIN(Instances!C47:Instances!C47),"max", MAX(Instances!C47:Instances!C47),"diff", MAX(Instances!C47:Instances!C47)-MIN(Instances!C47:Instances!C47))</f>
        <v>0</v>
      </c>
      <c r="D47" s="1" cm="1">
        <f t="array" ref="D47">_xlfn.SWITCH($A$2,"average", AVERAGE(Instances!D47:Instances!D47),"median", MEDIAN(Instances!D47:Instances!D47),"min", MIN(Instances!D47:Instances!D47),"max", MAX(Instances!D47:Instances!D47),"diff", MAX(Instances!D47:Instances!D47)-MIN(Instances!D47:Instances!D47))</f>
        <v>0</v>
      </c>
      <c r="E47" s="1" cm="1">
        <f t="array" ref="E47">_xlfn.SWITCH($A$2,"average", AVERAGE(Instances!E47:Instances!E47),"median", MEDIAN(Instances!E47:Instances!E47),"min", MIN(Instances!E47:Instances!E47),"max", MAX(Instances!E47:Instances!E47),"diff", MAX(Instances!E47:Instances!E47)-MIN(Instances!E47:Instances!E47))</f>
        <v>0</v>
      </c>
      <c r="F47" s="1" cm="1">
        <f t="array" ref="F47">_xlfn.SWITCH($A$2,"average", AVERAGE(Instances!F47:Instances!F47),"median", MEDIAN(Instances!F47:Instances!F47),"min", MIN(Instances!F47:Instances!F47),"max", MAX(Instances!F47:Instances!F47),"diff", MAX(Instances!F47:Instances!F47)-MIN(Instances!F47:Instances!F47))</f>
        <v>0</v>
      </c>
      <c r="G47" s="1" cm="1">
        <f t="array" ref="G47">_xlfn.SWITCH($A$2,"average", AVERAGE(Instances!G47:Instances!G47),"median", MEDIAN(Instances!G47:Instances!G47),"min", MIN(Instances!G47:Instances!G47),"max", MAX(Instances!G47:Instances!G47),"diff", MAX(Instances!G47:Instances!G47)-MIN(Instances!G47:Instances!G47))</f>
        <v>0</v>
      </c>
      <c r="H47" s="1" cm="1">
        <f t="array" ref="H47">_xlfn.SWITCH($A$2,"average", AVERAGE(Instances!H47:Instances!H47),"median", MEDIAN(Instances!H47:Instances!H47),"min", MIN(Instances!H47:Instances!H47),"max", MAX(Instances!H47:Instances!H47),"diff", MAX(Instances!H47:Instances!H47)-MIN(Instances!H47:Instances!H47))</f>
        <v>0</v>
      </c>
      <c r="I47" s="1" cm="1">
        <f t="array" ref="I47">_xlfn.SWITCH($A$2,"average", AVERAGE(Instances!I47:Instances!I47),"median", MEDIAN(Instances!I47:Instances!I47),"min", MIN(Instances!I47:Instances!I47),"max", MAX(Instances!I47:Instances!I47),"diff", MAX(Instances!I47:Instances!I47)-MIN(Instances!I47:Instances!I47))</f>
        <v>0</v>
      </c>
      <c r="J47" s="1">
        <f>MIN($B47,$D47,$F47,$H47)</f>
        <v>0</v>
      </c>
      <c r="K47" s="1">
        <f>MIN($C47,$E47,$G47,$I47)</f>
        <v>0</v>
      </c>
      <c r="L47" s="1">
        <f>MEDIAN($B47,$D47,$F47,$H47)</f>
        <v>0</v>
      </c>
      <c r="M47" s="1">
        <f>MEDIAN($C47,$E47,$G47,$I47)</f>
        <v>0</v>
      </c>
      <c r="N47" s="1">
        <f>MAX($B47,$D47,$F47,$H47)</f>
        <v>0</v>
      </c>
      <c r="O47" s="1">
        <f>MAX($C47,$E47,$G47,$I47)</f>
        <v>0</v>
      </c>
    </row>
    <row r="48" spans="1:15">
      <c r="A48" s="1" t="s">
        <v>45</v>
      </c>
      <c r="B48" s="1" cm="1">
        <f t="array" ref="B48">_xlfn.SWITCH($A$2,"average", AVERAGE(Instances!B48:Instances!B48),"median", MEDIAN(Instances!B48:Instances!B48),"min", MIN(Instances!B48:Instances!B48),"max", MAX(Instances!B48:Instances!B48),"diff", MAX(Instances!B48:Instances!B48)-MIN(Instances!B48:Instances!B48))</f>
        <v>0</v>
      </c>
      <c r="C48" s="1" cm="1">
        <f t="array" ref="C48">_xlfn.SWITCH($A$2,"average", AVERAGE(Instances!C48:Instances!C48),"median", MEDIAN(Instances!C48:Instances!C48),"min", MIN(Instances!C48:Instances!C48),"max", MAX(Instances!C48:Instances!C48),"diff", MAX(Instances!C48:Instances!C48)-MIN(Instances!C48:Instances!C48))</f>
        <v>0</v>
      </c>
      <c r="D48" s="1" cm="1">
        <f t="array" ref="D48">_xlfn.SWITCH($A$2,"average", AVERAGE(Instances!D48:Instances!D48),"median", MEDIAN(Instances!D48:Instances!D48),"min", MIN(Instances!D48:Instances!D48),"max", MAX(Instances!D48:Instances!D48),"diff", MAX(Instances!D48:Instances!D48)-MIN(Instances!D48:Instances!D48))</f>
        <v>0</v>
      </c>
      <c r="E48" s="1" cm="1">
        <f t="array" ref="E48">_xlfn.SWITCH($A$2,"average", AVERAGE(Instances!E48:Instances!E48),"median", MEDIAN(Instances!E48:Instances!E48),"min", MIN(Instances!E48:Instances!E48),"max", MAX(Instances!E48:Instances!E48),"diff", MAX(Instances!E48:Instances!E48)-MIN(Instances!E48:Instances!E48))</f>
        <v>0</v>
      </c>
      <c r="F48" s="1" cm="1">
        <f t="array" ref="F48">_xlfn.SWITCH($A$2,"average", AVERAGE(Instances!F48:Instances!F48),"median", MEDIAN(Instances!F48:Instances!F48),"min", MIN(Instances!F48:Instances!F48),"max", MAX(Instances!F48:Instances!F48),"diff", MAX(Instances!F48:Instances!F48)-MIN(Instances!F48:Instances!F48))</f>
        <v>0</v>
      </c>
      <c r="G48" s="1" cm="1">
        <f t="array" ref="G48">_xlfn.SWITCH($A$2,"average", AVERAGE(Instances!G48:Instances!G48),"median", MEDIAN(Instances!G48:Instances!G48),"min", MIN(Instances!G48:Instances!G48),"max", MAX(Instances!G48:Instances!G48),"diff", MAX(Instances!G48:Instances!G48)-MIN(Instances!G48:Instances!G48))</f>
        <v>0</v>
      </c>
      <c r="H48" s="1" cm="1">
        <f t="array" ref="H48">_xlfn.SWITCH($A$2,"average", AVERAGE(Instances!H48:Instances!H48),"median", MEDIAN(Instances!H48:Instances!H48),"min", MIN(Instances!H48:Instances!H48),"max", MAX(Instances!H48:Instances!H48),"diff", MAX(Instances!H48:Instances!H48)-MIN(Instances!H48:Instances!H48))</f>
        <v>0</v>
      </c>
      <c r="I48" s="1" cm="1">
        <f t="array" ref="I48">_xlfn.SWITCH($A$2,"average", AVERAGE(Instances!I48:Instances!I48),"median", MEDIAN(Instances!I48:Instances!I48),"min", MIN(Instances!I48:Instances!I48),"max", MAX(Instances!I48:Instances!I48),"diff", MAX(Instances!I48:Instances!I48)-MIN(Instances!I48:Instances!I48))</f>
        <v>0</v>
      </c>
      <c r="J48" s="1">
        <f>MIN($B48,$D48,$F48,$H48)</f>
        <v>0</v>
      </c>
      <c r="K48" s="1">
        <f>MIN($C48,$E48,$G48,$I48)</f>
        <v>0</v>
      </c>
      <c r="L48" s="1">
        <f>MEDIAN($B48,$D48,$F48,$H48)</f>
        <v>0</v>
      </c>
      <c r="M48" s="1">
        <f>MEDIAN($C48,$E48,$G48,$I48)</f>
        <v>0</v>
      </c>
      <c r="N48" s="1">
        <f>MAX($B48,$D48,$F48,$H48)</f>
        <v>0</v>
      </c>
      <c r="O48" s="1">
        <f>MAX($C48,$E48,$G48,$I48)</f>
        <v>0</v>
      </c>
    </row>
    <row r="49" spans="1:15">
      <c r="A49" s="1" t="s">
        <v>46</v>
      </c>
      <c r="B49" s="1" cm="1">
        <f t="array" ref="B49">_xlfn.SWITCH($A$2,"average", AVERAGE(Instances!B49:Instances!B49),"median", MEDIAN(Instances!B49:Instances!B49),"min", MIN(Instances!B49:Instances!B49),"max", MAX(Instances!B49:Instances!B49),"diff", MAX(Instances!B49:Instances!B49)-MIN(Instances!B49:Instances!B49))</f>
        <v>0</v>
      </c>
      <c r="C49" s="1" cm="1">
        <f t="array" ref="C49">_xlfn.SWITCH($A$2,"average", AVERAGE(Instances!C49:Instances!C49),"median", MEDIAN(Instances!C49:Instances!C49),"min", MIN(Instances!C49:Instances!C49),"max", MAX(Instances!C49:Instances!C49),"diff", MAX(Instances!C49:Instances!C49)-MIN(Instances!C49:Instances!C49))</f>
        <v>0</v>
      </c>
      <c r="D49" s="1" cm="1">
        <f t="array" ref="D49">_xlfn.SWITCH($A$2,"average", AVERAGE(Instances!D49:Instances!D49),"median", MEDIAN(Instances!D49:Instances!D49),"min", MIN(Instances!D49:Instances!D49),"max", MAX(Instances!D49:Instances!D49),"diff", MAX(Instances!D49:Instances!D49)-MIN(Instances!D49:Instances!D49))</f>
        <v>0</v>
      </c>
      <c r="E49" s="1" cm="1">
        <f t="array" ref="E49">_xlfn.SWITCH($A$2,"average", AVERAGE(Instances!E49:Instances!E49),"median", MEDIAN(Instances!E49:Instances!E49),"min", MIN(Instances!E49:Instances!E49),"max", MAX(Instances!E49:Instances!E49),"diff", MAX(Instances!E49:Instances!E49)-MIN(Instances!E49:Instances!E49))</f>
        <v>0</v>
      </c>
      <c r="F49" s="1" cm="1">
        <f t="array" ref="F49">_xlfn.SWITCH($A$2,"average", AVERAGE(Instances!F49:Instances!F49),"median", MEDIAN(Instances!F49:Instances!F49),"min", MIN(Instances!F49:Instances!F49),"max", MAX(Instances!F49:Instances!F49),"diff", MAX(Instances!F49:Instances!F49)-MIN(Instances!F49:Instances!F49))</f>
        <v>0</v>
      </c>
      <c r="G49" s="1" cm="1">
        <f t="array" ref="G49">_xlfn.SWITCH($A$2,"average", AVERAGE(Instances!G49:Instances!G49),"median", MEDIAN(Instances!G49:Instances!G49),"min", MIN(Instances!G49:Instances!G49),"max", MAX(Instances!G49:Instances!G49),"diff", MAX(Instances!G49:Instances!G49)-MIN(Instances!G49:Instances!G49))</f>
        <v>0</v>
      </c>
      <c r="H49" s="1" cm="1">
        <f t="array" ref="H49">_xlfn.SWITCH($A$2,"average", AVERAGE(Instances!H49:Instances!H49),"median", MEDIAN(Instances!H49:Instances!H49),"min", MIN(Instances!H49:Instances!H49),"max", MAX(Instances!H49:Instances!H49),"diff", MAX(Instances!H49:Instances!H49)-MIN(Instances!H49:Instances!H49))</f>
        <v>0</v>
      </c>
      <c r="I49" s="1" cm="1">
        <f t="array" ref="I49">_xlfn.SWITCH($A$2,"average", AVERAGE(Instances!I49:Instances!I49),"median", MEDIAN(Instances!I49:Instances!I49),"min", MIN(Instances!I49:Instances!I49),"max", MAX(Instances!I49:Instances!I49),"diff", MAX(Instances!I49:Instances!I49)-MIN(Instances!I49:Instances!I49))</f>
        <v>0</v>
      </c>
      <c r="J49" s="1">
        <f>MIN($B49,$D49,$F49,$H49)</f>
        <v>0</v>
      </c>
      <c r="K49" s="1">
        <f>MIN($C49,$E49,$G49,$I49)</f>
        <v>0</v>
      </c>
      <c r="L49" s="1">
        <f>MEDIAN($B49,$D49,$F49,$H49)</f>
        <v>0</v>
      </c>
      <c r="M49" s="1">
        <f>MEDIAN($C49,$E49,$G49,$I49)</f>
        <v>0</v>
      </c>
      <c r="N49" s="1">
        <f>MAX($B49,$D49,$F49,$H49)</f>
        <v>0</v>
      </c>
      <c r="O49" s="1">
        <f>MAX($C49,$E49,$G49,$I49)</f>
        <v>0</v>
      </c>
    </row>
    <row r="50" spans="1:15">
      <c r="A50" s="1" t="s">
        <v>47</v>
      </c>
      <c r="B50" s="1" cm="1">
        <f t="array" ref="B50">_xlfn.SWITCH($A$2,"average", AVERAGE(Instances!B50:Instances!B50),"median", MEDIAN(Instances!B50:Instances!B50),"min", MIN(Instances!B50:Instances!B50),"max", MAX(Instances!B50:Instances!B50),"diff", MAX(Instances!B50:Instances!B50)-MIN(Instances!B50:Instances!B50))</f>
        <v>0</v>
      </c>
      <c r="C50" s="1" cm="1">
        <f t="array" ref="C50">_xlfn.SWITCH($A$2,"average", AVERAGE(Instances!C50:Instances!C50),"median", MEDIAN(Instances!C50:Instances!C50),"min", MIN(Instances!C50:Instances!C50),"max", MAX(Instances!C50:Instances!C50),"diff", MAX(Instances!C50:Instances!C50)-MIN(Instances!C50:Instances!C50))</f>
        <v>0</v>
      </c>
      <c r="D50" s="1" cm="1">
        <f t="array" ref="D50">_xlfn.SWITCH($A$2,"average", AVERAGE(Instances!D50:Instances!D50),"median", MEDIAN(Instances!D50:Instances!D50),"min", MIN(Instances!D50:Instances!D50),"max", MAX(Instances!D50:Instances!D50),"diff", MAX(Instances!D50:Instances!D50)-MIN(Instances!D50:Instances!D50))</f>
        <v>0</v>
      </c>
      <c r="E50" s="1" cm="1">
        <f t="array" ref="E50">_xlfn.SWITCH($A$2,"average", AVERAGE(Instances!E50:Instances!E50),"median", MEDIAN(Instances!E50:Instances!E50),"min", MIN(Instances!E50:Instances!E50),"max", MAX(Instances!E50:Instances!E50),"diff", MAX(Instances!E50:Instances!E50)-MIN(Instances!E50:Instances!E50))</f>
        <v>0</v>
      </c>
      <c r="F50" s="1" cm="1">
        <f t="array" ref="F50">_xlfn.SWITCH($A$2,"average", AVERAGE(Instances!F50:Instances!F50),"median", MEDIAN(Instances!F50:Instances!F50),"min", MIN(Instances!F50:Instances!F50),"max", MAX(Instances!F50:Instances!F50),"diff", MAX(Instances!F50:Instances!F50)-MIN(Instances!F50:Instances!F50))</f>
        <v>0</v>
      </c>
      <c r="G50" s="1" cm="1">
        <f t="array" ref="G50">_xlfn.SWITCH($A$2,"average", AVERAGE(Instances!G50:Instances!G50),"median", MEDIAN(Instances!G50:Instances!G50),"min", MIN(Instances!G50:Instances!G50),"max", MAX(Instances!G50:Instances!G50),"diff", MAX(Instances!G50:Instances!G50)-MIN(Instances!G50:Instances!G50))</f>
        <v>0</v>
      </c>
      <c r="H50" s="1" cm="1">
        <f t="array" ref="H50">_xlfn.SWITCH($A$2,"average", AVERAGE(Instances!H50:Instances!H50),"median", MEDIAN(Instances!H50:Instances!H50),"min", MIN(Instances!H50:Instances!H50),"max", MAX(Instances!H50:Instances!H50),"diff", MAX(Instances!H50:Instances!H50)-MIN(Instances!H50:Instances!H50))</f>
        <v>0</v>
      </c>
      <c r="I50" s="1" cm="1">
        <f t="array" ref="I50">_xlfn.SWITCH($A$2,"average", AVERAGE(Instances!I50:Instances!I50),"median", MEDIAN(Instances!I50:Instances!I50),"min", MIN(Instances!I50:Instances!I50),"max", MAX(Instances!I50:Instances!I50),"diff", MAX(Instances!I50:Instances!I50)-MIN(Instances!I50:Instances!I50))</f>
        <v>0</v>
      </c>
      <c r="J50" s="1">
        <f>MIN($B50,$D50,$F50,$H50)</f>
        <v>0</v>
      </c>
      <c r="K50" s="1">
        <f>MIN($C50,$E50,$G50,$I50)</f>
        <v>0</v>
      </c>
      <c r="L50" s="1">
        <f>MEDIAN($B50,$D50,$F50,$H50)</f>
        <v>0</v>
      </c>
      <c r="M50" s="1">
        <f>MEDIAN($C50,$E50,$G50,$I50)</f>
        <v>0</v>
      </c>
      <c r="N50" s="1">
        <f>MAX($B50,$D50,$F50,$H50)</f>
        <v>0</v>
      </c>
      <c r="O50" s="1">
        <f>MAX($C50,$E50,$G50,$I50)</f>
        <v>0</v>
      </c>
    </row>
    <row r="51" spans="1:15">
      <c r="A51" s="1" t="s">
        <v>48</v>
      </c>
      <c r="B51" s="1" cm="1">
        <f t="array" ref="B51">_xlfn.SWITCH($A$2,"average", AVERAGE(Instances!B51:Instances!B51),"median", MEDIAN(Instances!B51:Instances!B51),"min", MIN(Instances!B51:Instances!B51),"max", MAX(Instances!B51:Instances!B51),"diff", MAX(Instances!B51:Instances!B51)-MIN(Instances!B51:Instances!B51))</f>
        <v>0</v>
      </c>
      <c r="C51" s="1" cm="1">
        <f t="array" ref="C51">_xlfn.SWITCH($A$2,"average", AVERAGE(Instances!C51:Instances!C51),"median", MEDIAN(Instances!C51:Instances!C51),"min", MIN(Instances!C51:Instances!C51),"max", MAX(Instances!C51:Instances!C51),"diff", MAX(Instances!C51:Instances!C51)-MIN(Instances!C51:Instances!C51))</f>
        <v>0</v>
      </c>
      <c r="D51" s="1" cm="1">
        <f t="array" ref="D51">_xlfn.SWITCH($A$2,"average", AVERAGE(Instances!D51:Instances!D51),"median", MEDIAN(Instances!D51:Instances!D51),"min", MIN(Instances!D51:Instances!D51),"max", MAX(Instances!D51:Instances!D51),"diff", MAX(Instances!D51:Instances!D51)-MIN(Instances!D51:Instances!D51))</f>
        <v>0</v>
      </c>
      <c r="E51" s="1" cm="1">
        <f t="array" ref="E51">_xlfn.SWITCH($A$2,"average", AVERAGE(Instances!E51:Instances!E51),"median", MEDIAN(Instances!E51:Instances!E51),"min", MIN(Instances!E51:Instances!E51),"max", MAX(Instances!E51:Instances!E51),"diff", MAX(Instances!E51:Instances!E51)-MIN(Instances!E51:Instances!E51))</f>
        <v>0</v>
      </c>
      <c r="F51" s="1" cm="1">
        <f t="array" ref="F51">_xlfn.SWITCH($A$2,"average", AVERAGE(Instances!F51:Instances!F51),"median", MEDIAN(Instances!F51:Instances!F51),"min", MIN(Instances!F51:Instances!F51),"max", MAX(Instances!F51:Instances!F51),"diff", MAX(Instances!F51:Instances!F51)-MIN(Instances!F51:Instances!F51))</f>
        <v>0</v>
      </c>
      <c r="G51" s="1" cm="1">
        <f t="array" ref="G51">_xlfn.SWITCH($A$2,"average", AVERAGE(Instances!G51:Instances!G51),"median", MEDIAN(Instances!G51:Instances!G51),"min", MIN(Instances!G51:Instances!G51),"max", MAX(Instances!G51:Instances!G51),"diff", MAX(Instances!G51:Instances!G51)-MIN(Instances!G51:Instances!G51))</f>
        <v>0</v>
      </c>
      <c r="H51" s="1" cm="1">
        <f t="array" ref="H51">_xlfn.SWITCH($A$2,"average", AVERAGE(Instances!H51:Instances!H51),"median", MEDIAN(Instances!H51:Instances!H51),"min", MIN(Instances!H51:Instances!H51),"max", MAX(Instances!H51:Instances!H51),"diff", MAX(Instances!H51:Instances!H51)-MIN(Instances!H51:Instances!H51))</f>
        <v>0</v>
      </c>
      <c r="I51" s="1" cm="1">
        <f t="array" ref="I51">_xlfn.SWITCH($A$2,"average", AVERAGE(Instances!I51:Instances!I51),"median", MEDIAN(Instances!I51:Instances!I51),"min", MIN(Instances!I51:Instances!I51),"max", MAX(Instances!I51:Instances!I51),"diff", MAX(Instances!I51:Instances!I51)-MIN(Instances!I51:Instances!I51))</f>
        <v>0</v>
      </c>
      <c r="J51" s="1">
        <f>MIN($B51,$D51,$F51,$H51)</f>
        <v>0</v>
      </c>
      <c r="K51" s="1">
        <f>MIN($C51,$E51,$G51,$I51)</f>
        <v>0</v>
      </c>
      <c r="L51" s="1">
        <f>MEDIAN($B51,$D51,$F51,$H51)</f>
        <v>0</v>
      </c>
      <c r="M51" s="1">
        <f>MEDIAN($C51,$E51,$G51,$I51)</f>
        <v>0</v>
      </c>
      <c r="N51" s="1">
        <f>MAX($B51,$D51,$F51,$H51)</f>
        <v>0</v>
      </c>
      <c r="O51" s="1">
        <f>MAX($C51,$E51,$G51,$I51)</f>
        <v>0</v>
      </c>
    </row>
    <row r="52" spans="1:15">
      <c r="A52" s="1" t="s">
        <v>49</v>
      </c>
      <c r="B52" s="1" cm="1">
        <f t="array" ref="B52">_xlfn.SWITCH($A$2,"average", AVERAGE(Instances!B52:Instances!B52),"median", MEDIAN(Instances!B52:Instances!B52),"min", MIN(Instances!B52:Instances!B52),"max", MAX(Instances!B52:Instances!B52),"diff", MAX(Instances!B52:Instances!B52)-MIN(Instances!B52:Instances!B52))</f>
        <v>0</v>
      </c>
      <c r="C52" s="1" cm="1">
        <f t="array" ref="C52">_xlfn.SWITCH($A$2,"average", AVERAGE(Instances!C52:Instances!C52),"median", MEDIAN(Instances!C52:Instances!C52),"min", MIN(Instances!C52:Instances!C52),"max", MAX(Instances!C52:Instances!C52),"diff", MAX(Instances!C52:Instances!C52)-MIN(Instances!C52:Instances!C52))</f>
        <v>0</v>
      </c>
      <c r="D52" s="1" cm="1">
        <f t="array" ref="D52">_xlfn.SWITCH($A$2,"average", AVERAGE(Instances!D52:Instances!D52),"median", MEDIAN(Instances!D52:Instances!D52),"min", MIN(Instances!D52:Instances!D52),"max", MAX(Instances!D52:Instances!D52),"diff", MAX(Instances!D52:Instances!D52)-MIN(Instances!D52:Instances!D52))</f>
        <v>0</v>
      </c>
      <c r="E52" s="1" cm="1">
        <f t="array" ref="E52">_xlfn.SWITCH($A$2,"average", AVERAGE(Instances!E52:Instances!E52),"median", MEDIAN(Instances!E52:Instances!E52),"min", MIN(Instances!E52:Instances!E52),"max", MAX(Instances!E52:Instances!E52),"diff", MAX(Instances!E52:Instances!E52)-MIN(Instances!E52:Instances!E52))</f>
        <v>0</v>
      </c>
      <c r="F52" s="1" cm="1">
        <f t="array" ref="F52">_xlfn.SWITCH($A$2,"average", AVERAGE(Instances!F52:Instances!F52),"median", MEDIAN(Instances!F52:Instances!F52),"min", MIN(Instances!F52:Instances!F52),"max", MAX(Instances!F52:Instances!F52),"diff", MAX(Instances!F52:Instances!F52)-MIN(Instances!F52:Instances!F52))</f>
        <v>0</v>
      </c>
      <c r="G52" s="1" cm="1">
        <f t="array" ref="G52">_xlfn.SWITCH($A$2,"average", AVERAGE(Instances!G52:Instances!G52),"median", MEDIAN(Instances!G52:Instances!G52),"min", MIN(Instances!G52:Instances!G52),"max", MAX(Instances!G52:Instances!G52),"diff", MAX(Instances!G52:Instances!G52)-MIN(Instances!G52:Instances!G52))</f>
        <v>0</v>
      </c>
      <c r="H52" s="1" cm="1">
        <f t="array" ref="H52">_xlfn.SWITCH($A$2,"average", AVERAGE(Instances!H52:Instances!H52),"median", MEDIAN(Instances!H52:Instances!H52),"min", MIN(Instances!H52:Instances!H52),"max", MAX(Instances!H52:Instances!H52),"diff", MAX(Instances!H52:Instances!H52)-MIN(Instances!H52:Instances!H52))</f>
        <v>0</v>
      </c>
      <c r="I52" s="1" cm="1">
        <f t="array" ref="I52">_xlfn.SWITCH($A$2,"average", AVERAGE(Instances!I52:Instances!I52),"median", MEDIAN(Instances!I52:Instances!I52),"min", MIN(Instances!I52:Instances!I52),"max", MAX(Instances!I52:Instances!I52),"diff", MAX(Instances!I52:Instances!I52)-MIN(Instances!I52:Instances!I52))</f>
        <v>0</v>
      </c>
      <c r="J52" s="1">
        <f>MIN($B52,$D52,$F52,$H52)</f>
        <v>0</v>
      </c>
      <c r="K52" s="1">
        <f>MIN($C52,$E52,$G52,$I52)</f>
        <v>0</v>
      </c>
      <c r="L52" s="1">
        <f>MEDIAN($B52,$D52,$F52,$H52)</f>
        <v>0</v>
      </c>
      <c r="M52" s="1">
        <f>MEDIAN($C52,$E52,$G52,$I52)</f>
        <v>0</v>
      </c>
      <c r="N52" s="1">
        <f>MAX($B52,$D52,$F52,$H52)</f>
        <v>0</v>
      </c>
      <c r="O52" s="1">
        <f>MAX($C52,$E52,$G52,$I52)</f>
        <v>0</v>
      </c>
    </row>
    <row r="53" spans="1:15">
      <c r="A53" s="1" t="s">
        <v>50</v>
      </c>
      <c r="B53" s="1" cm="1">
        <f t="array" ref="B53">_xlfn.SWITCH($A$2,"average", AVERAGE(Instances!B53:Instances!B53),"median", MEDIAN(Instances!B53:Instances!B53),"min", MIN(Instances!B53:Instances!B53),"max", MAX(Instances!B53:Instances!B53),"diff", MAX(Instances!B53:Instances!B53)-MIN(Instances!B53:Instances!B53))</f>
        <v>0</v>
      </c>
      <c r="C53" s="1" cm="1">
        <f t="array" ref="C53">_xlfn.SWITCH($A$2,"average", AVERAGE(Instances!C53:Instances!C53),"median", MEDIAN(Instances!C53:Instances!C53),"min", MIN(Instances!C53:Instances!C53),"max", MAX(Instances!C53:Instances!C53),"diff", MAX(Instances!C53:Instances!C53)-MIN(Instances!C53:Instances!C53))</f>
        <v>0</v>
      </c>
      <c r="D53" s="1" cm="1">
        <f t="array" ref="D53">_xlfn.SWITCH($A$2,"average", AVERAGE(Instances!D53:Instances!D53),"median", MEDIAN(Instances!D53:Instances!D53),"min", MIN(Instances!D53:Instances!D53),"max", MAX(Instances!D53:Instances!D53),"diff", MAX(Instances!D53:Instances!D53)-MIN(Instances!D53:Instances!D53))</f>
        <v>0</v>
      </c>
      <c r="E53" s="1" cm="1">
        <f t="array" ref="E53">_xlfn.SWITCH($A$2,"average", AVERAGE(Instances!E53:Instances!E53),"median", MEDIAN(Instances!E53:Instances!E53),"min", MIN(Instances!E53:Instances!E53),"max", MAX(Instances!E53:Instances!E53),"diff", MAX(Instances!E53:Instances!E53)-MIN(Instances!E53:Instances!E53))</f>
        <v>0</v>
      </c>
      <c r="F53" s="1" cm="1">
        <f t="array" ref="F53">_xlfn.SWITCH($A$2,"average", AVERAGE(Instances!F53:Instances!F53),"median", MEDIAN(Instances!F53:Instances!F53),"min", MIN(Instances!F53:Instances!F53),"max", MAX(Instances!F53:Instances!F53),"diff", MAX(Instances!F53:Instances!F53)-MIN(Instances!F53:Instances!F53))</f>
        <v>0</v>
      </c>
      <c r="G53" s="1" cm="1">
        <f t="array" ref="G53">_xlfn.SWITCH($A$2,"average", AVERAGE(Instances!G53:Instances!G53),"median", MEDIAN(Instances!G53:Instances!G53),"min", MIN(Instances!G53:Instances!G53),"max", MAX(Instances!G53:Instances!G53),"diff", MAX(Instances!G53:Instances!G53)-MIN(Instances!G53:Instances!G53))</f>
        <v>0</v>
      </c>
      <c r="H53" s="1" cm="1">
        <f t="array" ref="H53">_xlfn.SWITCH($A$2,"average", AVERAGE(Instances!H53:Instances!H53),"median", MEDIAN(Instances!H53:Instances!H53),"min", MIN(Instances!H53:Instances!H53),"max", MAX(Instances!H53:Instances!H53),"diff", MAX(Instances!H53:Instances!H53)-MIN(Instances!H53:Instances!H53))</f>
        <v>0</v>
      </c>
      <c r="I53" s="1" cm="1">
        <f t="array" ref="I53">_xlfn.SWITCH($A$2,"average", AVERAGE(Instances!I53:Instances!I53),"median", MEDIAN(Instances!I53:Instances!I53),"min", MIN(Instances!I53:Instances!I53),"max", MAX(Instances!I53:Instances!I53),"diff", MAX(Instances!I53:Instances!I53)-MIN(Instances!I53:Instances!I53))</f>
        <v>0</v>
      </c>
      <c r="J53" s="1">
        <f>MIN($B53,$D53,$F53,$H53)</f>
        <v>0</v>
      </c>
      <c r="K53" s="1">
        <f>MIN($C53,$E53,$G53,$I53)</f>
        <v>0</v>
      </c>
      <c r="L53" s="1">
        <f>MEDIAN($B53,$D53,$F53,$H53)</f>
        <v>0</v>
      </c>
      <c r="M53" s="1">
        <f>MEDIAN($C53,$E53,$G53,$I53)</f>
        <v>0</v>
      </c>
      <c r="N53" s="1">
        <f>MAX($B53,$D53,$F53,$H53)</f>
        <v>0</v>
      </c>
      <c r="O53" s="1">
        <f>MAX($C53,$E53,$G53,$I53)</f>
        <v>0</v>
      </c>
    </row>
    <row r="54" spans="1:15">
      <c r="A54" s="1" t="s">
        <v>51</v>
      </c>
      <c r="B54" s="1" cm="1">
        <f t="array" ref="B54">_xlfn.SWITCH($A$2,"average", AVERAGE(Instances!B54:Instances!B54),"median", MEDIAN(Instances!B54:Instances!B54),"min", MIN(Instances!B54:Instances!B54),"max", MAX(Instances!B54:Instances!B54),"diff", MAX(Instances!B54:Instances!B54)-MIN(Instances!B54:Instances!B54))</f>
        <v>0</v>
      </c>
      <c r="C54" s="1" cm="1">
        <f t="array" ref="C54">_xlfn.SWITCH($A$2,"average", AVERAGE(Instances!C54:Instances!C54),"median", MEDIAN(Instances!C54:Instances!C54),"min", MIN(Instances!C54:Instances!C54),"max", MAX(Instances!C54:Instances!C54),"diff", MAX(Instances!C54:Instances!C54)-MIN(Instances!C54:Instances!C54))</f>
        <v>0</v>
      </c>
      <c r="D54" s="1" cm="1">
        <f t="array" ref="D54">_xlfn.SWITCH($A$2,"average", AVERAGE(Instances!D54:Instances!D54),"median", MEDIAN(Instances!D54:Instances!D54),"min", MIN(Instances!D54:Instances!D54),"max", MAX(Instances!D54:Instances!D54),"diff", MAX(Instances!D54:Instances!D54)-MIN(Instances!D54:Instances!D54))</f>
        <v>0</v>
      </c>
      <c r="E54" s="1" cm="1">
        <f t="array" ref="E54">_xlfn.SWITCH($A$2,"average", AVERAGE(Instances!E54:Instances!E54),"median", MEDIAN(Instances!E54:Instances!E54),"min", MIN(Instances!E54:Instances!E54),"max", MAX(Instances!E54:Instances!E54),"diff", MAX(Instances!E54:Instances!E54)-MIN(Instances!E54:Instances!E54))</f>
        <v>0</v>
      </c>
      <c r="F54" s="1" cm="1">
        <f t="array" ref="F54">_xlfn.SWITCH($A$2,"average", AVERAGE(Instances!F54:Instances!F54),"median", MEDIAN(Instances!F54:Instances!F54),"min", MIN(Instances!F54:Instances!F54),"max", MAX(Instances!F54:Instances!F54),"diff", MAX(Instances!F54:Instances!F54)-MIN(Instances!F54:Instances!F54))</f>
        <v>0</v>
      </c>
      <c r="G54" s="1" cm="1">
        <f t="array" ref="G54">_xlfn.SWITCH($A$2,"average", AVERAGE(Instances!G54:Instances!G54),"median", MEDIAN(Instances!G54:Instances!G54),"min", MIN(Instances!G54:Instances!G54),"max", MAX(Instances!G54:Instances!G54),"diff", MAX(Instances!G54:Instances!G54)-MIN(Instances!G54:Instances!G54))</f>
        <v>0</v>
      </c>
      <c r="H54" s="1" cm="1">
        <f t="array" ref="H54">_xlfn.SWITCH($A$2,"average", AVERAGE(Instances!H54:Instances!H54),"median", MEDIAN(Instances!H54:Instances!H54),"min", MIN(Instances!H54:Instances!H54),"max", MAX(Instances!H54:Instances!H54),"diff", MAX(Instances!H54:Instances!H54)-MIN(Instances!H54:Instances!H54))</f>
        <v>0</v>
      </c>
      <c r="I54" s="1" cm="1">
        <f t="array" ref="I54">_xlfn.SWITCH($A$2,"average", AVERAGE(Instances!I54:Instances!I54),"median", MEDIAN(Instances!I54:Instances!I54),"min", MIN(Instances!I54:Instances!I54),"max", MAX(Instances!I54:Instances!I54),"diff", MAX(Instances!I54:Instances!I54)-MIN(Instances!I54:Instances!I54))</f>
        <v>0</v>
      </c>
      <c r="J54" s="1">
        <f>MIN($B54,$D54,$F54,$H54)</f>
        <v>0</v>
      </c>
      <c r="K54" s="1">
        <f>MIN($C54,$E54,$G54,$I54)</f>
        <v>0</v>
      </c>
      <c r="L54" s="1">
        <f>MEDIAN($B54,$D54,$F54,$H54)</f>
        <v>0</v>
      </c>
      <c r="M54" s="1">
        <f>MEDIAN($C54,$E54,$G54,$I54)</f>
        <v>0</v>
      </c>
      <c r="N54" s="1">
        <f>MAX($B54,$D54,$F54,$H54)</f>
        <v>0</v>
      </c>
      <c r="O54" s="1">
        <f>MAX($C54,$E54,$G54,$I54)</f>
        <v>0</v>
      </c>
    </row>
    <row r="55" spans="1:15">
      <c r="A55" s="1" t="s">
        <v>52</v>
      </c>
      <c r="B55" s="1" cm="1">
        <f t="array" ref="B55">_xlfn.SWITCH($A$2,"average", AVERAGE(Instances!B55:Instances!B55),"median", MEDIAN(Instances!B55:Instances!B55),"min", MIN(Instances!B55:Instances!B55),"max", MAX(Instances!B55:Instances!B55),"diff", MAX(Instances!B55:Instances!B55)-MIN(Instances!B55:Instances!B55))</f>
        <v>0</v>
      </c>
      <c r="C55" s="1" cm="1">
        <f t="array" ref="C55">_xlfn.SWITCH($A$2,"average", AVERAGE(Instances!C55:Instances!C55),"median", MEDIAN(Instances!C55:Instances!C55),"min", MIN(Instances!C55:Instances!C55),"max", MAX(Instances!C55:Instances!C55),"diff", MAX(Instances!C55:Instances!C55)-MIN(Instances!C55:Instances!C55))</f>
        <v>0</v>
      </c>
      <c r="D55" s="1" cm="1">
        <f t="array" ref="D55">_xlfn.SWITCH($A$2,"average", AVERAGE(Instances!D55:Instances!D55),"median", MEDIAN(Instances!D55:Instances!D55),"min", MIN(Instances!D55:Instances!D55),"max", MAX(Instances!D55:Instances!D55),"diff", MAX(Instances!D55:Instances!D55)-MIN(Instances!D55:Instances!D55))</f>
        <v>0</v>
      </c>
      <c r="E55" s="1" cm="1">
        <f t="array" ref="E55">_xlfn.SWITCH($A$2,"average", AVERAGE(Instances!E55:Instances!E55),"median", MEDIAN(Instances!E55:Instances!E55),"min", MIN(Instances!E55:Instances!E55),"max", MAX(Instances!E55:Instances!E55),"diff", MAX(Instances!E55:Instances!E55)-MIN(Instances!E55:Instances!E55))</f>
        <v>0</v>
      </c>
      <c r="F55" s="1" cm="1">
        <f t="array" ref="F55">_xlfn.SWITCH($A$2,"average", AVERAGE(Instances!F55:Instances!F55),"median", MEDIAN(Instances!F55:Instances!F55),"min", MIN(Instances!F55:Instances!F55),"max", MAX(Instances!F55:Instances!F55),"diff", MAX(Instances!F55:Instances!F55)-MIN(Instances!F55:Instances!F55))</f>
        <v>0</v>
      </c>
      <c r="G55" s="1" cm="1">
        <f t="array" ref="G55">_xlfn.SWITCH($A$2,"average", AVERAGE(Instances!G55:Instances!G55),"median", MEDIAN(Instances!G55:Instances!G55),"min", MIN(Instances!G55:Instances!G55),"max", MAX(Instances!G55:Instances!G55),"diff", MAX(Instances!G55:Instances!G55)-MIN(Instances!G55:Instances!G55))</f>
        <v>0</v>
      </c>
      <c r="H55" s="1" cm="1">
        <f t="array" ref="H55">_xlfn.SWITCH($A$2,"average", AVERAGE(Instances!H55:Instances!H55),"median", MEDIAN(Instances!H55:Instances!H55),"min", MIN(Instances!H55:Instances!H55),"max", MAX(Instances!H55:Instances!H55),"diff", MAX(Instances!H55:Instances!H55)-MIN(Instances!H55:Instances!H55))</f>
        <v>0</v>
      </c>
      <c r="I55" s="1" cm="1">
        <f t="array" ref="I55">_xlfn.SWITCH($A$2,"average", AVERAGE(Instances!I55:Instances!I55),"median", MEDIAN(Instances!I55:Instances!I55),"min", MIN(Instances!I55:Instances!I55),"max", MAX(Instances!I55:Instances!I55),"diff", MAX(Instances!I55:Instances!I55)-MIN(Instances!I55:Instances!I55))</f>
        <v>0</v>
      </c>
      <c r="J55" s="1">
        <f>MIN($B55,$D55,$F55,$H55)</f>
        <v>0</v>
      </c>
      <c r="K55" s="1">
        <f>MIN($C55,$E55,$G55,$I55)</f>
        <v>0</v>
      </c>
      <c r="L55" s="1">
        <f>MEDIAN($B55,$D55,$F55,$H55)</f>
        <v>0</v>
      </c>
      <c r="M55" s="1">
        <f>MEDIAN($C55,$E55,$G55,$I55)</f>
        <v>0</v>
      </c>
      <c r="N55" s="1">
        <f>MAX($B55,$D55,$F55,$H55)</f>
        <v>0</v>
      </c>
      <c r="O55" s="1">
        <f>MAX($C55,$E55,$G55,$I55)</f>
        <v>0</v>
      </c>
    </row>
    <row r="56" spans="1:15">
      <c r="A56" s="1" t="s">
        <v>53</v>
      </c>
      <c r="B56" s="1" cm="1">
        <f t="array" ref="B56">_xlfn.SWITCH($A$2,"average", AVERAGE(Instances!B56:Instances!B56),"median", MEDIAN(Instances!B56:Instances!B56),"min", MIN(Instances!B56:Instances!B56),"max", MAX(Instances!B56:Instances!B56),"diff", MAX(Instances!B56:Instances!B56)-MIN(Instances!B56:Instances!B56))</f>
        <v>0</v>
      </c>
      <c r="C56" s="1" cm="1">
        <f t="array" ref="C56">_xlfn.SWITCH($A$2,"average", AVERAGE(Instances!C56:Instances!C56),"median", MEDIAN(Instances!C56:Instances!C56),"min", MIN(Instances!C56:Instances!C56),"max", MAX(Instances!C56:Instances!C56),"diff", MAX(Instances!C56:Instances!C56)-MIN(Instances!C56:Instances!C56))</f>
        <v>0</v>
      </c>
      <c r="D56" s="1" cm="1">
        <f t="array" ref="D56">_xlfn.SWITCH($A$2,"average", AVERAGE(Instances!D56:Instances!D56),"median", MEDIAN(Instances!D56:Instances!D56),"min", MIN(Instances!D56:Instances!D56),"max", MAX(Instances!D56:Instances!D56),"diff", MAX(Instances!D56:Instances!D56)-MIN(Instances!D56:Instances!D56))</f>
        <v>0</v>
      </c>
      <c r="E56" s="1" cm="1">
        <f t="array" ref="E56">_xlfn.SWITCH($A$2,"average", AVERAGE(Instances!E56:Instances!E56),"median", MEDIAN(Instances!E56:Instances!E56),"min", MIN(Instances!E56:Instances!E56),"max", MAX(Instances!E56:Instances!E56),"diff", MAX(Instances!E56:Instances!E56)-MIN(Instances!E56:Instances!E56))</f>
        <v>0</v>
      </c>
      <c r="F56" s="1" cm="1">
        <f t="array" ref="F56">_xlfn.SWITCH($A$2,"average", AVERAGE(Instances!F56:Instances!F56),"median", MEDIAN(Instances!F56:Instances!F56),"min", MIN(Instances!F56:Instances!F56),"max", MAX(Instances!F56:Instances!F56),"diff", MAX(Instances!F56:Instances!F56)-MIN(Instances!F56:Instances!F56))</f>
        <v>0</v>
      </c>
      <c r="G56" s="1" cm="1">
        <f t="array" ref="G56">_xlfn.SWITCH($A$2,"average", AVERAGE(Instances!G56:Instances!G56),"median", MEDIAN(Instances!G56:Instances!G56),"min", MIN(Instances!G56:Instances!G56),"max", MAX(Instances!G56:Instances!G56),"diff", MAX(Instances!G56:Instances!G56)-MIN(Instances!G56:Instances!G56))</f>
        <v>0</v>
      </c>
      <c r="H56" s="1" cm="1">
        <f t="array" ref="H56">_xlfn.SWITCH($A$2,"average", AVERAGE(Instances!H56:Instances!H56),"median", MEDIAN(Instances!H56:Instances!H56),"min", MIN(Instances!H56:Instances!H56),"max", MAX(Instances!H56:Instances!H56),"diff", MAX(Instances!H56:Instances!H56)-MIN(Instances!H56:Instances!H56))</f>
        <v>0</v>
      </c>
      <c r="I56" s="1" cm="1">
        <f t="array" ref="I56">_xlfn.SWITCH($A$2,"average", AVERAGE(Instances!I56:Instances!I56),"median", MEDIAN(Instances!I56:Instances!I56),"min", MIN(Instances!I56:Instances!I56),"max", MAX(Instances!I56:Instances!I56),"diff", MAX(Instances!I56:Instances!I56)-MIN(Instances!I56:Instances!I56))</f>
        <v>0</v>
      </c>
      <c r="J56" s="1">
        <f>MIN($B56,$D56,$F56,$H56)</f>
        <v>0</v>
      </c>
      <c r="K56" s="1">
        <f>MIN($C56,$E56,$G56,$I56)</f>
        <v>0</v>
      </c>
      <c r="L56" s="1">
        <f>MEDIAN($B56,$D56,$F56,$H56)</f>
        <v>0</v>
      </c>
      <c r="M56" s="1">
        <f>MEDIAN($C56,$E56,$G56,$I56)</f>
        <v>0</v>
      </c>
      <c r="N56" s="1">
        <f>MAX($B56,$D56,$F56,$H56)</f>
        <v>0</v>
      </c>
      <c r="O56" s="1">
        <f>MAX($C56,$E56,$G56,$I56)</f>
        <v>0</v>
      </c>
    </row>
    <row r="57" spans="1:15">
      <c r="A57" s="1" t="s">
        <v>54</v>
      </c>
      <c r="B57" s="1" cm="1">
        <f t="array" ref="B57">_xlfn.SWITCH($A$2,"average", AVERAGE(Instances!B57:Instances!B57),"median", MEDIAN(Instances!B57:Instances!B57),"min", MIN(Instances!B57:Instances!B57),"max", MAX(Instances!B57:Instances!B57),"diff", MAX(Instances!B57:Instances!B57)-MIN(Instances!B57:Instances!B57))</f>
        <v>0</v>
      </c>
      <c r="C57" s="1" cm="1">
        <f t="array" ref="C57">_xlfn.SWITCH($A$2,"average", AVERAGE(Instances!C57:Instances!C57),"median", MEDIAN(Instances!C57:Instances!C57),"min", MIN(Instances!C57:Instances!C57),"max", MAX(Instances!C57:Instances!C57),"diff", MAX(Instances!C57:Instances!C57)-MIN(Instances!C57:Instances!C57))</f>
        <v>0</v>
      </c>
      <c r="D57" s="1" cm="1">
        <f t="array" ref="D57">_xlfn.SWITCH($A$2,"average", AVERAGE(Instances!D57:Instances!D57),"median", MEDIAN(Instances!D57:Instances!D57),"min", MIN(Instances!D57:Instances!D57),"max", MAX(Instances!D57:Instances!D57),"diff", MAX(Instances!D57:Instances!D57)-MIN(Instances!D57:Instances!D57))</f>
        <v>0</v>
      </c>
      <c r="E57" s="1" cm="1">
        <f t="array" ref="E57">_xlfn.SWITCH($A$2,"average", AVERAGE(Instances!E57:Instances!E57),"median", MEDIAN(Instances!E57:Instances!E57),"min", MIN(Instances!E57:Instances!E57),"max", MAX(Instances!E57:Instances!E57),"diff", MAX(Instances!E57:Instances!E57)-MIN(Instances!E57:Instances!E57))</f>
        <v>0</v>
      </c>
      <c r="F57" s="1" cm="1">
        <f t="array" ref="F57">_xlfn.SWITCH($A$2,"average", AVERAGE(Instances!F57:Instances!F57),"median", MEDIAN(Instances!F57:Instances!F57),"min", MIN(Instances!F57:Instances!F57),"max", MAX(Instances!F57:Instances!F57),"diff", MAX(Instances!F57:Instances!F57)-MIN(Instances!F57:Instances!F57))</f>
        <v>0</v>
      </c>
      <c r="G57" s="1" cm="1">
        <f t="array" ref="G57">_xlfn.SWITCH($A$2,"average", AVERAGE(Instances!G57:Instances!G57),"median", MEDIAN(Instances!G57:Instances!G57),"min", MIN(Instances!G57:Instances!G57),"max", MAX(Instances!G57:Instances!G57),"diff", MAX(Instances!G57:Instances!G57)-MIN(Instances!G57:Instances!G57))</f>
        <v>0</v>
      </c>
      <c r="H57" s="1" cm="1">
        <f t="array" ref="H57">_xlfn.SWITCH($A$2,"average", AVERAGE(Instances!H57:Instances!H57),"median", MEDIAN(Instances!H57:Instances!H57),"min", MIN(Instances!H57:Instances!H57),"max", MAX(Instances!H57:Instances!H57),"diff", MAX(Instances!H57:Instances!H57)-MIN(Instances!H57:Instances!H57))</f>
        <v>0</v>
      </c>
      <c r="I57" s="1" cm="1">
        <f t="array" ref="I57">_xlfn.SWITCH($A$2,"average", AVERAGE(Instances!I57:Instances!I57),"median", MEDIAN(Instances!I57:Instances!I57),"min", MIN(Instances!I57:Instances!I57),"max", MAX(Instances!I57:Instances!I57),"diff", MAX(Instances!I57:Instances!I57)-MIN(Instances!I57:Instances!I57))</f>
        <v>0</v>
      </c>
      <c r="J57" s="1">
        <f>MIN($B57,$D57,$F57,$H57)</f>
        <v>0</v>
      </c>
      <c r="K57" s="1">
        <f>MIN($C57,$E57,$G57,$I57)</f>
        <v>0</v>
      </c>
      <c r="L57" s="1">
        <f>MEDIAN($B57,$D57,$F57,$H57)</f>
        <v>0</v>
      </c>
      <c r="M57" s="1">
        <f>MEDIAN($C57,$E57,$G57,$I57)</f>
        <v>0</v>
      </c>
      <c r="N57" s="1">
        <f>MAX($B57,$D57,$F57,$H57)</f>
        <v>0</v>
      </c>
      <c r="O57" s="1">
        <f>MAX($C57,$E57,$G57,$I57)</f>
        <v>0</v>
      </c>
    </row>
    <row r="58" spans="1:15">
      <c r="A58" s="1" t="s">
        <v>55</v>
      </c>
      <c r="B58" s="1" cm="1">
        <f t="array" ref="B58">_xlfn.SWITCH($A$2,"average", AVERAGE(Instances!B58:Instances!B58),"median", MEDIAN(Instances!B58:Instances!B58),"min", MIN(Instances!B58:Instances!B58),"max", MAX(Instances!B58:Instances!B58),"diff", MAX(Instances!B58:Instances!B58)-MIN(Instances!B58:Instances!B58))</f>
        <v>0</v>
      </c>
      <c r="C58" s="1" cm="1">
        <f t="array" ref="C58">_xlfn.SWITCH($A$2,"average", AVERAGE(Instances!C58:Instances!C58),"median", MEDIAN(Instances!C58:Instances!C58),"min", MIN(Instances!C58:Instances!C58),"max", MAX(Instances!C58:Instances!C58),"diff", MAX(Instances!C58:Instances!C58)-MIN(Instances!C58:Instances!C58))</f>
        <v>0</v>
      </c>
      <c r="D58" s="1" cm="1">
        <f t="array" ref="D58">_xlfn.SWITCH($A$2,"average", AVERAGE(Instances!D58:Instances!D58),"median", MEDIAN(Instances!D58:Instances!D58),"min", MIN(Instances!D58:Instances!D58),"max", MAX(Instances!D58:Instances!D58),"diff", MAX(Instances!D58:Instances!D58)-MIN(Instances!D58:Instances!D58))</f>
        <v>0</v>
      </c>
      <c r="E58" s="1" cm="1">
        <f t="array" ref="E58">_xlfn.SWITCH($A$2,"average", AVERAGE(Instances!E58:Instances!E58),"median", MEDIAN(Instances!E58:Instances!E58),"min", MIN(Instances!E58:Instances!E58),"max", MAX(Instances!E58:Instances!E58),"diff", MAX(Instances!E58:Instances!E58)-MIN(Instances!E58:Instances!E58))</f>
        <v>0</v>
      </c>
      <c r="F58" s="1" cm="1">
        <f t="array" ref="F58">_xlfn.SWITCH($A$2,"average", AVERAGE(Instances!F58:Instances!F58),"median", MEDIAN(Instances!F58:Instances!F58),"min", MIN(Instances!F58:Instances!F58),"max", MAX(Instances!F58:Instances!F58),"diff", MAX(Instances!F58:Instances!F58)-MIN(Instances!F58:Instances!F58))</f>
        <v>0</v>
      </c>
      <c r="G58" s="1" cm="1">
        <f t="array" ref="G58">_xlfn.SWITCH($A$2,"average", AVERAGE(Instances!G58:Instances!G58),"median", MEDIAN(Instances!G58:Instances!G58),"min", MIN(Instances!G58:Instances!G58),"max", MAX(Instances!G58:Instances!G58),"diff", MAX(Instances!G58:Instances!G58)-MIN(Instances!G58:Instances!G58))</f>
        <v>0</v>
      </c>
      <c r="H58" s="1" cm="1">
        <f t="array" ref="H58">_xlfn.SWITCH($A$2,"average", AVERAGE(Instances!H58:Instances!H58),"median", MEDIAN(Instances!H58:Instances!H58),"min", MIN(Instances!H58:Instances!H58),"max", MAX(Instances!H58:Instances!H58),"diff", MAX(Instances!H58:Instances!H58)-MIN(Instances!H58:Instances!H58))</f>
        <v>0</v>
      </c>
      <c r="I58" s="1" cm="1">
        <f t="array" ref="I58">_xlfn.SWITCH($A$2,"average", AVERAGE(Instances!I58:Instances!I58),"median", MEDIAN(Instances!I58:Instances!I58),"min", MIN(Instances!I58:Instances!I58),"max", MAX(Instances!I58:Instances!I58),"diff", MAX(Instances!I58:Instances!I58)-MIN(Instances!I58:Instances!I58))</f>
        <v>0</v>
      </c>
      <c r="J58" s="1">
        <f>MIN($B58,$D58,$F58,$H58)</f>
        <v>0</v>
      </c>
      <c r="K58" s="1">
        <f>MIN($C58,$E58,$G58,$I58)</f>
        <v>0</v>
      </c>
      <c r="L58" s="1">
        <f>MEDIAN($B58,$D58,$F58,$H58)</f>
        <v>0</v>
      </c>
      <c r="M58" s="1">
        <f>MEDIAN($C58,$E58,$G58,$I58)</f>
        <v>0</v>
      </c>
      <c r="N58" s="1">
        <f>MAX($B58,$D58,$F58,$H58)</f>
        <v>0</v>
      </c>
      <c r="O58" s="1">
        <f>MAX($C58,$E58,$G58,$I58)</f>
        <v>0</v>
      </c>
    </row>
    <row r="59" spans="1:15">
      <c r="A59" s="1" t="s">
        <v>56</v>
      </c>
      <c r="B59" s="1" cm="1">
        <f t="array" ref="B59">_xlfn.SWITCH($A$2,"average", AVERAGE(Instances!B59:Instances!B59),"median", MEDIAN(Instances!B59:Instances!B59),"min", MIN(Instances!B59:Instances!B59),"max", MAX(Instances!B59:Instances!B59),"diff", MAX(Instances!B59:Instances!B59)-MIN(Instances!B59:Instances!B59))</f>
        <v>0</v>
      </c>
      <c r="C59" s="1" cm="1">
        <f t="array" ref="C59">_xlfn.SWITCH($A$2,"average", AVERAGE(Instances!C59:Instances!C59),"median", MEDIAN(Instances!C59:Instances!C59),"min", MIN(Instances!C59:Instances!C59),"max", MAX(Instances!C59:Instances!C59),"diff", MAX(Instances!C59:Instances!C59)-MIN(Instances!C59:Instances!C59))</f>
        <v>0</v>
      </c>
      <c r="D59" s="1" cm="1">
        <f t="array" ref="D59">_xlfn.SWITCH($A$2,"average", AVERAGE(Instances!D59:Instances!D59),"median", MEDIAN(Instances!D59:Instances!D59),"min", MIN(Instances!D59:Instances!D59),"max", MAX(Instances!D59:Instances!D59),"diff", MAX(Instances!D59:Instances!D59)-MIN(Instances!D59:Instances!D59))</f>
        <v>0</v>
      </c>
      <c r="E59" s="1" cm="1">
        <f t="array" ref="E59">_xlfn.SWITCH($A$2,"average", AVERAGE(Instances!E59:Instances!E59),"median", MEDIAN(Instances!E59:Instances!E59),"min", MIN(Instances!E59:Instances!E59),"max", MAX(Instances!E59:Instances!E59),"diff", MAX(Instances!E59:Instances!E59)-MIN(Instances!E59:Instances!E59))</f>
        <v>0</v>
      </c>
      <c r="F59" s="1" cm="1">
        <f t="array" ref="F59">_xlfn.SWITCH($A$2,"average", AVERAGE(Instances!F59:Instances!F59),"median", MEDIAN(Instances!F59:Instances!F59),"min", MIN(Instances!F59:Instances!F59),"max", MAX(Instances!F59:Instances!F59),"diff", MAX(Instances!F59:Instances!F59)-MIN(Instances!F59:Instances!F59))</f>
        <v>0</v>
      </c>
      <c r="G59" s="1" cm="1">
        <f t="array" ref="G59">_xlfn.SWITCH($A$2,"average", AVERAGE(Instances!G59:Instances!G59),"median", MEDIAN(Instances!G59:Instances!G59),"min", MIN(Instances!G59:Instances!G59),"max", MAX(Instances!G59:Instances!G59),"diff", MAX(Instances!G59:Instances!G59)-MIN(Instances!G59:Instances!G59))</f>
        <v>0</v>
      </c>
      <c r="H59" s="1" cm="1">
        <f t="array" ref="H59">_xlfn.SWITCH($A$2,"average", AVERAGE(Instances!H59:Instances!H59),"median", MEDIAN(Instances!H59:Instances!H59),"min", MIN(Instances!H59:Instances!H59),"max", MAX(Instances!H59:Instances!H59),"diff", MAX(Instances!H59:Instances!H59)-MIN(Instances!H59:Instances!H59))</f>
        <v>0</v>
      </c>
      <c r="I59" s="1" cm="1">
        <f t="array" ref="I59">_xlfn.SWITCH($A$2,"average", AVERAGE(Instances!I59:Instances!I59),"median", MEDIAN(Instances!I59:Instances!I59),"min", MIN(Instances!I59:Instances!I59),"max", MAX(Instances!I59:Instances!I59),"diff", MAX(Instances!I59:Instances!I59)-MIN(Instances!I59:Instances!I59))</f>
        <v>0</v>
      </c>
      <c r="J59" s="1">
        <f>MIN($B59,$D59,$F59,$H59)</f>
        <v>0</v>
      </c>
      <c r="K59" s="1">
        <f>MIN($C59,$E59,$G59,$I59)</f>
        <v>0</v>
      </c>
      <c r="L59" s="1">
        <f>MEDIAN($B59,$D59,$F59,$H59)</f>
        <v>0</v>
      </c>
      <c r="M59" s="1">
        <f>MEDIAN($C59,$E59,$G59,$I59)</f>
        <v>0</v>
      </c>
      <c r="N59" s="1">
        <f>MAX($B59,$D59,$F59,$H59)</f>
        <v>0</v>
      </c>
      <c r="O59" s="1">
        <f>MAX($C59,$E59,$G59,$I59)</f>
        <v>0</v>
      </c>
    </row>
    <row r="60" spans="1:15">
      <c r="A60" s="1" t="s">
        <v>57</v>
      </c>
      <c r="B60" s="1" cm="1">
        <f t="array" ref="B60">_xlfn.SWITCH($A$2,"average", AVERAGE(Instances!B60:Instances!B60),"median", MEDIAN(Instances!B60:Instances!B60),"min", MIN(Instances!B60:Instances!B60),"max", MAX(Instances!B60:Instances!B60),"diff", MAX(Instances!B60:Instances!B60)-MIN(Instances!B60:Instances!B60))</f>
        <v>0</v>
      </c>
      <c r="C60" s="1" cm="1">
        <f t="array" ref="C60">_xlfn.SWITCH($A$2,"average", AVERAGE(Instances!C60:Instances!C60),"median", MEDIAN(Instances!C60:Instances!C60),"min", MIN(Instances!C60:Instances!C60),"max", MAX(Instances!C60:Instances!C60),"diff", MAX(Instances!C60:Instances!C60)-MIN(Instances!C60:Instances!C60))</f>
        <v>0</v>
      </c>
      <c r="D60" s="1" cm="1">
        <f t="array" ref="D60">_xlfn.SWITCH($A$2,"average", AVERAGE(Instances!D60:Instances!D60),"median", MEDIAN(Instances!D60:Instances!D60),"min", MIN(Instances!D60:Instances!D60),"max", MAX(Instances!D60:Instances!D60),"diff", MAX(Instances!D60:Instances!D60)-MIN(Instances!D60:Instances!D60))</f>
        <v>0</v>
      </c>
      <c r="E60" s="1" cm="1">
        <f t="array" ref="E60">_xlfn.SWITCH($A$2,"average", AVERAGE(Instances!E60:Instances!E60),"median", MEDIAN(Instances!E60:Instances!E60),"min", MIN(Instances!E60:Instances!E60),"max", MAX(Instances!E60:Instances!E60),"diff", MAX(Instances!E60:Instances!E60)-MIN(Instances!E60:Instances!E60))</f>
        <v>0</v>
      </c>
      <c r="F60" s="1" cm="1">
        <f t="array" ref="F60">_xlfn.SWITCH($A$2,"average", AVERAGE(Instances!F60:Instances!F60),"median", MEDIAN(Instances!F60:Instances!F60),"min", MIN(Instances!F60:Instances!F60),"max", MAX(Instances!F60:Instances!F60),"diff", MAX(Instances!F60:Instances!F60)-MIN(Instances!F60:Instances!F60))</f>
        <v>0</v>
      </c>
      <c r="G60" s="1" cm="1">
        <f t="array" ref="G60">_xlfn.SWITCH($A$2,"average", AVERAGE(Instances!G60:Instances!G60),"median", MEDIAN(Instances!G60:Instances!G60),"min", MIN(Instances!G60:Instances!G60),"max", MAX(Instances!G60:Instances!G60),"diff", MAX(Instances!G60:Instances!G60)-MIN(Instances!G60:Instances!G60))</f>
        <v>0</v>
      </c>
      <c r="H60" s="1" cm="1">
        <f t="array" ref="H60">_xlfn.SWITCH($A$2,"average", AVERAGE(Instances!H60:Instances!H60),"median", MEDIAN(Instances!H60:Instances!H60),"min", MIN(Instances!H60:Instances!H60),"max", MAX(Instances!H60:Instances!H60),"diff", MAX(Instances!H60:Instances!H60)-MIN(Instances!H60:Instances!H60))</f>
        <v>0</v>
      </c>
      <c r="I60" s="1" cm="1">
        <f t="array" ref="I60">_xlfn.SWITCH($A$2,"average", AVERAGE(Instances!I60:Instances!I60),"median", MEDIAN(Instances!I60:Instances!I60),"min", MIN(Instances!I60:Instances!I60),"max", MAX(Instances!I60:Instances!I60),"diff", MAX(Instances!I60:Instances!I60)-MIN(Instances!I60:Instances!I60))</f>
        <v>0</v>
      </c>
      <c r="J60" s="1">
        <f>MIN($B60,$D60,$F60,$H60)</f>
        <v>0</v>
      </c>
      <c r="K60" s="1">
        <f>MIN($C60,$E60,$G60,$I60)</f>
        <v>0</v>
      </c>
      <c r="L60" s="1">
        <f>MEDIAN($B60,$D60,$F60,$H60)</f>
        <v>0</v>
      </c>
      <c r="M60" s="1">
        <f>MEDIAN($C60,$E60,$G60,$I60)</f>
        <v>0</v>
      </c>
      <c r="N60" s="1">
        <f>MAX($B60,$D60,$F60,$H60)</f>
        <v>0</v>
      </c>
      <c r="O60" s="1">
        <f>MAX($C60,$E60,$G60,$I60)</f>
        <v>0</v>
      </c>
    </row>
    <row r="61" spans="1:15">
      <c r="A61" s="1" t="s">
        <v>58</v>
      </c>
      <c r="B61" s="1" cm="1">
        <f t="array" ref="B61">_xlfn.SWITCH($A$2,"average", AVERAGE(Instances!B61:Instances!B61),"median", MEDIAN(Instances!B61:Instances!B61),"min", MIN(Instances!B61:Instances!B61),"max", MAX(Instances!B61:Instances!B61),"diff", MAX(Instances!B61:Instances!B61)-MIN(Instances!B61:Instances!B61))</f>
        <v>0</v>
      </c>
      <c r="C61" s="1" cm="1">
        <f t="array" ref="C61">_xlfn.SWITCH($A$2,"average", AVERAGE(Instances!C61:Instances!C61),"median", MEDIAN(Instances!C61:Instances!C61),"min", MIN(Instances!C61:Instances!C61),"max", MAX(Instances!C61:Instances!C61),"diff", MAX(Instances!C61:Instances!C61)-MIN(Instances!C61:Instances!C61))</f>
        <v>0</v>
      </c>
      <c r="D61" s="1" cm="1">
        <f t="array" ref="D61">_xlfn.SWITCH($A$2,"average", AVERAGE(Instances!D61:Instances!D61),"median", MEDIAN(Instances!D61:Instances!D61),"min", MIN(Instances!D61:Instances!D61),"max", MAX(Instances!D61:Instances!D61),"diff", MAX(Instances!D61:Instances!D61)-MIN(Instances!D61:Instances!D61))</f>
        <v>0</v>
      </c>
      <c r="E61" s="1" cm="1">
        <f t="array" ref="E61">_xlfn.SWITCH($A$2,"average", AVERAGE(Instances!E61:Instances!E61),"median", MEDIAN(Instances!E61:Instances!E61),"min", MIN(Instances!E61:Instances!E61),"max", MAX(Instances!E61:Instances!E61),"diff", MAX(Instances!E61:Instances!E61)-MIN(Instances!E61:Instances!E61))</f>
        <v>0</v>
      </c>
      <c r="F61" s="1" cm="1">
        <f t="array" ref="F61">_xlfn.SWITCH($A$2,"average", AVERAGE(Instances!F61:Instances!F61),"median", MEDIAN(Instances!F61:Instances!F61),"min", MIN(Instances!F61:Instances!F61),"max", MAX(Instances!F61:Instances!F61),"diff", MAX(Instances!F61:Instances!F61)-MIN(Instances!F61:Instances!F61))</f>
        <v>0</v>
      </c>
      <c r="G61" s="1" cm="1">
        <f t="array" ref="G61">_xlfn.SWITCH($A$2,"average", AVERAGE(Instances!G61:Instances!G61),"median", MEDIAN(Instances!G61:Instances!G61),"min", MIN(Instances!G61:Instances!G61),"max", MAX(Instances!G61:Instances!G61),"diff", MAX(Instances!G61:Instances!G61)-MIN(Instances!G61:Instances!G61))</f>
        <v>0</v>
      </c>
      <c r="H61" s="1" cm="1">
        <f t="array" ref="H61">_xlfn.SWITCH($A$2,"average", AVERAGE(Instances!H61:Instances!H61),"median", MEDIAN(Instances!H61:Instances!H61),"min", MIN(Instances!H61:Instances!H61),"max", MAX(Instances!H61:Instances!H61),"diff", MAX(Instances!H61:Instances!H61)-MIN(Instances!H61:Instances!H61))</f>
        <v>0</v>
      </c>
      <c r="I61" s="1" cm="1">
        <f t="array" ref="I61">_xlfn.SWITCH($A$2,"average", AVERAGE(Instances!I61:Instances!I61),"median", MEDIAN(Instances!I61:Instances!I61),"min", MIN(Instances!I61:Instances!I61),"max", MAX(Instances!I61:Instances!I61),"diff", MAX(Instances!I61:Instances!I61)-MIN(Instances!I61:Instances!I61))</f>
        <v>0</v>
      </c>
      <c r="J61" s="1">
        <f>MIN($B61,$D61,$F61,$H61)</f>
        <v>0</v>
      </c>
      <c r="K61" s="1">
        <f>MIN($C61,$E61,$G61,$I61)</f>
        <v>0</v>
      </c>
      <c r="L61" s="1">
        <f>MEDIAN($B61,$D61,$F61,$H61)</f>
        <v>0</v>
      </c>
      <c r="M61" s="1">
        <f>MEDIAN($C61,$E61,$G61,$I61)</f>
        <v>0</v>
      </c>
      <c r="N61" s="1">
        <f>MAX($B61,$D61,$F61,$H61)</f>
        <v>0</v>
      </c>
      <c r="O61" s="1">
        <f>MAX($C61,$E61,$G61,$I61)</f>
        <v>0</v>
      </c>
    </row>
    <row r="62" spans="1:15">
      <c r="A62" s="1" t="s">
        <v>59</v>
      </c>
      <c r="B62" s="1" cm="1">
        <f t="array" ref="B62">_xlfn.SWITCH($A$2,"average", AVERAGE(Instances!B62:Instances!B62),"median", MEDIAN(Instances!B62:Instances!B62),"min", MIN(Instances!B62:Instances!B62),"max", MAX(Instances!B62:Instances!B62),"diff", MAX(Instances!B62:Instances!B62)-MIN(Instances!B62:Instances!B62))</f>
        <v>0</v>
      </c>
      <c r="C62" s="1" cm="1">
        <f t="array" ref="C62">_xlfn.SWITCH($A$2,"average", AVERAGE(Instances!C62:Instances!C62),"median", MEDIAN(Instances!C62:Instances!C62),"min", MIN(Instances!C62:Instances!C62),"max", MAX(Instances!C62:Instances!C62),"diff", MAX(Instances!C62:Instances!C62)-MIN(Instances!C62:Instances!C62))</f>
        <v>0</v>
      </c>
      <c r="D62" s="1" cm="1">
        <f t="array" ref="D62">_xlfn.SWITCH($A$2,"average", AVERAGE(Instances!D62:Instances!D62),"median", MEDIAN(Instances!D62:Instances!D62),"min", MIN(Instances!D62:Instances!D62),"max", MAX(Instances!D62:Instances!D62),"diff", MAX(Instances!D62:Instances!D62)-MIN(Instances!D62:Instances!D62))</f>
        <v>0</v>
      </c>
      <c r="E62" s="1" cm="1">
        <f t="array" ref="E62">_xlfn.SWITCH($A$2,"average", AVERAGE(Instances!E62:Instances!E62),"median", MEDIAN(Instances!E62:Instances!E62),"min", MIN(Instances!E62:Instances!E62),"max", MAX(Instances!E62:Instances!E62),"diff", MAX(Instances!E62:Instances!E62)-MIN(Instances!E62:Instances!E62))</f>
        <v>0</v>
      </c>
      <c r="F62" s="1" cm="1">
        <f t="array" ref="F62">_xlfn.SWITCH($A$2,"average", AVERAGE(Instances!F62:Instances!F62),"median", MEDIAN(Instances!F62:Instances!F62),"min", MIN(Instances!F62:Instances!F62),"max", MAX(Instances!F62:Instances!F62),"diff", MAX(Instances!F62:Instances!F62)-MIN(Instances!F62:Instances!F62))</f>
        <v>0</v>
      </c>
      <c r="G62" s="1" cm="1">
        <f t="array" ref="G62">_xlfn.SWITCH($A$2,"average", AVERAGE(Instances!G62:Instances!G62),"median", MEDIAN(Instances!G62:Instances!G62),"min", MIN(Instances!G62:Instances!G62),"max", MAX(Instances!G62:Instances!G62),"diff", MAX(Instances!G62:Instances!G62)-MIN(Instances!G62:Instances!G62))</f>
        <v>0</v>
      </c>
      <c r="H62" s="1" cm="1">
        <f t="array" ref="H62">_xlfn.SWITCH($A$2,"average", AVERAGE(Instances!H62:Instances!H62),"median", MEDIAN(Instances!H62:Instances!H62),"min", MIN(Instances!H62:Instances!H62),"max", MAX(Instances!H62:Instances!H62),"diff", MAX(Instances!H62:Instances!H62)-MIN(Instances!H62:Instances!H62))</f>
        <v>0</v>
      </c>
      <c r="I62" s="1" cm="1">
        <f t="array" ref="I62">_xlfn.SWITCH($A$2,"average", AVERAGE(Instances!I62:Instances!I62),"median", MEDIAN(Instances!I62:Instances!I62),"min", MIN(Instances!I62:Instances!I62),"max", MAX(Instances!I62:Instances!I62),"diff", MAX(Instances!I62:Instances!I62)-MIN(Instances!I62:Instances!I62))</f>
        <v>0</v>
      </c>
      <c r="J62" s="1">
        <f>MIN($B62,$D62,$F62,$H62)</f>
        <v>0</v>
      </c>
      <c r="K62" s="1">
        <f>MIN($C62,$E62,$G62,$I62)</f>
        <v>0</v>
      </c>
      <c r="L62" s="1">
        <f>MEDIAN($B62,$D62,$F62,$H62)</f>
        <v>0</v>
      </c>
      <c r="M62" s="1">
        <f>MEDIAN($C62,$E62,$G62,$I62)</f>
        <v>0</v>
      </c>
      <c r="N62" s="1">
        <f>MAX($B62,$D62,$F62,$H62)</f>
        <v>0</v>
      </c>
      <c r="O62" s="1">
        <f>MAX($C62,$E62,$G62,$I62)</f>
        <v>0</v>
      </c>
    </row>
    <row r="63" spans="1:15">
      <c r="A63" s="1" t="s">
        <v>60</v>
      </c>
      <c r="B63" s="1" cm="1">
        <f t="array" ref="B63">_xlfn.SWITCH($A$2,"average", AVERAGE(Instances!B63:Instances!B63),"median", MEDIAN(Instances!B63:Instances!B63),"min", MIN(Instances!B63:Instances!B63),"max", MAX(Instances!B63:Instances!B63),"diff", MAX(Instances!B63:Instances!B63)-MIN(Instances!B63:Instances!B63))</f>
        <v>0</v>
      </c>
      <c r="C63" s="1" cm="1">
        <f t="array" ref="C63">_xlfn.SWITCH($A$2,"average", AVERAGE(Instances!C63:Instances!C63),"median", MEDIAN(Instances!C63:Instances!C63),"min", MIN(Instances!C63:Instances!C63),"max", MAX(Instances!C63:Instances!C63),"diff", MAX(Instances!C63:Instances!C63)-MIN(Instances!C63:Instances!C63))</f>
        <v>0</v>
      </c>
      <c r="D63" s="1" cm="1">
        <f t="array" ref="D63">_xlfn.SWITCH($A$2,"average", AVERAGE(Instances!D63:Instances!D63),"median", MEDIAN(Instances!D63:Instances!D63),"min", MIN(Instances!D63:Instances!D63),"max", MAX(Instances!D63:Instances!D63),"diff", MAX(Instances!D63:Instances!D63)-MIN(Instances!D63:Instances!D63))</f>
        <v>0</v>
      </c>
      <c r="E63" s="1" cm="1">
        <f t="array" ref="E63">_xlfn.SWITCH($A$2,"average", AVERAGE(Instances!E63:Instances!E63),"median", MEDIAN(Instances!E63:Instances!E63),"min", MIN(Instances!E63:Instances!E63),"max", MAX(Instances!E63:Instances!E63),"diff", MAX(Instances!E63:Instances!E63)-MIN(Instances!E63:Instances!E63))</f>
        <v>0</v>
      </c>
      <c r="F63" s="1" cm="1">
        <f t="array" ref="F63">_xlfn.SWITCH($A$2,"average", AVERAGE(Instances!F63:Instances!F63),"median", MEDIAN(Instances!F63:Instances!F63),"min", MIN(Instances!F63:Instances!F63),"max", MAX(Instances!F63:Instances!F63),"diff", MAX(Instances!F63:Instances!F63)-MIN(Instances!F63:Instances!F63))</f>
        <v>0</v>
      </c>
      <c r="G63" s="1" cm="1">
        <f t="array" ref="G63">_xlfn.SWITCH($A$2,"average", AVERAGE(Instances!G63:Instances!G63),"median", MEDIAN(Instances!G63:Instances!G63),"min", MIN(Instances!G63:Instances!G63),"max", MAX(Instances!G63:Instances!G63),"diff", MAX(Instances!G63:Instances!G63)-MIN(Instances!G63:Instances!G63))</f>
        <v>0</v>
      </c>
      <c r="H63" s="1" cm="1">
        <f t="array" ref="H63">_xlfn.SWITCH($A$2,"average", AVERAGE(Instances!H63:Instances!H63),"median", MEDIAN(Instances!H63:Instances!H63),"min", MIN(Instances!H63:Instances!H63),"max", MAX(Instances!H63:Instances!H63),"diff", MAX(Instances!H63:Instances!H63)-MIN(Instances!H63:Instances!H63))</f>
        <v>0</v>
      </c>
      <c r="I63" s="1" cm="1">
        <f t="array" ref="I63">_xlfn.SWITCH($A$2,"average", AVERAGE(Instances!I63:Instances!I63),"median", MEDIAN(Instances!I63:Instances!I63),"min", MIN(Instances!I63:Instances!I63),"max", MAX(Instances!I63:Instances!I63),"diff", MAX(Instances!I63:Instances!I63)-MIN(Instances!I63:Instances!I63))</f>
        <v>0</v>
      </c>
      <c r="J63" s="1">
        <f>MIN($B63,$D63,$F63,$H63)</f>
        <v>0</v>
      </c>
      <c r="K63" s="1">
        <f>MIN($C63,$E63,$G63,$I63)</f>
        <v>0</v>
      </c>
      <c r="L63" s="1">
        <f>MEDIAN($B63,$D63,$F63,$H63)</f>
        <v>0</v>
      </c>
      <c r="M63" s="1">
        <f>MEDIAN($C63,$E63,$G63,$I63)</f>
        <v>0</v>
      </c>
      <c r="N63" s="1">
        <f>MAX($B63,$D63,$F63,$H63)</f>
        <v>0</v>
      </c>
      <c r="O63" s="1">
        <f>MAX($C63,$E63,$G63,$I63)</f>
        <v>0</v>
      </c>
    </row>
    <row r="64" spans="1:15">
      <c r="A64" s="1" t="s">
        <v>61</v>
      </c>
      <c r="B64" s="1" cm="1">
        <f t="array" ref="B64">_xlfn.SWITCH($A$2,"average", AVERAGE(Instances!B64:Instances!B64),"median", MEDIAN(Instances!B64:Instances!B64),"min", MIN(Instances!B64:Instances!B64),"max", MAX(Instances!B64:Instances!B64),"diff", MAX(Instances!B64:Instances!B64)-MIN(Instances!B64:Instances!B64))</f>
        <v>0</v>
      </c>
      <c r="C64" s="1" cm="1">
        <f t="array" ref="C64">_xlfn.SWITCH($A$2,"average", AVERAGE(Instances!C64:Instances!C64),"median", MEDIAN(Instances!C64:Instances!C64),"min", MIN(Instances!C64:Instances!C64),"max", MAX(Instances!C64:Instances!C64),"diff", MAX(Instances!C64:Instances!C64)-MIN(Instances!C64:Instances!C64))</f>
        <v>0</v>
      </c>
      <c r="D64" s="1" cm="1">
        <f t="array" ref="D64">_xlfn.SWITCH($A$2,"average", AVERAGE(Instances!D64:Instances!D64),"median", MEDIAN(Instances!D64:Instances!D64),"min", MIN(Instances!D64:Instances!D64),"max", MAX(Instances!D64:Instances!D64),"diff", MAX(Instances!D64:Instances!D64)-MIN(Instances!D64:Instances!D64))</f>
        <v>0</v>
      </c>
      <c r="E64" s="1" cm="1">
        <f t="array" ref="E64">_xlfn.SWITCH($A$2,"average", AVERAGE(Instances!E64:Instances!E64),"median", MEDIAN(Instances!E64:Instances!E64),"min", MIN(Instances!E64:Instances!E64),"max", MAX(Instances!E64:Instances!E64),"diff", MAX(Instances!E64:Instances!E64)-MIN(Instances!E64:Instances!E64))</f>
        <v>0</v>
      </c>
      <c r="F64" s="1" cm="1">
        <f t="array" ref="F64">_xlfn.SWITCH($A$2,"average", AVERAGE(Instances!F64:Instances!F64),"median", MEDIAN(Instances!F64:Instances!F64),"min", MIN(Instances!F64:Instances!F64),"max", MAX(Instances!F64:Instances!F64),"diff", MAX(Instances!F64:Instances!F64)-MIN(Instances!F64:Instances!F64))</f>
        <v>0</v>
      </c>
      <c r="G64" s="1" cm="1">
        <f t="array" ref="G64">_xlfn.SWITCH($A$2,"average", AVERAGE(Instances!G64:Instances!G64),"median", MEDIAN(Instances!G64:Instances!G64),"min", MIN(Instances!G64:Instances!G64),"max", MAX(Instances!G64:Instances!G64),"diff", MAX(Instances!G64:Instances!G64)-MIN(Instances!G64:Instances!G64))</f>
        <v>0</v>
      </c>
      <c r="H64" s="1" cm="1">
        <f t="array" ref="H64">_xlfn.SWITCH($A$2,"average", AVERAGE(Instances!H64:Instances!H64),"median", MEDIAN(Instances!H64:Instances!H64),"min", MIN(Instances!H64:Instances!H64),"max", MAX(Instances!H64:Instances!H64),"diff", MAX(Instances!H64:Instances!H64)-MIN(Instances!H64:Instances!H64))</f>
        <v>0</v>
      </c>
      <c r="I64" s="1" cm="1">
        <f t="array" ref="I64">_xlfn.SWITCH($A$2,"average", AVERAGE(Instances!I64:Instances!I64),"median", MEDIAN(Instances!I64:Instances!I64),"min", MIN(Instances!I64:Instances!I64),"max", MAX(Instances!I64:Instances!I64),"diff", MAX(Instances!I64:Instances!I64)-MIN(Instances!I64:Instances!I64))</f>
        <v>0</v>
      </c>
      <c r="J64" s="1">
        <f>MIN($B64,$D64,$F64,$H64)</f>
        <v>0</v>
      </c>
      <c r="K64" s="1">
        <f>MIN($C64,$E64,$G64,$I64)</f>
        <v>0</v>
      </c>
      <c r="L64" s="1">
        <f>MEDIAN($B64,$D64,$F64,$H64)</f>
        <v>0</v>
      </c>
      <c r="M64" s="1">
        <f>MEDIAN($C64,$E64,$G64,$I64)</f>
        <v>0</v>
      </c>
      <c r="N64" s="1">
        <f>MAX($B64,$D64,$F64,$H64)</f>
        <v>0</v>
      </c>
      <c r="O64" s="1">
        <f>MAX($C64,$E64,$G64,$I64)</f>
        <v>0</v>
      </c>
    </row>
    <row r="65" spans="1:15">
      <c r="A65" s="1" t="s">
        <v>62</v>
      </c>
      <c r="B65" s="1" cm="1">
        <f t="array" ref="B65">_xlfn.SWITCH($A$2,"average", AVERAGE(Instances!B65:Instances!B65),"median", MEDIAN(Instances!B65:Instances!B65),"min", MIN(Instances!B65:Instances!B65),"max", MAX(Instances!B65:Instances!B65),"diff", MAX(Instances!B65:Instances!B65)-MIN(Instances!B65:Instances!B65))</f>
        <v>0</v>
      </c>
      <c r="C65" s="1" cm="1">
        <f t="array" ref="C65">_xlfn.SWITCH($A$2,"average", AVERAGE(Instances!C65:Instances!C65),"median", MEDIAN(Instances!C65:Instances!C65),"min", MIN(Instances!C65:Instances!C65),"max", MAX(Instances!C65:Instances!C65),"diff", MAX(Instances!C65:Instances!C65)-MIN(Instances!C65:Instances!C65))</f>
        <v>0</v>
      </c>
      <c r="D65" s="1" cm="1">
        <f t="array" ref="D65">_xlfn.SWITCH($A$2,"average", AVERAGE(Instances!D65:Instances!D65),"median", MEDIAN(Instances!D65:Instances!D65),"min", MIN(Instances!D65:Instances!D65),"max", MAX(Instances!D65:Instances!D65),"diff", MAX(Instances!D65:Instances!D65)-MIN(Instances!D65:Instances!D65))</f>
        <v>0</v>
      </c>
      <c r="E65" s="1" cm="1">
        <f t="array" ref="E65">_xlfn.SWITCH($A$2,"average", AVERAGE(Instances!E65:Instances!E65),"median", MEDIAN(Instances!E65:Instances!E65),"min", MIN(Instances!E65:Instances!E65),"max", MAX(Instances!E65:Instances!E65),"diff", MAX(Instances!E65:Instances!E65)-MIN(Instances!E65:Instances!E65))</f>
        <v>0</v>
      </c>
      <c r="F65" s="1" cm="1">
        <f t="array" ref="F65">_xlfn.SWITCH($A$2,"average", AVERAGE(Instances!F65:Instances!F65),"median", MEDIAN(Instances!F65:Instances!F65),"min", MIN(Instances!F65:Instances!F65),"max", MAX(Instances!F65:Instances!F65),"diff", MAX(Instances!F65:Instances!F65)-MIN(Instances!F65:Instances!F65))</f>
        <v>0</v>
      </c>
      <c r="G65" s="1" cm="1">
        <f t="array" ref="G65">_xlfn.SWITCH($A$2,"average", AVERAGE(Instances!G65:Instances!G65),"median", MEDIAN(Instances!G65:Instances!G65),"min", MIN(Instances!G65:Instances!G65),"max", MAX(Instances!G65:Instances!G65),"diff", MAX(Instances!G65:Instances!G65)-MIN(Instances!G65:Instances!G65))</f>
        <v>0</v>
      </c>
      <c r="H65" s="1" cm="1">
        <f t="array" ref="H65">_xlfn.SWITCH($A$2,"average", AVERAGE(Instances!H65:Instances!H65),"median", MEDIAN(Instances!H65:Instances!H65),"min", MIN(Instances!H65:Instances!H65),"max", MAX(Instances!H65:Instances!H65),"diff", MAX(Instances!H65:Instances!H65)-MIN(Instances!H65:Instances!H65))</f>
        <v>0</v>
      </c>
      <c r="I65" s="1" cm="1">
        <f t="array" ref="I65">_xlfn.SWITCH($A$2,"average", AVERAGE(Instances!I65:Instances!I65),"median", MEDIAN(Instances!I65:Instances!I65),"min", MIN(Instances!I65:Instances!I65),"max", MAX(Instances!I65:Instances!I65),"diff", MAX(Instances!I65:Instances!I65)-MIN(Instances!I65:Instances!I65))</f>
        <v>0</v>
      </c>
      <c r="J65" s="1">
        <f>MIN($B65,$D65,$F65,$H65)</f>
        <v>0</v>
      </c>
      <c r="K65" s="1">
        <f>MIN($C65,$E65,$G65,$I65)</f>
        <v>0</v>
      </c>
      <c r="L65" s="1">
        <f>MEDIAN($B65,$D65,$F65,$H65)</f>
        <v>0</v>
      </c>
      <c r="M65" s="1">
        <f>MEDIAN($C65,$E65,$G65,$I65)</f>
        <v>0</v>
      </c>
      <c r="N65" s="1">
        <f>MAX($B65,$D65,$F65,$H65)</f>
        <v>0</v>
      </c>
      <c r="O65" s="1">
        <f>MAX($C65,$E65,$G65,$I65)</f>
        <v>0</v>
      </c>
    </row>
    <row r="66" spans="1:15">
      <c r="A66" s="1" t="s">
        <v>63</v>
      </c>
      <c r="B66" s="1" cm="1">
        <f t="array" ref="B66">_xlfn.SWITCH($A$2,"average", AVERAGE(Instances!B66:Instances!B66),"median", MEDIAN(Instances!B66:Instances!B66),"min", MIN(Instances!B66:Instances!B66),"max", MAX(Instances!B66:Instances!B66),"diff", MAX(Instances!B66:Instances!B66)-MIN(Instances!B66:Instances!B66))</f>
        <v>0</v>
      </c>
      <c r="C66" s="1" cm="1">
        <f t="array" ref="C66">_xlfn.SWITCH($A$2,"average", AVERAGE(Instances!C66:Instances!C66),"median", MEDIAN(Instances!C66:Instances!C66),"min", MIN(Instances!C66:Instances!C66),"max", MAX(Instances!C66:Instances!C66),"diff", MAX(Instances!C66:Instances!C66)-MIN(Instances!C66:Instances!C66))</f>
        <v>0</v>
      </c>
      <c r="D66" s="1" cm="1">
        <f t="array" ref="D66">_xlfn.SWITCH($A$2,"average", AVERAGE(Instances!D66:Instances!D66),"median", MEDIAN(Instances!D66:Instances!D66),"min", MIN(Instances!D66:Instances!D66),"max", MAX(Instances!D66:Instances!D66),"diff", MAX(Instances!D66:Instances!D66)-MIN(Instances!D66:Instances!D66))</f>
        <v>0</v>
      </c>
      <c r="E66" s="1" cm="1">
        <f t="array" ref="E66">_xlfn.SWITCH($A$2,"average", AVERAGE(Instances!E66:Instances!E66),"median", MEDIAN(Instances!E66:Instances!E66),"min", MIN(Instances!E66:Instances!E66),"max", MAX(Instances!E66:Instances!E66),"diff", MAX(Instances!E66:Instances!E66)-MIN(Instances!E66:Instances!E66))</f>
        <v>0</v>
      </c>
      <c r="F66" s="1" cm="1">
        <f t="array" ref="F66">_xlfn.SWITCH($A$2,"average", AVERAGE(Instances!F66:Instances!F66),"median", MEDIAN(Instances!F66:Instances!F66),"min", MIN(Instances!F66:Instances!F66),"max", MAX(Instances!F66:Instances!F66),"diff", MAX(Instances!F66:Instances!F66)-MIN(Instances!F66:Instances!F66))</f>
        <v>0</v>
      </c>
      <c r="G66" s="1" cm="1">
        <f t="array" ref="G66">_xlfn.SWITCH($A$2,"average", AVERAGE(Instances!G66:Instances!G66),"median", MEDIAN(Instances!G66:Instances!G66),"min", MIN(Instances!G66:Instances!G66),"max", MAX(Instances!G66:Instances!G66),"diff", MAX(Instances!G66:Instances!G66)-MIN(Instances!G66:Instances!G66))</f>
        <v>0</v>
      </c>
      <c r="H66" s="1" cm="1">
        <f t="array" ref="H66">_xlfn.SWITCH($A$2,"average", AVERAGE(Instances!H66:Instances!H66),"median", MEDIAN(Instances!H66:Instances!H66),"min", MIN(Instances!H66:Instances!H66),"max", MAX(Instances!H66:Instances!H66),"diff", MAX(Instances!H66:Instances!H66)-MIN(Instances!H66:Instances!H66))</f>
        <v>0</v>
      </c>
      <c r="I66" s="1" cm="1">
        <f t="array" ref="I66">_xlfn.SWITCH($A$2,"average", AVERAGE(Instances!I66:Instances!I66),"median", MEDIAN(Instances!I66:Instances!I66),"min", MIN(Instances!I66:Instances!I66),"max", MAX(Instances!I66:Instances!I66),"diff", MAX(Instances!I66:Instances!I66)-MIN(Instances!I66:Instances!I66))</f>
        <v>0</v>
      </c>
      <c r="J66" s="1">
        <f>MIN($B66,$D66,$F66,$H66)</f>
        <v>0</v>
      </c>
      <c r="K66" s="1">
        <f>MIN($C66,$E66,$G66,$I66)</f>
        <v>0</v>
      </c>
      <c r="L66" s="1">
        <f>MEDIAN($B66,$D66,$F66,$H66)</f>
        <v>0</v>
      </c>
      <c r="M66" s="1">
        <f>MEDIAN($C66,$E66,$G66,$I66)</f>
        <v>0</v>
      </c>
      <c r="N66" s="1">
        <f>MAX($B66,$D66,$F66,$H66)</f>
        <v>0</v>
      </c>
      <c r="O66" s="1">
        <f>MAX($C66,$E66,$G66,$I66)</f>
        <v>0</v>
      </c>
    </row>
    <row r="67" spans="1:15">
      <c r="A67" s="1" t="s">
        <v>64</v>
      </c>
      <c r="B67" s="1" cm="1">
        <f t="array" ref="B67">_xlfn.SWITCH($A$2,"average", AVERAGE(Instances!B67:Instances!B67),"median", MEDIAN(Instances!B67:Instances!B67),"min", MIN(Instances!B67:Instances!B67),"max", MAX(Instances!B67:Instances!B67),"diff", MAX(Instances!B67:Instances!B67)-MIN(Instances!B67:Instances!B67))</f>
        <v>0</v>
      </c>
      <c r="C67" s="1" cm="1">
        <f t="array" ref="C67">_xlfn.SWITCH($A$2,"average", AVERAGE(Instances!C67:Instances!C67),"median", MEDIAN(Instances!C67:Instances!C67),"min", MIN(Instances!C67:Instances!C67),"max", MAX(Instances!C67:Instances!C67),"diff", MAX(Instances!C67:Instances!C67)-MIN(Instances!C67:Instances!C67))</f>
        <v>0</v>
      </c>
      <c r="D67" s="1" cm="1">
        <f t="array" ref="D67">_xlfn.SWITCH($A$2,"average", AVERAGE(Instances!D67:Instances!D67),"median", MEDIAN(Instances!D67:Instances!D67),"min", MIN(Instances!D67:Instances!D67),"max", MAX(Instances!D67:Instances!D67),"diff", MAX(Instances!D67:Instances!D67)-MIN(Instances!D67:Instances!D67))</f>
        <v>0</v>
      </c>
      <c r="E67" s="1" cm="1">
        <f t="array" ref="E67">_xlfn.SWITCH($A$2,"average", AVERAGE(Instances!E67:Instances!E67),"median", MEDIAN(Instances!E67:Instances!E67),"min", MIN(Instances!E67:Instances!E67),"max", MAX(Instances!E67:Instances!E67),"diff", MAX(Instances!E67:Instances!E67)-MIN(Instances!E67:Instances!E67))</f>
        <v>0</v>
      </c>
      <c r="F67" s="1" cm="1">
        <f t="array" ref="F67">_xlfn.SWITCH($A$2,"average", AVERAGE(Instances!F67:Instances!F67),"median", MEDIAN(Instances!F67:Instances!F67),"min", MIN(Instances!F67:Instances!F67),"max", MAX(Instances!F67:Instances!F67),"diff", MAX(Instances!F67:Instances!F67)-MIN(Instances!F67:Instances!F67))</f>
        <v>0</v>
      </c>
      <c r="G67" s="1" cm="1">
        <f t="array" ref="G67">_xlfn.SWITCH($A$2,"average", AVERAGE(Instances!G67:Instances!G67),"median", MEDIAN(Instances!G67:Instances!G67),"min", MIN(Instances!G67:Instances!G67),"max", MAX(Instances!G67:Instances!G67),"diff", MAX(Instances!G67:Instances!G67)-MIN(Instances!G67:Instances!G67))</f>
        <v>0</v>
      </c>
      <c r="H67" s="1" cm="1">
        <f t="array" ref="H67">_xlfn.SWITCH($A$2,"average", AVERAGE(Instances!H67:Instances!H67),"median", MEDIAN(Instances!H67:Instances!H67),"min", MIN(Instances!H67:Instances!H67),"max", MAX(Instances!H67:Instances!H67),"diff", MAX(Instances!H67:Instances!H67)-MIN(Instances!H67:Instances!H67))</f>
        <v>0</v>
      </c>
      <c r="I67" s="1" cm="1">
        <f t="array" ref="I67">_xlfn.SWITCH($A$2,"average", AVERAGE(Instances!I67:Instances!I67),"median", MEDIAN(Instances!I67:Instances!I67),"min", MIN(Instances!I67:Instances!I67),"max", MAX(Instances!I67:Instances!I67),"diff", MAX(Instances!I67:Instances!I67)-MIN(Instances!I67:Instances!I67))</f>
        <v>0</v>
      </c>
      <c r="J67" s="1">
        <f>MIN($B67,$D67,$F67,$H67)</f>
        <v>0</v>
      </c>
      <c r="K67" s="1">
        <f>MIN($C67,$E67,$G67,$I67)</f>
        <v>0</v>
      </c>
      <c r="L67" s="1">
        <f>MEDIAN($B67,$D67,$F67,$H67)</f>
        <v>0</v>
      </c>
      <c r="M67" s="1">
        <f>MEDIAN($C67,$E67,$G67,$I67)</f>
        <v>0</v>
      </c>
      <c r="N67" s="1">
        <f>MAX($B67,$D67,$F67,$H67)</f>
        <v>0</v>
      </c>
      <c r="O67" s="1">
        <f>MAX($C67,$E67,$G67,$I67)</f>
        <v>0</v>
      </c>
    </row>
    <row r="68" spans="1:15">
      <c r="A68" s="1" t="s">
        <v>65</v>
      </c>
      <c r="B68" s="1" cm="1">
        <f t="array" ref="B68">_xlfn.SWITCH($A$2,"average", AVERAGE(Instances!B68:Instances!B68),"median", MEDIAN(Instances!B68:Instances!B68),"min", MIN(Instances!B68:Instances!B68),"max", MAX(Instances!B68:Instances!B68),"diff", MAX(Instances!B68:Instances!B68)-MIN(Instances!B68:Instances!B68))</f>
        <v>0</v>
      </c>
      <c r="C68" s="1" cm="1">
        <f t="array" ref="C68">_xlfn.SWITCH($A$2,"average", AVERAGE(Instances!C68:Instances!C68),"median", MEDIAN(Instances!C68:Instances!C68),"min", MIN(Instances!C68:Instances!C68),"max", MAX(Instances!C68:Instances!C68),"diff", MAX(Instances!C68:Instances!C68)-MIN(Instances!C68:Instances!C68))</f>
        <v>0</v>
      </c>
      <c r="D68" s="1" cm="1">
        <f t="array" ref="D68">_xlfn.SWITCH($A$2,"average", AVERAGE(Instances!D68:Instances!D68),"median", MEDIAN(Instances!D68:Instances!D68),"min", MIN(Instances!D68:Instances!D68),"max", MAX(Instances!D68:Instances!D68),"diff", MAX(Instances!D68:Instances!D68)-MIN(Instances!D68:Instances!D68))</f>
        <v>0</v>
      </c>
      <c r="E68" s="1" cm="1">
        <f t="array" ref="E68">_xlfn.SWITCH($A$2,"average", AVERAGE(Instances!E68:Instances!E68),"median", MEDIAN(Instances!E68:Instances!E68),"min", MIN(Instances!E68:Instances!E68),"max", MAX(Instances!E68:Instances!E68),"diff", MAX(Instances!E68:Instances!E68)-MIN(Instances!E68:Instances!E68))</f>
        <v>0</v>
      </c>
      <c r="F68" s="1" cm="1">
        <f t="array" ref="F68">_xlfn.SWITCH($A$2,"average", AVERAGE(Instances!F68:Instances!F68),"median", MEDIAN(Instances!F68:Instances!F68),"min", MIN(Instances!F68:Instances!F68),"max", MAX(Instances!F68:Instances!F68),"diff", MAX(Instances!F68:Instances!F68)-MIN(Instances!F68:Instances!F68))</f>
        <v>0</v>
      </c>
      <c r="G68" s="1" cm="1">
        <f t="array" ref="G68">_xlfn.SWITCH($A$2,"average", AVERAGE(Instances!G68:Instances!G68),"median", MEDIAN(Instances!G68:Instances!G68),"min", MIN(Instances!G68:Instances!G68),"max", MAX(Instances!G68:Instances!G68),"diff", MAX(Instances!G68:Instances!G68)-MIN(Instances!G68:Instances!G68))</f>
        <v>0</v>
      </c>
      <c r="H68" s="1" cm="1">
        <f t="array" ref="H68">_xlfn.SWITCH($A$2,"average", AVERAGE(Instances!H68:Instances!H68),"median", MEDIAN(Instances!H68:Instances!H68),"min", MIN(Instances!H68:Instances!H68),"max", MAX(Instances!H68:Instances!H68),"diff", MAX(Instances!H68:Instances!H68)-MIN(Instances!H68:Instances!H68))</f>
        <v>0</v>
      </c>
      <c r="I68" s="1" cm="1">
        <f t="array" ref="I68">_xlfn.SWITCH($A$2,"average", AVERAGE(Instances!I68:Instances!I68),"median", MEDIAN(Instances!I68:Instances!I68),"min", MIN(Instances!I68:Instances!I68),"max", MAX(Instances!I68:Instances!I68),"diff", MAX(Instances!I68:Instances!I68)-MIN(Instances!I68:Instances!I68))</f>
        <v>0</v>
      </c>
      <c r="J68" s="1">
        <f>MIN($B68,$D68,$F68,$H68)</f>
        <v>0</v>
      </c>
      <c r="K68" s="1">
        <f>MIN($C68,$E68,$G68,$I68)</f>
        <v>0</v>
      </c>
      <c r="L68" s="1">
        <f>MEDIAN($B68,$D68,$F68,$H68)</f>
        <v>0</v>
      </c>
      <c r="M68" s="1">
        <f>MEDIAN($C68,$E68,$G68,$I68)</f>
        <v>0</v>
      </c>
      <c r="N68" s="1">
        <f>MAX($B68,$D68,$F68,$H68)</f>
        <v>0</v>
      </c>
      <c r="O68" s="1">
        <f>MAX($C68,$E68,$G68,$I68)</f>
        <v>0</v>
      </c>
    </row>
    <row r="69" spans="1:15">
      <c r="A69" s="1" t="s">
        <v>66</v>
      </c>
      <c r="B69" s="1" cm="1">
        <f t="array" ref="B69">_xlfn.SWITCH($A$2,"average", AVERAGE(Instances!B69:Instances!B69),"median", MEDIAN(Instances!B69:Instances!B69),"min", MIN(Instances!B69:Instances!B69),"max", MAX(Instances!B69:Instances!B69),"diff", MAX(Instances!B69:Instances!B69)-MIN(Instances!B69:Instances!B69))</f>
        <v>0</v>
      </c>
      <c r="C69" s="1" cm="1">
        <f t="array" ref="C69">_xlfn.SWITCH($A$2,"average", AVERAGE(Instances!C69:Instances!C69),"median", MEDIAN(Instances!C69:Instances!C69),"min", MIN(Instances!C69:Instances!C69),"max", MAX(Instances!C69:Instances!C69),"diff", MAX(Instances!C69:Instances!C69)-MIN(Instances!C69:Instances!C69))</f>
        <v>0</v>
      </c>
      <c r="D69" s="1" cm="1">
        <f t="array" ref="D69">_xlfn.SWITCH($A$2,"average", AVERAGE(Instances!D69:Instances!D69),"median", MEDIAN(Instances!D69:Instances!D69),"min", MIN(Instances!D69:Instances!D69),"max", MAX(Instances!D69:Instances!D69),"diff", MAX(Instances!D69:Instances!D69)-MIN(Instances!D69:Instances!D69))</f>
        <v>0</v>
      </c>
      <c r="E69" s="1" cm="1">
        <f t="array" ref="E69">_xlfn.SWITCH($A$2,"average", AVERAGE(Instances!E69:Instances!E69),"median", MEDIAN(Instances!E69:Instances!E69),"min", MIN(Instances!E69:Instances!E69),"max", MAX(Instances!E69:Instances!E69),"diff", MAX(Instances!E69:Instances!E69)-MIN(Instances!E69:Instances!E69))</f>
        <v>0</v>
      </c>
      <c r="F69" s="1" cm="1">
        <f t="array" ref="F69">_xlfn.SWITCH($A$2,"average", AVERAGE(Instances!F69:Instances!F69),"median", MEDIAN(Instances!F69:Instances!F69),"min", MIN(Instances!F69:Instances!F69),"max", MAX(Instances!F69:Instances!F69),"diff", MAX(Instances!F69:Instances!F69)-MIN(Instances!F69:Instances!F69))</f>
        <v>0</v>
      </c>
      <c r="G69" s="1" cm="1">
        <f t="array" ref="G69">_xlfn.SWITCH($A$2,"average", AVERAGE(Instances!G69:Instances!G69),"median", MEDIAN(Instances!G69:Instances!G69),"min", MIN(Instances!G69:Instances!G69),"max", MAX(Instances!G69:Instances!G69),"diff", MAX(Instances!G69:Instances!G69)-MIN(Instances!G69:Instances!G69))</f>
        <v>0</v>
      </c>
      <c r="H69" s="1" cm="1">
        <f t="array" ref="H69">_xlfn.SWITCH($A$2,"average", AVERAGE(Instances!H69:Instances!H69),"median", MEDIAN(Instances!H69:Instances!H69),"min", MIN(Instances!H69:Instances!H69),"max", MAX(Instances!H69:Instances!H69),"diff", MAX(Instances!H69:Instances!H69)-MIN(Instances!H69:Instances!H69))</f>
        <v>0</v>
      </c>
      <c r="I69" s="1" cm="1">
        <f t="array" ref="I69">_xlfn.SWITCH($A$2,"average", AVERAGE(Instances!I69:Instances!I69),"median", MEDIAN(Instances!I69:Instances!I69),"min", MIN(Instances!I69:Instances!I69),"max", MAX(Instances!I69:Instances!I69),"diff", MAX(Instances!I69:Instances!I69)-MIN(Instances!I69:Instances!I69))</f>
        <v>0</v>
      </c>
      <c r="J69" s="1">
        <f>MIN($B69,$D69,$F69,$H69)</f>
        <v>0</v>
      </c>
      <c r="K69" s="1">
        <f>MIN($C69,$E69,$G69,$I69)</f>
        <v>0</v>
      </c>
      <c r="L69" s="1">
        <f>MEDIAN($B69,$D69,$F69,$H69)</f>
        <v>0</v>
      </c>
      <c r="M69" s="1">
        <f>MEDIAN($C69,$E69,$G69,$I69)</f>
        <v>0</v>
      </c>
      <c r="N69" s="1">
        <f>MAX($B69,$D69,$F69,$H69)</f>
        <v>0</v>
      </c>
      <c r="O69" s="1">
        <f>MAX($C69,$E69,$G69,$I69)</f>
        <v>0</v>
      </c>
    </row>
    <row r="70" spans="1:15">
      <c r="A70" s="1" t="s">
        <v>67</v>
      </c>
      <c r="B70" s="1" cm="1">
        <f t="array" ref="B70">_xlfn.SWITCH($A$2,"average", AVERAGE(Instances!B70:Instances!B70),"median", MEDIAN(Instances!B70:Instances!B70),"min", MIN(Instances!B70:Instances!B70),"max", MAX(Instances!B70:Instances!B70),"diff", MAX(Instances!B70:Instances!B70)-MIN(Instances!B70:Instances!B70))</f>
        <v>0</v>
      </c>
      <c r="C70" s="1" cm="1">
        <f t="array" ref="C70">_xlfn.SWITCH($A$2,"average", AVERAGE(Instances!C70:Instances!C70),"median", MEDIAN(Instances!C70:Instances!C70),"min", MIN(Instances!C70:Instances!C70),"max", MAX(Instances!C70:Instances!C70),"diff", MAX(Instances!C70:Instances!C70)-MIN(Instances!C70:Instances!C70))</f>
        <v>0</v>
      </c>
      <c r="D70" s="1" cm="1">
        <f t="array" ref="D70">_xlfn.SWITCH($A$2,"average", AVERAGE(Instances!D70:Instances!D70),"median", MEDIAN(Instances!D70:Instances!D70),"min", MIN(Instances!D70:Instances!D70),"max", MAX(Instances!D70:Instances!D70),"diff", MAX(Instances!D70:Instances!D70)-MIN(Instances!D70:Instances!D70))</f>
        <v>0</v>
      </c>
      <c r="E70" s="1" cm="1">
        <f t="array" ref="E70">_xlfn.SWITCH($A$2,"average", AVERAGE(Instances!E70:Instances!E70),"median", MEDIAN(Instances!E70:Instances!E70),"min", MIN(Instances!E70:Instances!E70),"max", MAX(Instances!E70:Instances!E70),"diff", MAX(Instances!E70:Instances!E70)-MIN(Instances!E70:Instances!E70))</f>
        <v>0</v>
      </c>
      <c r="F70" s="1" cm="1">
        <f t="array" ref="F70">_xlfn.SWITCH($A$2,"average", AVERAGE(Instances!F70:Instances!F70),"median", MEDIAN(Instances!F70:Instances!F70),"min", MIN(Instances!F70:Instances!F70),"max", MAX(Instances!F70:Instances!F70),"diff", MAX(Instances!F70:Instances!F70)-MIN(Instances!F70:Instances!F70))</f>
        <v>0</v>
      </c>
      <c r="G70" s="1" cm="1">
        <f t="array" ref="G70">_xlfn.SWITCH($A$2,"average", AVERAGE(Instances!G70:Instances!G70),"median", MEDIAN(Instances!G70:Instances!G70),"min", MIN(Instances!G70:Instances!G70),"max", MAX(Instances!G70:Instances!G70),"diff", MAX(Instances!G70:Instances!G70)-MIN(Instances!G70:Instances!G70))</f>
        <v>0</v>
      </c>
      <c r="H70" s="1" cm="1">
        <f t="array" ref="H70">_xlfn.SWITCH($A$2,"average", AVERAGE(Instances!H70:Instances!H70),"median", MEDIAN(Instances!H70:Instances!H70),"min", MIN(Instances!H70:Instances!H70),"max", MAX(Instances!H70:Instances!H70),"diff", MAX(Instances!H70:Instances!H70)-MIN(Instances!H70:Instances!H70))</f>
        <v>0</v>
      </c>
      <c r="I70" s="1" cm="1">
        <f t="array" ref="I70">_xlfn.SWITCH($A$2,"average", AVERAGE(Instances!I70:Instances!I70),"median", MEDIAN(Instances!I70:Instances!I70),"min", MIN(Instances!I70:Instances!I70),"max", MAX(Instances!I70:Instances!I70),"diff", MAX(Instances!I70:Instances!I70)-MIN(Instances!I70:Instances!I70))</f>
        <v>0</v>
      </c>
      <c r="J70" s="1">
        <f>MIN($B70,$D70,$F70,$H70)</f>
        <v>0</v>
      </c>
      <c r="K70" s="1">
        <f>MIN($C70,$E70,$G70,$I70)</f>
        <v>0</v>
      </c>
      <c r="L70" s="1">
        <f>MEDIAN($B70,$D70,$F70,$H70)</f>
        <v>0</v>
      </c>
      <c r="M70" s="1">
        <f>MEDIAN($C70,$E70,$G70,$I70)</f>
        <v>0</v>
      </c>
      <c r="N70" s="1">
        <f>MAX($B70,$D70,$F70,$H70)</f>
        <v>0</v>
      </c>
      <c r="O70" s="1">
        <f>MAX($C70,$E70,$G70,$I70)</f>
        <v>0</v>
      </c>
    </row>
    <row r="71" spans="1:15">
      <c r="A71" s="1" t="s">
        <v>68</v>
      </c>
      <c r="B71" s="1" cm="1">
        <f t="array" ref="B71">_xlfn.SWITCH($A$2,"average", AVERAGE(Instances!B71:Instances!B71),"median", MEDIAN(Instances!B71:Instances!B71),"min", MIN(Instances!B71:Instances!B71),"max", MAX(Instances!B71:Instances!B71),"diff", MAX(Instances!B71:Instances!B71)-MIN(Instances!B71:Instances!B71))</f>
        <v>0</v>
      </c>
      <c r="C71" s="1" cm="1">
        <f t="array" ref="C71">_xlfn.SWITCH($A$2,"average", AVERAGE(Instances!C71:Instances!C71),"median", MEDIAN(Instances!C71:Instances!C71),"min", MIN(Instances!C71:Instances!C71),"max", MAX(Instances!C71:Instances!C71),"diff", MAX(Instances!C71:Instances!C71)-MIN(Instances!C71:Instances!C71))</f>
        <v>0</v>
      </c>
      <c r="D71" s="1" cm="1">
        <f t="array" ref="D71">_xlfn.SWITCH($A$2,"average", AVERAGE(Instances!D71:Instances!D71),"median", MEDIAN(Instances!D71:Instances!D71),"min", MIN(Instances!D71:Instances!D71),"max", MAX(Instances!D71:Instances!D71),"diff", MAX(Instances!D71:Instances!D71)-MIN(Instances!D71:Instances!D71))</f>
        <v>0</v>
      </c>
      <c r="E71" s="1" cm="1">
        <f t="array" ref="E71">_xlfn.SWITCH($A$2,"average", AVERAGE(Instances!E71:Instances!E71),"median", MEDIAN(Instances!E71:Instances!E71),"min", MIN(Instances!E71:Instances!E71),"max", MAX(Instances!E71:Instances!E71),"diff", MAX(Instances!E71:Instances!E71)-MIN(Instances!E71:Instances!E71))</f>
        <v>0</v>
      </c>
      <c r="F71" s="1" cm="1">
        <f t="array" ref="F71">_xlfn.SWITCH($A$2,"average", AVERAGE(Instances!F71:Instances!F71),"median", MEDIAN(Instances!F71:Instances!F71),"min", MIN(Instances!F71:Instances!F71),"max", MAX(Instances!F71:Instances!F71),"diff", MAX(Instances!F71:Instances!F71)-MIN(Instances!F71:Instances!F71))</f>
        <v>0</v>
      </c>
      <c r="G71" s="1" cm="1">
        <f t="array" ref="G71">_xlfn.SWITCH($A$2,"average", AVERAGE(Instances!G71:Instances!G71),"median", MEDIAN(Instances!G71:Instances!G71),"min", MIN(Instances!G71:Instances!G71),"max", MAX(Instances!G71:Instances!G71),"diff", MAX(Instances!G71:Instances!G71)-MIN(Instances!G71:Instances!G71))</f>
        <v>0</v>
      </c>
      <c r="H71" s="1" cm="1">
        <f t="array" ref="H71">_xlfn.SWITCH($A$2,"average", AVERAGE(Instances!H71:Instances!H71),"median", MEDIAN(Instances!H71:Instances!H71),"min", MIN(Instances!H71:Instances!H71),"max", MAX(Instances!H71:Instances!H71),"diff", MAX(Instances!H71:Instances!H71)-MIN(Instances!H71:Instances!H71))</f>
        <v>0</v>
      </c>
      <c r="I71" s="1" cm="1">
        <f t="array" ref="I71">_xlfn.SWITCH($A$2,"average", AVERAGE(Instances!I71:Instances!I71),"median", MEDIAN(Instances!I71:Instances!I71),"min", MIN(Instances!I71:Instances!I71),"max", MAX(Instances!I71:Instances!I71),"diff", MAX(Instances!I71:Instances!I71)-MIN(Instances!I71:Instances!I71))</f>
        <v>0</v>
      </c>
      <c r="J71" s="1">
        <f>MIN($B71,$D71,$F71,$H71)</f>
        <v>0</v>
      </c>
      <c r="K71" s="1">
        <f>MIN($C71,$E71,$G71,$I71)</f>
        <v>0</v>
      </c>
      <c r="L71" s="1">
        <f>MEDIAN($B71,$D71,$F71,$H71)</f>
        <v>0</v>
      </c>
      <c r="M71" s="1">
        <f>MEDIAN($C71,$E71,$G71,$I71)</f>
        <v>0</v>
      </c>
      <c r="N71" s="1">
        <f>MAX($B71,$D71,$F71,$H71)</f>
        <v>0</v>
      </c>
      <c r="O71" s="1">
        <f>MAX($C71,$E71,$G71,$I71)</f>
        <v>0</v>
      </c>
    </row>
    <row r="72" spans="1:15">
      <c r="A72" s="1" t="s">
        <v>69</v>
      </c>
      <c r="B72" s="1" cm="1">
        <f t="array" ref="B72">_xlfn.SWITCH($A$2,"average", AVERAGE(Instances!B72:Instances!B72),"median", MEDIAN(Instances!B72:Instances!B72),"min", MIN(Instances!B72:Instances!B72),"max", MAX(Instances!B72:Instances!B72),"diff", MAX(Instances!B72:Instances!B72)-MIN(Instances!B72:Instances!B72))</f>
        <v>0</v>
      </c>
      <c r="C72" s="1" cm="1">
        <f t="array" ref="C72">_xlfn.SWITCH($A$2,"average", AVERAGE(Instances!C72:Instances!C72),"median", MEDIAN(Instances!C72:Instances!C72),"min", MIN(Instances!C72:Instances!C72),"max", MAX(Instances!C72:Instances!C72),"diff", MAX(Instances!C72:Instances!C72)-MIN(Instances!C72:Instances!C72))</f>
        <v>0</v>
      </c>
      <c r="D72" s="1" cm="1">
        <f t="array" ref="D72">_xlfn.SWITCH($A$2,"average", AVERAGE(Instances!D72:Instances!D72),"median", MEDIAN(Instances!D72:Instances!D72),"min", MIN(Instances!D72:Instances!D72),"max", MAX(Instances!D72:Instances!D72),"diff", MAX(Instances!D72:Instances!D72)-MIN(Instances!D72:Instances!D72))</f>
        <v>0</v>
      </c>
      <c r="E72" s="1" cm="1">
        <f t="array" ref="E72">_xlfn.SWITCH($A$2,"average", AVERAGE(Instances!E72:Instances!E72),"median", MEDIAN(Instances!E72:Instances!E72),"min", MIN(Instances!E72:Instances!E72),"max", MAX(Instances!E72:Instances!E72),"diff", MAX(Instances!E72:Instances!E72)-MIN(Instances!E72:Instances!E72))</f>
        <v>0</v>
      </c>
      <c r="F72" s="1" cm="1">
        <f t="array" ref="F72">_xlfn.SWITCH($A$2,"average", AVERAGE(Instances!F72:Instances!F72),"median", MEDIAN(Instances!F72:Instances!F72),"min", MIN(Instances!F72:Instances!F72),"max", MAX(Instances!F72:Instances!F72),"diff", MAX(Instances!F72:Instances!F72)-MIN(Instances!F72:Instances!F72))</f>
        <v>0</v>
      </c>
      <c r="G72" s="1" cm="1">
        <f t="array" ref="G72">_xlfn.SWITCH($A$2,"average", AVERAGE(Instances!G72:Instances!G72),"median", MEDIAN(Instances!G72:Instances!G72),"min", MIN(Instances!G72:Instances!G72),"max", MAX(Instances!G72:Instances!G72),"diff", MAX(Instances!G72:Instances!G72)-MIN(Instances!G72:Instances!G72))</f>
        <v>0</v>
      </c>
      <c r="H72" s="1" cm="1">
        <f t="array" ref="H72">_xlfn.SWITCH($A$2,"average", AVERAGE(Instances!H72:Instances!H72),"median", MEDIAN(Instances!H72:Instances!H72),"min", MIN(Instances!H72:Instances!H72),"max", MAX(Instances!H72:Instances!H72),"diff", MAX(Instances!H72:Instances!H72)-MIN(Instances!H72:Instances!H72))</f>
        <v>0</v>
      </c>
      <c r="I72" s="1" cm="1">
        <f t="array" ref="I72">_xlfn.SWITCH($A$2,"average", AVERAGE(Instances!I72:Instances!I72),"median", MEDIAN(Instances!I72:Instances!I72),"min", MIN(Instances!I72:Instances!I72),"max", MAX(Instances!I72:Instances!I72),"diff", MAX(Instances!I72:Instances!I72)-MIN(Instances!I72:Instances!I72))</f>
        <v>0</v>
      </c>
      <c r="J72" s="1">
        <f>MIN($B72,$D72,$F72,$H72)</f>
        <v>0</v>
      </c>
      <c r="K72" s="1">
        <f>MIN($C72,$E72,$G72,$I72)</f>
        <v>0</v>
      </c>
      <c r="L72" s="1">
        <f>MEDIAN($B72,$D72,$F72,$H72)</f>
        <v>0</v>
      </c>
      <c r="M72" s="1">
        <f>MEDIAN($C72,$E72,$G72,$I72)</f>
        <v>0</v>
      </c>
      <c r="N72" s="1">
        <f>MAX($B72,$D72,$F72,$H72)</f>
        <v>0</v>
      </c>
      <c r="O72" s="1">
        <f>MAX($C72,$E72,$G72,$I72)</f>
        <v>0</v>
      </c>
    </row>
    <row r="73" spans="1:15">
      <c r="A73" s="1" t="s">
        <v>70</v>
      </c>
      <c r="B73" s="1" cm="1">
        <f t="array" ref="B73">_xlfn.SWITCH($A$2,"average", AVERAGE(Instances!B73:Instances!B73),"median", MEDIAN(Instances!B73:Instances!B73),"min", MIN(Instances!B73:Instances!B73),"max", MAX(Instances!B73:Instances!B73),"diff", MAX(Instances!B73:Instances!B73)-MIN(Instances!B73:Instances!B73))</f>
        <v>0</v>
      </c>
      <c r="C73" s="1" cm="1">
        <f t="array" ref="C73">_xlfn.SWITCH($A$2,"average", AVERAGE(Instances!C73:Instances!C73),"median", MEDIAN(Instances!C73:Instances!C73),"min", MIN(Instances!C73:Instances!C73),"max", MAX(Instances!C73:Instances!C73),"diff", MAX(Instances!C73:Instances!C73)-MIN(Instances!C73:Instances!C73))</f>
        <v>0</v>
      </c>
      <c r="D73" s="1" cm="1">
        <f t="array" ref="D73">_xlfn.SWITCH($A$2,"average", AVERAGE(Instances!D73:Instances!D73),"median", MEDIAN(Instances!D73:Instances!D73),"min", MIN(Instances!D73:Instances!D73),"max", MAX(Instances!D73:Instances!D73),"diff", MAX(Instances!D73:Instances!D73)-MIN(Instances!D73:Instances!D73))</f>
        <v>0</v>
      </c>
      <c r="E73" s="1" cm="1">
        <f t="array" ref="E73">_xlfn.SWITCH($A$2,"average", AVERAGE(Instances!E73:Instances!E73),"median", MEDIAN(Instances!E73:Instances!E73),"min", MIN(Instances!E73:Instances!E73),"max", MAX(Instances!E73:Instances!E73),"diff", MAX(Instances!E73:Instances!E73)-MIN(Instances!E73:Instances!E73))</f>
        <v>0</v>
      </c>
      <c r="F73" s="1" cm="1">
        <f t="array" ref="F73">_xlfn.SWITCH($A$2,"average", AVERAGE(Instances!F73:Instances!F73),"median", MEDIAN(Instances!F73:Instances!F73),"min", MIN(Instances!F73:Instances!F73),"max", MAX(Instances!F73:Instances!F73),"diff", MAX(Instances!F73:Instances!F73)-MIN(Instances!F73:Instances!F73))</f>
        <v>0</v>
      </c>
      <c r="G73" s="1" cm="1">
        <f t="array" ref="G73">_xlfn.SWITCH($A$2,"average", AVERAGE(Instances!G73:Instances!G73),"median", MEDIAN(Instances!G73:Instances!G73),"min", MIN(Instances!G73:Instances!G73),"max", MAX(Instances!G73:Instances!G73),"diff", MAX(Instances!G73:Instances!G73)-MIN(Instances!G73:Instances!G73))</f>
        <v>0</v>
      </c>
      <c r="H73" s="1" cm="1">
        <f t="array" ref="H73">_xlfn.SWITCH($A$2,"average", AVERAGE(Instances!H73:Instances!H73),"median", MEDIAN(Instances!H73:Instances!H73),"min", MIN(Instances!H73:Instances!H73),"max", MAX(Instances!H73:Instances!H73),"diff", MAX(Instances!H73:Instances!H73)-MIN(Instances!H73:Instances!H73))</f>
        <v>0</v>
      </c>
      <c r="I73" s="1" cm="1">
        <f t="array" ref="I73">_xlfn.SWITCH($A$2,"average", AVERAGE(Instances!I73:Instances!I73),"median", MEDIAN(Instances!I73:Instances!I73),"min", MIN(Instances!I73:Instances!I73),"max", MAX(Instances!I73:Instances!I73),"diff", MAX(Instances!I73:Instances!I73)-MIN(Instances!I73:Instances!I73))</f>
        <v>0</v>
      </c>
      <c r="J73" s="1">
        <f>MIN($B73,$D73,$F73,$H73)</f>
        <v>0</v>
      </c>
      <c r="K73" s="1">
        <f>MIN($C73,$E73,$G73,$I73)</f>
        <v>0</v>
      </c>
      <c r="L73" s="1">
        <f>MEDIAN($B73,$D73,$F73,$H73)</f>
        <v>0</v>
      </c>
      <c r="M73" s="1">
        <f>MEDIAN($C73,$E73,$G73,$I73)</f>
        <v>0</v>
      </c>
      <c r="N73" s="1">
        <f>MAX($B73,$D73,$F73,$H73)</f>
        <v>0</v>
      </c>
      <c r="O73" s="1">
        <f>MAX($C73,$E73,$G73,$I73)</f>
        <v>0</v>
      </c>
    </row>
    <row r="74" spans="1:15">
      <c r="A74" s="1" t="s">
        <v>71</v>
      </c>
      <c r="B74" s="1" cm="1">
        <f t="array" ref="B74">_xlfn.SWITCH($A$2,"average", AVERAGE(Instances!B74:Instances!B74),"median", MEDIAN(Instances!B74:Instances!B74),"min", MIN(Instances!B74:Instances!B74),"max", MAX(Instances!B74:Instances!B74),"diff", MAX(Instances!B74:Instances!B74)-MIN(Instances!B74:Instances!B74))</f>
        <v>0</v>
      </c>
      <c r="C74" s="1" cm="1">
        <f t="array" ref="C74">_xlfn.SWITCH($A$2,"average", AVERAGE(Instances!C74:Instances!C74),"median", MEDIAN(Instances!C74:Instances!C74),"min", MIN(Instances!C74:Instances!C74),"max", MAX(Instances!C74:Instances!C74),"diff", MAX(Instances!C74:Instances!C74)-MIN(Instances!C74:Instances!C74))</f>
        <v>0</v>
      </c>
      <c r="D74" s="1" cm="1">
        <f t="array" ref="D74">_xlfn.SWITCH($A$2,"average", AVERAGE(Instances!D74:Instances!D74),"median", MEDIAN(Instances!D74:Instances!D74),"min", MIN(Instances!D74:Instances!D74),"max", MAX(Instances!D74:Instances!D74),"diff", MAX(Instances!D74:Instances!D74)-MIN(Instances!D74:Instances!D74))</f>
        <v>0</v>
      </c>
      <c r="E74" s="1" cm="1">
        <f t="array" ref="E74">_xlfn.SWITCH($A$2,"average", AVERAGE(Instances!E74:Instances!E74),"median", MEDIAN(Instances!E74:Instances!E74),"min", MIN(Instances!E74:Instances!E74),"max", MAX(Instances!E74:Instances!E74),"diff", MAX(Instances!E74:Instances!E74)-MIN(Instances!E74:Instances!E74))</f>
        <v>0</v>
      </c>
      <c r="F74" s="1" cm="1">
        <f t="array" ref="F74">_xlfn.SWITCH($A$2,"average", AVERAGE(Instances!F74:Instances!F74),"median", MEDIAN(Instances!F74:Instances!F74),"min", MIN(Instances!F74:Instances!F74),"max", MAX(Instances!F74:Instances!F74),"diff", MAX(Instances!F74:Instances!F74)-MIN(Instances!F74:Instances!F74))</f>
        <v>0</v>
      </c>
      <c r="G74" s="1" cm="1">
        <f t="array" ref="G74">_xlfn.SWITCH($A$2,"average", AVERAGE(Instances!G74:Instances!G74),"median", MEDIAN(Instances!G74:Instances!G74),"min", MIN(Instances!G74:Instances!G74),"max", MAX(Instances!G74:Instances!G74),"diff", MAX(Instances!G74:Instances!G74)-MIN(Instances!G74:Instances!G74))</f>
        <v>0</v>
      </c>
      <c r="H74" s="1" cm="1">
        <f t="array" ref="H74">_xlfn.SWITCH($A$2,"average", AVERAGE(Instances!H74:Instances!H74),"median", MEDIAN(Instances!H74:Instances!H74),"min", MIN(Instances!H74:Instances!H74),"max", MAX(Instances!H74:Instances!H74),"diff", MAX(Instances!H74:Instances!H74)-MIN(Instances!H74:Instances!H74))</f>
        <v>0</v>
      </c>
      <c r="I74" s="1" cm="1">
        <f t="array" ref="I74">_xlfn.SWITCH($A$2,"average", AVERAGE(Instances!I74:Instances!I74),"median", MEDIAN(Instances!I74:Instances!I74),"min", MIN(Instances!I74:Instances!I74),"max", MAX(Instances!I74:Instances!I74),"diff", MAX(Instances!I74:Instances!I74)-MIN(Instances!I74:Instances!I74))</f>
        <v>0</v>
      </c>
      <c r="J74" s="1">
        <f>MIN($B74,$D74,$F74,$H74)</f>
        <v>0</v>
      </c>
      <c r="K74" s="1">
        <f>MIN($C74,$E74,$G74,$I74)</f>
        <v>0</v>
      </c>
      <c r="L74" s="1">
        <f>MEDIAN($B74,$D74,$F74,$H74)</f>
        <v>0</v>
      </c>
      <c r="M74" s="1">
        <f>MEDIAN($C74,$E74,$G74,$I74)</f>
        <v>0</v>
      </c>
      <c r="N74" s="1">
        <f>MAX($B74,$D74,$F74,$H74)</f>
        <v>0</v>
      </c>
      <c r="O74" s="1">
        <f>MAX($C74,$E74,$G74,$I74)</f>
        <v>0</v>
      </c>
    </row>
    <row r="75" spans="1:15">
      <c r="A75" s="1" t="s">
        <v>72</v>
      </c>
      <c r="B75" s="1" cm="1">
        <f t="array" ref="B75">_xlfn.SWITCH($A$2,"average", AVERAGE(Instances!B75:Instances!B75),"median", MEDIAN(Instances!B75:Instances!B75),"min", MIN(Instances!B75:Instances!B75),"max", MAX(Instances!B75:Instances!B75),"diff", MAX(Instances!B75:Instances!B75)-MIN(Instances!B75:Instances!B75))</f>
        <v>0</v>
      </c>
      <c r="C75" s="1" cm="1">
        <f t="array" ref="C75">_xlfn.SWITCH($A$2,"average", AVERAGE(Instances!C75:Instances!C75),"median", MEDIAN(Instances!C75:Instances!C75),"min", MIN(Instances!C75:Instances!C75),"max", MAX(Instances!C75:Instances!C75),"diff", MAX(Instances!C75:Instances!C75)-MIN(Instances!C75:Instances!C75))</f>
        <v>0</v>
      </c>
      <c r="D75" s="1" cm="1">
        <f t="array" ref="D75">_xlfn.SWITCH($A$2,"average", AVERAGE(Instances!D75:Instances!D75),"median", MEDIAN(Instances!D75:Instances!D75),"min", MIN(Instances!D75:Instances!D75),"max", MAX(Instances!D75:Instances!D75),"diff", MAX(Instances!D75:Instances!D75)-MIN(Instances!D75:Instances!D75))</f>
        <v>0</v>
      </c>
      <c r="E75" s="1" cm="1">
        <f t="array" ref="E75">_xlfn.SWITCH($A$2,"average", AVERAGE(Instances!E75:Instances!E75),"median", MEDIAN(Instances!E75:Instances!E75),"min", MIN(Instances!E75:Instances!E75),"max", MAX(Instances!E75:Instances!E75),"diff", MAX(Instances!E75:Instances!E75)-MIN(Instances!E75:Instances!E75))</f>
        <v>0</v>
      </c>
      <c r="F75" s="1" cm="1">
        <f t="array" ref="F75">_xlfn.SWITCH($A$2,"average", AVERAGE(Instances!F75:Instances!F75),"median", MEDIAN(Instances!F75:Instances!F75),"min", MIN(Instances!F75:Instances!F75),"max", MAX(Instances!F75:Instances!F75),"diff", MAX(Instances!F75:Instances!F75)-MIN(Instances!F75:Instances!F75))</f>
        <v>0</v>
      </c>
      <c r="G75" s="1" cm="1">
        <f t="array" ref="G75">_xlfn.SWITCH($A$2,"average", AVERAGE(Instances!G75:Instances!G75),"median", MEDIAN(Instances!G75:Instances!G75),"min", MIN(Instances!G75:Instances!G75),"max", MAX(Instances!G75:Instances!G75),"diff", MAX(Instances!G75:Instances!G75)-MIN(Instances!G75:Instances!G75))</f>
        <v>0</v>
      </c>
      <c r="H75" s="1" cm="1">
        <f t="array" ref="H75">_xlfn.SWITCH($A$2,"average", AVERAGE(Instances!H75:Instances!H75),"median", MEDIAN(Instances!H75:Instances!H75),"min", MIN(Instances!H75:Instances!H75),"max", MAX(Instances!H75:Instances!H75),"diff", MAX(Instances!H75:Instances!H75)-MIN(Instances!H75:Instances!H75))</f>
        <v>0</v>
      </c>
      <c r="I75" s="1" cm="1">
        <f t="array" ref="I75">_xlfn.SWITCH($A$2,"average", AVERAGE(Instances!I75:Instances!I75),"median", MEDIAN(Instances!I75:Instances!I75),"min", MIN(Instances!I75:Instances!I75),"max", MAX(Instances!I75:Instances!I75),"diff", MAX(Instances!I75:Instances!I75)-MIN(Instances!I75:Instances!I75))</f>
        <v>0</v>
      </c>
      <c r="J75" s="1">
        <f>MIN($B75,$D75,$F75,$H75)</f>
        <v>0</v>
      </c>
      <c r="K75" s="1">
        <f>MIN($C75,$E75,$G75,$I75)</f>
        <v>0</v>
      </c>
      <c r="L75" s="1">
        <f>MEDIAN($B75,$D75,$F75,$H75)</f>
        <v>0</v>
      </c>
      <c r="M75" s="1">
        <f>MEDIAN($C75,$E75,$G75,$I75)</f>
        <v>0</v>
      </c>
      <c r="N75" s="1">
        <f>MAX($B75,$D75,$F75,$H75)</f>
        <v>0</v>
      </c>
      <c r="O75" s="1">
        <f>MAX($C75,$E75,$G75,$I75)</f>
        <v>0</v>
      </c>
    </row>
    <row r="76" spans="1:15">
      <c r="A76" s="1" t="s">
        <v>73</v>
      </c>
      <c r="B76" s="1" cm="1">
        <f t="array" ref="B76">_xlfn.SWITCH($A$2,"average", AVERAGE(Instances!B76:Instances!B76),"median", MEDIAN(Instances!B76:Instances!B76),"min", MIN(Instances!B76:Instances!B76),"max", MAX(Instances!B76:Instances!B76),"diff", MAX(Instances!B76:Instances!B76)-MIN(Instances!B76:Instances!B76))</f>
        <v>0</v>
      </c>
      <c r="C76" s="1" cm="1">
        <f t="array" ref="C76">_xlfn.SWITCH($A$2,"average", AVERAGE(Instances!C76:Instances!C76),"median", MEDIAN(Instances!C76:Instances!C76),"min", MIN(Instances!C76:Instances!C76),"max", MAX(Instances!C76:Instances!C76),"diff", MAX(Instances!C76:Instances!C76)-MIN(Instances!C76:Instances!C76))</f>
        <v>0</v>
      </c>
      <c r="D76" s="1" cm="1">
        <f t="array" ref="D76">_xlfn.SWITCH($A$2,"average", AVERAGE(Instances!D76:Instances!D76),"median", MEDIAN(Instances!D76:Instances!D76),"min", MIN(Instances!D76:Instances!D76),"max", MAX(Instances!D76:Instances!D76),"diff", MAX(Instances!D76:Instances!D76)-MIN(Instances!D76:Instances!D76))</f>
        <v>0</v>
      </c>
      <c r="E76" s="1" cm="1">
        <f t="array" ref="E76">_xlfn.SWITCH($A$2,"average", AVERAGE(Instances!E76:Instances!E76),"median", MEDIAN(Instances!E76:Instances!E76),"min", MIN(Instances!E76:Instances!E76),"max", MAX(Instances!E76:Instances!E76),"diff", MAX(Instances!E76:Instances!E76)-MIN(Instances!E76:Instances!E76))</f>
        <v>0</v>
      </c>
      <c r="F76" s="1" cm="1">
        <f t="array" ref="F76">_xlfn.SWITCH($A$2,"average", AVERAGE(Instances!F76:Instances!F76),"median", MEDIAN(Instances!F76:Instances!F76),"min", MIN(Instances!F76:Instances!F76),"max", MAX(Instances!F76:Instances!F76),"diff", MAX(Instances!F76:Instances!F76)-MIN(Instances!F76:Instances!F76))</f>
        <v>0</v>
      </c>
      <c r="G76" s="1" cm="1">
        <f t="array" ref="G76">_xlfn.SWITCH($A$2,"average", AVERAGE(Instances!G76:Instances!G76),"median", MEDIAN(Instances!G76:Instances!G76),"min", MIN(Instances!G76:Instances!G76),"max", MAX(Instances!G76:Instances!G76),"diff", MAX(Instances!G76:Instances!G76)-MIN(Instances!G76:Instances!G76))</f>
        <v>0</v>
      </c>
      <c r="H76" s="1" cm="1">
        <f t="array" ref="H76">_xlfn.SWITCH($A$2,"average", AVERAGE(Instances!H76:Instances!H76),"median", MEDIAN(Instances!H76:Instances!H76),"min", MIN(Instances!H76:Instances!H76),"max", MAX(Instances!H76:Instances!H76),"diff", MAX(Instances!H76:Instances!H76)-MIN(Instances!H76:Instances!H76))</f>
        <v>0</v>
      </c>
      <c r="I76" s="1" cm="1">
        <f t="array" ref="I76">_xlfn.SWITCH($A$2,"average", AVERAGE(Instances!I76:Instances!I76),"median", MEDIAN(Instances!I76:Instances!I76),"min", MIN(Instances!I76:Instances!I76),"max", MAX(Instances!I76:Instances!I76),"diff", MAX(Instances!I76:Instances!I76)-MIN(Instances!I76:Instances!I76))</f>
        <v>0</v>
      </c>
      <c r="J76" s="1">
        <f>MIN($B76,$D76,$F76,$H76)</f>
        <v>0</v>
      </c>
      <c r="K76" s="1">
        <f>MIN($C76,$E76,$G76,$I76)</f>
        <v>0</v>
      </c>
      <c r="L76" s="1">
        <f>MEDIAN($B76,$D76,$F76,$H76)</f>
        <v>0</v>
      </c>
      <c r="M76" s="1">
        <f>MEDIAN($C76,$E76,$G76,$I76)</f>
        <v>0</v>
      </c>
      <c r="N76" s="1">
        <f>MAX($B76,$D76,$F76,$H76)</f>
        <v>0</v>
      </c>
      <c r="O76" s="1">
        <f>MAX($C76,$E76,$G76,$I76)</f>
        <v>0</v>
      </c>
    </row>
    <row r="77" spans="1:15">
      <c r="A77" s="1" t="s">
        <v>74</v>
      </c>
      <c r="B77" s="1" cm="1">
        <f t="array" ref="B77">_xlfn.SWITCH($A$2,"average", AVERAGE(Instances!B77:Instances!B77),"median", MEDIAN(Instances!B77:Instances!B77),"min", MIN(Instances!B77:Instances!B77),"max", MAX(Instances!B77:Instances!B77),"diff", MAX(Instances!B77:Instances!B77)-MIN(Instances!B77:Instances!B77))</f>
        <v>0</v>
      </c>
      <c r="C77" s="1" cm="1">
        <f t="array" ref="C77">_xlfn.SWITCH($A$2,"average", AVERAGE(Instances!C77:Instances!C77),"median", MEDIAN(Instances!C77:Instances!C77),"min", MIN(Instances!C77:Instances!C77),"max", MAX(Instances!C77:Instances!C77),"diff", MAX(Instances!C77:Instances!C77)-MIN(Instances!C77:Instances!C77))</f>
        <v>0</v>
      </c>
      <c r="D77" s="1" cm="1">
        <f t="array" ref="D77">_xlfn.SWITCH($A$2,"average", AVERAGE(Instances!D77:Instances!D77),"median", MEDIAN(Instances!D77:Instances!D77),"min", MIN(Instances!D77:Instances!D77),"max", MAX(Instances!D77:Instances!D77),"diff", MAX(Instances!D77:Instances!D77)-MIN(Instances!D77:Instances!D77))</f>
        <v>0</v>
      </c>
      <c r="E77" s="1" cm="1">
        <f t="array" ref="E77">_xlfn.SWITCH($A$2,"average", AVERAGE(Instances!E77:Instances!E77),"median", MEDIAN(Instances!E77:Instances!E77),"min", MIN(Instances!E77:Instances!E77),"max", MAX(Instances!E77:Instances!E77),"diff", MAX(Instances!E77:Instances!E77)-MIN(Instances!E77:Instances!E77))</f>
        <v>0</v>
      </c>
      <c r="F77" s="1" cm="1">
        <f t="array" ref="F77">_xlfn.SWITCH($A$2,"average", AVERAGE(Instances!F77:Instances!F77),"median", MEDIAN(Instances!F77:Instances!F77),"min", MIN(Instances!F77:Instances!F77),"max", MAX(Instances!F77:Instances!F77),"diff", MAX(Instances!F77:Instances!F77)-MIN(Instances!F77:Instances!F77))</f>
        <v>0</v>
      </c>
      <c r="G77" s="1" cm="1">
        <f t="array" ref="G77">_xlfn.SWITCH($A$2,"average", AVERAGE(Instances!G77:Instances!G77),"median", MEDIAN(Instances!G77:Instances!G77),"min", MIN(Instances!G77:Instances!G77),"max", MAX(Instances!G77:Instances!G77),"diff", MAX(Instances!G77:Instances!G77)-MIN(Instances!G77:Instances!G77))</f>
        <v>0</v>
      </c>
      <c r="H77" s="1" cm="1">
        <f t="array" ref="H77">_xlfn.SWITCH($A$2,"average", AVERAGE(Instances!H77:Instances!H77),"median", MEDIAN(Instances!H77:Instances!H77),"min", MIN(Instances!H77:Instances!H77),"max", MAX(Instances!H77:Instances!H77),"diff", MAX(Instances!H77:Instances!H77)-MIN(Instances!H77:Instances!H77))</f>
        <v>0</v>
      </c>
      <c r="I77" s="1" cm="1">
        <f t="array" ref="I77">_xlfn.SWITCH($A$2,"average", AVERAGE(Instances!I77:Instances!I77),"median", MEDIAN(Instances!I77:Instances!I77),"min", MIN(Instances!I77:Instances!I77),"max", MAX(Instances!I77:Instances!I77),"diff", MAX(Instances!I77:Instances!I77)-MIN(Instances!I77:Instances!I77))</f>
        <v>0</v>
      </c>
      <c r="J77" s="1">
        <f>MIN($B77,$D77,$F77,$H77)</f>
        <v>0</v>
      </c>
      <c r="K77" s="1">
        <f>MIN($C77,$E77,$G77,$I77)</f>
        <v>0</v>
      </c>
      <c r="L77" s="1">
        <f>MEDIAN($B77,$D77,$F77,$H77)</f>
        <v>0</v>
      </c>
      <c r="M77" s="1">
        <f>MEDIAN($C77,$E77,$G77,$I77)</f>
        <v>0</v>
      </c>
      <c r="N77" s="1">
        <f>MAX($B77,$D77,$F77,$H77)</f>
        <v>0</v>
      </c>
      <c r="O77" s="1">
        <f>MAX($C77,$E77,$G77,$I77)</f>
        <v>0</v>
      </c>
    </row>
    <row r="78" spans="1:15">
      <c r="A78" s="1" t="s">
        <v>75</v>
      </c>
      <c r="B78" s="1" cm="1">
        <f t="array" ref="B78">_xlfn.SWITCH($A$2,"average", AVERAGE(Instances!B78:Instances!B78),"median", MEDIAN(Instances!B78:Instances!B78),"min", MIN(Instances!B78:Instances!B78),"max", MAX(Instances!B78:Instances!B78),"diff", MAX(Instances!B78:Instances!B78)-MIN(Instances!B78:Instances!B78))</f>
        <v>0</v>
      </c>
      <c r="C78" s="1" cm="1">
        <f t="array" ref="C78">_xlfn.SWITCH($A$2,"average", AVERAGE(Instances!C78:Instances!C78),"median", MEDIAN(Instances!C78:Instances!C78),"min", MIN(Instances!C78:Instances!C78),"max", MAX(Instances!C78:Instances!C78),"diff", MAX(Instances!C78:Instances!C78)-MIN(Instances!C78:Instances!C78))</f>
        <v>0</v>
      </c>
      <c r="D78" s="1" cm="1">
        <f t="array" ref="D78">_xlfn.SWITCH($A$2,"average", AVERAGE(Instances!D78:Instances!D78),"median", MEDIAN(Instances!D78:Instances!D78),"min", MIN(Instances!D78:Instances!D78),"max", MAX(Instances!D78:Instances!D78),"diff", MAX(Instances!D78:Instances!D78)-MIN(Instances!D78:Instances!D78))</f>
        <v>0</v>
      </c>
      <c r="E78" s="1" cm="1">
        <f t="array" ref="E78">_xlfn.SWITCH($A$2,"average", AVERAGE(Instances!E78:Instances!E78),"median", MEDIAN(Instances!E78:Instances!E78),"min", MIN(Instances!E78:Instances!E78),"max", MAX(Instances!E78:Instances!E78),"diff", MAX(Instances!E78:Instances!E78)-MIN(Instances!E78:Instances!E78))</f>
        <v>0</v>
      </c>
      <c r="F78" s="1" cm="1">
        <f t="array" ref="F78">_xlfn.SWITCH($A$2,"average", AVERAGE(Instances!F78:Instances!F78),"median", MEDIAN(Instances!F78:Instances!F78),"min", MIN(Instances!F78:Instances!F78),"max", MAX(Instances!F78:Instances!F78),"diff", MAX(Instances!F78:Instances!F78)-MIN(Instances!F78:Instances!F78))</f>
        <v>0</v>
      </c>
      <c r="G78" s="1" cm="1">
        <f t="array" ref="G78">_xlfn.SWITCH($A$2,"average", AVERAGE(Instances!G78:Instances!G78),"median", MEDIAN(Instances!G78:Instances!G78),"min", MIN(Instances!G78:Instances!G78),"max", MAX(Instances!G78:Instances!G78),"diff", MAX(Instances!G78:Instances!G78)-MIN(Instances!G78:Instances!G78))</f>
        <v>0</v>
      </c>
      <c r="H78" s="1" cm="1">
        <f t="array" ref="H78">_xlfn.SWITCH($A$2,"average", AVERAGE(Instances!H78:Instances!H78),"median", MEDIAN(Instances!H78:Instances!H78),"min", MIN(Instances!H78:Instances!H78),"max", MAX(Instances!H78:Instances!H78),"diff", MAX(Instances!H78:Instances!H78)-MIN(Instances!H78:Instances!H78))</f>
        <v>0</v>
      </c>
      <c r="I78" s="1" cm="1">
        <f t="array" ref="I78">_xlfn.SWITCH($A$2,"average", AVERAGE(Instances!I78:Instances!I78),"median", MEDIAN(Instances!I78:Instances!I78),"min", MIN(Instances!I78:Instances!I78),"max", MAX(Instances!I78:Instances!I78),"diff", MAX(Instances!I78:Instances!I78)-MIN(Instances!I78:Instances!I78))</f>
        <v>0</v>
      </c>
      <c r="J78" s="1">
        <f>MIN($B78,$D78,$F78,$H78)</f>
        <v>0</v>
      </c>
      <c r="K78" s="1">
        <f>MIN($C78,$E78,$G78,$I78)</f>
        <v>0</v>
      </c>
      <c r="L78" s="1">
        <f>MEDIAN($B78,$D78,$F78,$H78)</f>
        <v>0</v>
      </c>
      <c r="M78" s="1">
        <f>MEDIAN($C78,$E78,$G78,$I78)</f>
        <v>0</v>
      </c>
      <c r="N78" s="1">
        <f>MAX($B78,$D78,$F78,$H78)</f>
        <v>0</v>
      </c>
      <c r="O78" s="1">
        <f>MAX($C78,$E78,$G78,$I78)</f>
        <v>0</v>
      </c>
    </row>
    <row r="79" spans="1:15">
      <c r="A79" s="1" t="s">
        <v>76</v>
      </c>
      <c r="B79" s="1" cm="1">
        <f t="array" ref="B79">_xlfn.SWITCH($A$2,"average", AVERAGE(Instances!B79:Instances!B79),"median", MEDIAN(Instances!B79:Instances!B79),"min", MIN(Instances!B79:Instances!B79),"max", MAX(Instances!B79:Instances!B79),"diff", MAX(Instances!B79:Instances!B79)-MIN(Instances!B79:Instances!B79))</f>
        <v>0</v>
      </c>
      <c r="C79" s="1" cm="1">
        <f t="array" ref="C79">_xlfn.SWITCH($A$2,"average", AVERAGE(Instances!C79:Instances!C79),"median", MEDIAN(Instances!C79:Instances!C79),"min", MIN(Instances!C79:Instances!C79),"max", MAX(Instances!C79:Instances!C79),"diff", MAX(Instances!C79:Instances!C79)-MIN(Instances!C79:Instances!C79))</f>
        <v>0</v>
      </c>
      <c r="D79" s="1" cm="1">
        <f t="array" ref="D79">_xlfn.SWITCH($A$2,"average", AVERAGE(Instances!D79:Instances!D79),"median", MEDIAN(Instances!D79:Instances!D79),"min", MIN(Instances!D79:Instances!D79),"max", MAX(Instances!D79:Instances!D79),"diff", MAX(Instances!D79:Instances!D79)-MIN(Instances!D79:Instances!D79))</f>
        <v>0</v>
      </c>
      <c r="E79" s="1" cm="1">
        <f t="array" ref="E79">_xlfn.SWITCH($A$2,"average", AVERAGE(Instances!E79:Instances!E79),"median", MEDIAN(Instances!E79:Instances!E79),"min", MIN(Instances!E79:Instances!E79),"max", MAX(Instances!E79:Instances!E79),"diff", MAX(Instances!E79:Instances!E79)-MIN(Instances!E79:Instances!E79))</f>
        <v>0</v>
      </c>
      <c r="F79" s="1" cm="1">
        <f t="array" ref="F79">_xlfn.SWITCH($A$2,"average", AVERAGE(Instances!F79:Instances!F79),"median", MEDIAN(Instances!F79:Instances!F79),"min", MIN(Instances!F79:Instances!F79),"max", MAX(Instances!F79:Instances!F79),"diff", MAX(Instances!F79:Instances!F79)-MIN(Instances!F79:Instances!F79))</f>
        <v>0</v>
      </c>
      <c r="G79" s="1" cm="1">
        <f t="array" ref="G79">_xlfn.SWITCH($A$2,"average", AVERAGE(Instances!G79:Instances!G79),"median", MEDIAN(Instances!G79:Instances!G79),"min", MIN(Instances!G79:Instances!G79),"max", MAX(Instances!G79:Instances!G79),"diff", MAX(Instances!G79:Instances!G79)-MIN(Instances!G79:Instances!G79))</f>
        <v>0</v>
      </c>
      <c r="H79" s="1" cm="1">
        <f t="array" ref="H79">_xlfn.SWITCH($A$2,"average", AVERAGE(Instances!H79:Instances!H79),"median", MEDIAN(Instances!H79:Instances!H79),"min", MIN(Instances!H79:Instances!H79),"max", MAX(Instances!H79:Instances!H79),"diff", MAX(Instances!H79:Instances!H79)-MIN(Instances!H79:Instances!H79))</f>
        <v>0</v>
      </c>
      <c r="I79" s="1" cm="1">
        <f t="array" ref="I79">_xlfn.SWITCH($A$2,"average", AVERAGE(Instances!I79:Instances!I79),"median", MEDIAN(Instances!I79:Instances!I79),"min", MIN(Instances!I79:Instances!I79),"max", MAX(Instances!I79:Instances!I79),"diff", MAX(Instances!I79:Instances!I79)-MIN(Instances!I79:Instances!I79))</f>
        <v>0</v>
      </c>
      <c r="J79" s="1">
        <f>MIN($B79,$D79,$F79,$H79)</f>
        <v>0</v>
      </c>
      <c r="K79" s="1">
        <f>MIN($C79,$E79,$G79,$I79)</f>
        <v>0</v>
      </c>
      <c r="L79" s="1">
        <f>MEDIAN($B79,$D79,$F79,$H79)</f>
        <v>0</v>
      </c>
      <c r="M79" s="1">
        <f>MEDIAN($C79,$E79,$G79,$I79)</f>
        <v>0</v>
      </c>
      <c r="N79" s="1">
        <f>MAX($B79,$D79,$F79,$H79)</f>
        <v>0</v>
      </c>
      <c r="O79" s="1">
        <f>MAX($C79,$E79,$G79,$I79)</f>
        <v>0</v>
      </c>
    </row>
    <row r="80" spans="1:15">
      <c r="A80" s="1" t="s">
        <v>77</v>
      </c>
      <c r="B80" s="1" cm="1">
        <f t="array" ref="B80">_xlfn.SWITCH($A$2,"average", AVERAGE(Instances!B80:Instances!B80),"median", MEDIAN(Instances!B80:Instances!B80),"min", MIN(Instances!B80:Instances!B80),"max", MAX(Instances!B80:Instances!B80),"diff", MAX(Instances!B80:Instances!B80)-MIN(Instances!B80:Instances!B80))</f>
        <v>0</v>
      </c>
      <c r="C80" s="1" cm="1">
        <f t="array" ref="C80">_xlfn.SWITCH($A$2,"average", AVERAGE(Instances!C80:Instances!C80),"median", MEDIAN(Instances!C80:Instances!C80),"min", MIN(Instances!C80:Instances!C80),"max", MAX(Instances!C80:Instances!C80),"diff", MAX(Instances!C80:Instances!C80)-MIN(Instances!C80:Instances!C80))</f>
        <v>0</v>
      </c>
      <c r="D80" s="1" cm="1">
        <f t="array" ref="D80">_xlfn.SWITCH($A$2,"average", AVERAGE(Instances!D80:Instances!D80),"median", MEDIAN(Instances!D80:Instances!D80),"min", MIN(Instances!D80:Instances!D80),"max", MAX(Instances!D80:Instances!D80),"diff", MAX(Instances!D80:Instances!D80)-MIN(Instances!D80:Instances!D80))</f>
        <v>0</v>
      </c>
      <c r="E80" s="1" cm="1">
        <f t="array" ref="E80">_xlfn.SWITCH($A$2,"average", AVERAGE(Instances!E80:Instances!E80),"median", MEDIAN(Instances!E80:Instances!E80),"min", MIN(Instances!E80:Instances!E80),"max", MAX(Instances!E80:Instances!E80),"diff", MAX(Instances!E80:Instances!E80)-MIN(Instances!E80:Instances!E80))</f>
        <v>0</v>
      </c>
      <c r="F80" s="1" cm="1">
        <f t="array" ref="F80">_xlfn.SWITCH($A$2,"average", AVERAGE(Instances!F80:Instances!F80),"median", MEDIAN(Instances!F80:Instances!F80),"min", MIN(Instances!F80:Instances!F80),"max", MAX(Instances!F80:Instances!F80),"diff", MAX(Instances!F80:Instances!F80)-MIN(Instances!F80:Instances!F80))</f>
        <v>0</v>
      </c>
      <c r="G80" s="1" cm="1">
        <f t="array" ref="G80">_xlfn.SWITCH($A$2,"average", AVERAGE(Instances!G80:Instances!G80),"median", MEDIAN(Instances!G80:Instances!G80),"min", MIN(Instances!G80:Instances!G80),"max", MAX(Instances!G80:Instances!G80),"diff", MAX(Instances!G80:Instances!G80)-MIN(Instances!G80:Instances!G80))</f>
        <v>0</v>
      </c>
      <c r="H80" s="1" cm="1">
        <f t="array" ref="H80">_xlfn.SWITCH($A$2,"average", AVERAGE(Instances!H80:Instances!H80),"median", MEDIAN(Instances!H80:Instances!H80),"min", MIN(Instances!H80:Instances!H80),"max", MAX(Instances!H80:Instances!H80),"diff", MAX(Instances!H80:Instances!H80)-MIN(Instances!H80:Instances!H80))</f>
        <v>0</v>
      </c>
      <c r="I80" s="1" cm="1">
        <f t="array" ref="I80">_xlfn.SWITCH($A$2,"average", AVERAGE(Instances!I80:Instances!I80),"median", MEDIAN(Instances!I80:Instances!I80),"min", MIN(Instances!I80:Instances!I80),"max", MAX(Instances!I80:Instances!I80),"diff", MAX(Instances!I80:Instances!I80)-MIN(Instances!I80:Instances!I80))</f>
        <v>0</v>
      </c>
      <c r="J80" s="1">
        <f>MIN($B80,$D80,$F80,$H80)</f>
        <v>0</v>
      </c>
      <c r="K80" s="1">
        <f>MIN($C80,$E80,$G80,$I80)</f>
        <v>0</v>
      </c>
      <c r="L80" s="1">
        <f>MEDIAN($B80,$D80,$F80,$H80)</f>
        <v>0</v>
      </c>
      <c r="M80" s="1">
        <f>MEDIAN($C80,$E80,$G80,$I80)</f>
        <v>0</v>
      </c>
      <c r="N80" s="1">
        <f>MAX($B80,$D80,$F80,$H80)</f>
        <v>0</v>
      </c>
      <c r="O80" s="1">
        <f>MAX($C80,$E80,$G80,$I80)</f>
        <v>0</v>
      </c>
    </row>
    <row r="81" spans="1:15">
      <c r="A81" s="1" t="s">
        <v>78</v>
      </c>
      <c r="B81" s="1" cm="1">
        <f t="array" ref="B81">_xlfn.SWITCH($A$2,"average", AVERAGE(Instances!B81:Instances!B81),"median", MEDIAN(Instances!B81:Instances!B81),"min", MIN(Instances!B81:Instances!B81),"max", MAX(Instances!B81:Instances!B81),"diff", MAX(Instances!B81:Instances!B81)-MIN(Instances!B81:Instances!B81))</f>
        <v>0</v>
      </c>
      <c r="C81" s="1" cm="1">
        <f t="array" ref="C81">_xlfn.SWITCH($A$2,"average", AVERAGE(Instances!C81:Instances!C81),"median", MEDIAN(Instances!C81:Instances!C81),"min", MIN(Instances!C81:Instances!C81),"max", MAX(Instances!C81:Instances!C81),"diff", MAX(Instances!C81:Instances!C81)-MIN(Instances!C81:Instances!C81))</f>
        <v>0</v>
      </c>
      <c r="D81" s="1" cm="1">
        <f t="array" ref="D81">_xlfn.SWITCH($A$2,"average", AVERAGE(Instances!D81:Instances!D81),"median", MEDIAN(Instances!D81:Instances!D81),"min", MIN(Instances!D81:Instances!D81),"max", MAX(Instances!D81:Instances!D81),"diff", MAX(Instances!D81:Instances!D81)-MIN(Instances!D81:Instances!D81))</f>
        <v>0</v>
      </c>
      <c r="E81" s="1" cm="1">
        <f t="array" ref="E81">_xlfn.SWITCH($A$2,"average", AVERAGE(Instances!E81:Instances!E81),"median", MEDIAN(Instances!E81:Instances!E81),"min", MIN(Instances!E81:Instances!E81),"max", MAX(Instances!E81:Instances!E81),"diff", MAX(Instances!E81:Instances!E81)-MIN(Instances!E81:Instances!E81))</f>
        <v>0</v>
      </c>
      <c r="F81" s="1" cm="1">
        <f t="array" ref="F81">_xlfn.SWITCH($A$2,"average", AVERAGE(Instances!F81:Instances!F81),"median", MEDIAN(Instances!F81:Instances!F81),"min", MIN(Instances!F81:Instances!F81),"max", MAX(Instances!F81:Instances!F81),"diff", MAX(Instances!F81:Instances!F81)-MIN(Instances!F81:Instances!F81))</f>
        <v>0</v>
      </c>
      <c r="G81" s="1" cm="1">
        <f t="array" ref="G81">_xlfn.SWITCH($A$2,"average", AVERAGE(Instances!G81:Instances!G81),"median", MEDIAN(Instances!G81:Instances!G81),"min", MIN(Instances!G81:Instances!G81),"max", MAX(Instances!G81:Instances!G81),"diff", MAX(Instances!G81:Instances!G81)-MIN(Instances!G81:Instances!G81))</f>
        <v>0</v>
      </c>
      <c r="H81" s="1" cm="1">
        <f t="array" ref="H81">_xlfn.SWITCH($A$2,"average", AVERAGE(Instances!H81:Instances!H81),"median", MEDIAN(Instances!H81:Instances!H81),"min", MIN(Instances!H81:Instances!H81),"max", MAX(Instances!H81:Instances!H81),"diff", MAX(Instances!H81:Instances!H81)-MIN(Instances!H81:Instances!H81))</f>
        <v>0</v>
      </c>
      <c r="I81" s="1" cm="1">
        <f t="array" ref="I81">_xlfn.SWITCH($A$2,"average", AVERAGE(Instances!I81:Instances!I81),"median", MEDIAN(Instances!I81:Instances!I81),"min", MIN(Instances!I81:Instances!I81),"max", MAX(Instances!I81:Instances!I81),"diff", MAX(Instances!I81:Instances!I81)-MIN(Instances!I81:Instances!I81))</f>
        <v>0</v>
      </c>
      <c r="J81" s="1">
        <f>MIN($B81,$D81,$F81,$H81)</f>
        <v>0</v>
      </c>
      <c r="K81" s="1">
        <f>MIN($C81,$E81,$G81,$I81)</f>
        <v>0</v>
      </c>
      <c r="L81" s="1">
        <f>MEDIAN($B81,$D81,$F81,$H81)</f>
        <v>0</v>
      </c>
      <c r="M81" s="1">
        <f>MEDIAN($C81,$E81,$G81,$I81)</f>
        <v>0</v>
      </c>
      <c r="N81" s="1">
        <f>MAX($B81,$D81,$F81,$H81)</f>
        <v>0</v>
      </c>
      <c r="O81" s="1">
        <f>MAX($C81,$E81,$G81,$I81)</f>
        <v>0</v>
      </c>
    </row>
    <row r="82" spans="1:15">
      <c r="A82" s="1" t="s">
        <v>79</v>
      </c>
      <c r="B82" s="1" cm="1">
        <f t="array" ref="B82">_xlfn.SWITCH($A$2,"average", AVERAGE(Instances!B82:Instances!B82),"median", MEDIAN(Instances!B82:Instances!B82),"min", MIN(Instances!B82:Instances!B82),"max", MAX(Instances!B82:Instances!B82),"diff", MAX(Instances!B82:Instances!B82)-MIN(Instances!B82:Instances!B82))</f>
        <v>0</v>
      </c>
      <c r="C82" s="1" cm="1">
        <f t="array" ref="C82">_xlfn.SWITCH($A$2,"average", AVERAGE(Instances!C82:Instances!C82),"median", MEDIAN(Instances!C82:Instances!C82),"min", MIN(Instances!C82:Instances!C82),"max", MAX(Instances!C82:Instances!C82),"diff", MAX(Instances!C82:Instances!C82)-MIN(Instances!C82:Instances!C82))</f>
        <v>0</v>
      </c>
      <c r="D82" s="1" cm="1">
        <f t="array" ref="D82">_xlfn.SWITCH($A$2,"average", AVERAGE(Instances!D82:Instances!D82),"median", MEDIAN(Instances!D82:Instances!D82),"min", MIN(Instances!D82:Instances!D82),"max", MAX(Instances!D82:Instances!D82),"diff", MAX(Instances!D82:Instances!D82)-MIN(Instances!D82:Instances!D82))</f>
        <v>0</v>
      </c>
      <c r="E82" s="1" cm="1">
        <f t="array" ref="E82">_xlfn.SWITCH($A$2,"average", AVERAGE(Instances!E82:Instances!E82),"median", MEDIAN(Instances!E82:Instances!E82),"min", MIN(Instances!E82:Instances!E82),"max", MAX(Instances!E82:Instances!E82),"diff", MAX(Instances!E82:Instances!E82)-MIN(Instances!E82:Instances!E82))</f>
        <v>0</v>
      </c>
      <c r="F82" s="1" cm="1">
        <f t="array" ref="F82">_xlfn.SWITCH($A$2,"average", AVERAGE(Instances!F82:Instances!F82),"median", MEDIAN(Instances!F82:Instances!F82),"min", MIN(Instances!F82:Instances!F82),"max", MAX(Instances!F82:Instances!F82),"diff", MAX(Instances!F82:Instances!F82)-MIN(Instances!F82:Instances!F82))</f>
        <v>0</v>
      </c>
      <c r="G82" s="1" cm="1">
        <f t="array" ref="G82">_xlfn.SWITCH($A$2,"average", AVERAGE(Instances!G82:Instances!G82),"median", MEDIAN(Instances!G82:Instances!G82),"min", MIN(Instances!G82:Instances!G82),"max", MAX(Instances!G82:Instances!G82),"diff", MAX(Instances!G82:Instances!G82)-MIN(Instances!G82:Instances!G82))</f>
        <v>0</v>
      </c>
      <c r="H82" s="1" cm="1">
        <f t="array" ref="H82">_xlfn.SWITCH($A$2,"average", AVERAGE(Instances!H82:Instances!H82),"median", MEDIAN(Instances!H82:Instances!H82),"min", MIN(Instances!H82:Instances!H82),"max", MAX(Instances!H82:Instances!H82),"diff", MAX(Instances!H82:Instances!H82)-MIN(Instances!H82:Instances!H82))</f>
        <v>0</v>
      </c>
      <c r="I82" s="1" cm="1">
        <f t="array" ref="I82">_xlfn.SWITCH($A$2,"average", AVERAGE(Instances!I82:Instances!I82),"median", MEDIAN(Instances!I82:Instances!I82),"min", MIN(Instances!I82:Instances!I82),"max", MAX(Instances!I82:Instances!I82),"diff", MAX(Instances!I82:Instances!I82)-MIN(Instances!I82:Instances!I82))</f>
        <v>0</v>
      </c>
      <c r="J82" s="1">
        <f>MIN($B82,$D82,$F82,$H82)</f>
        <v>0</v>
      </c>
      <c r="K82" s="1">
        <f>MIN($C82,$E82,$G82,$I82)</f>
        <v>0</v>
      </c>
      <c r="L82" s="1">
        <f>MEDIAN($B82,$D82,$F82,$H82)</f>
        <v>0</v>
      </c>
      <c r="M82" s="1">
        <f>MEDIAN($C82,$E82,$G82,$I82)</f>
        <v>0</v>
      </c>
      <c r="N82" s="1">
        <f>MAX($B82,$D82,$F82,$H82)</f>
        <v>0</v>
      </c>
      <c r="O82" s="1">
        <f>MAX($C82,$E82,$G82,$I82)</f>
        <v>0</v>
      </c>
    </row>
    <row r="83" spans="1:15">
      <c r="A83" s="1" t="s">
        <v>80</v>
      </c>
      <c r="B83" s="1" cm="1">
        <f t="array" ref="B83">_xlfn.SWITCH($A$2,"average", AVERAGE(Instances!B83:Instances!B83),"median", MEDIAN(Instances!B83:Instances!B83),"min", MIN(Instances!B83:Instances!B83),"max", MAX(Instances!B83:Instances!B83),"diff", MAX(Instances!B83:Instances!B83)-MIN(Instances!B83:Instances!B83))</f>
        <v>0</v>
      </c>
      <c r="C83" s="1" cm="1">
        <f t="array" ref="C83">_xlfn.SWITCH($A$2,"average", AVERAGE(Instances!C83:Instances!C83),"median", MEDIAN(Instances!C83:Instances!C83),"min", MIN(Instances!C83:Instances!C83),"max", MAX(Instances!C83:Instances!C83),"diff", MAX(Instances!C83:Instances!C83)-MIN(Instances!C83:Instances!C83))</f>
        <v>0</v>
      </c>
      <c r="D83" s="1" cm="1">
        <f t="array" ref="D83">_xlfn.SWITCH($A$2,"average", AVERAGE(Instances!D83:Instances!D83),"median", MEDIAN(Instances!D83:Instances!D83),"min", MIN(Instances!D83:Instances!D83),"max", MAX(Instances!D83:Instances!D83),"diff", MAX(Instances!D83:Instances!D83)-MIN(Instances!D83:Instances!D83))</f>
        <v>0</v>
      </c>
      <c r="E83" s="1" cm="1">
        <f t="array" ref="E83">_xlfn.SWITCH($A$2,"average", AVERAGE(Instances!E83:Instances!E83),"median", MEDIAN(Instances!E83:Instances!E83),"min", MIN(Instances!E83:Instances!E83),"max", MAX(Instances!E83:Instances!E83),"diff", MAX(Instances!E83:Instances!E83)-MIN(Instances!E83:Instances!E83))</f>
        <v>0</v>
      </c>
      <c r="F83" s="1" cm="1">
        <f t="array" ref="F83">_xlfn.SWITCH($A$2,"average", AVERAGE(Instances!F83:Instances!F83),"median", MEDIAN(Instances!F83:Instances!F83),"min", MIN(Instances!F83:Instances!F83),"max", MAX(Instances!F83:Instances!F83),"diff", MAX(Instances!F83:Instances!F83)-MIN(Instances!F83:Instances!F83))</f>
        <v>0</v>
      </c>
      <c r="G83" s="1" cm="1">
        <f t="array" ref="G83">_xlfn.SWITCH($A$2,"average", AVERAGE(Instances!G83:Instances!G83),"median", MEDIAN(Instances!G83:Instances!G83),"min", MIN(Instances!G83:Instances!G83),"max", MAX(Instances!G83:Instances!G83),"diff", MAX(Instances!G83:Instances!G83)-MIN(Instances!G83:Instances!G83))</f>
        <v>0</v>
      </c>
      <c r="H83" s="1" cm="1">
        <f t="array" ref="H83">_xlfn.SWITCH($A$2,"average", AVERAGE(Instances!H83:Instances!H83),"median", MEDIAN(Instances!H83:Instances!H83),"min", MIN(Instances!H83:Instances!H83),"max", MAX(Instances!H83:Instances!H83),"diff", MAX(Instances!H83:Instances!H83)-MIN(Instances!H83:Instances!H83))</f>
        <v>0</v>
      </c>
      <c r="I83" s="1" cm="1">
        <f t="array" ref="I83">_xlfn.SWITCH($A$2,"average", AVERAGE(Instances!I83:Instances!I83),"median", MEDIAN(Instances!I83:Instances!I83),"min", MIN(Instances!I83:Instances!I83),"max", MAX(Instances!I83:Instances!I83),"diff", MAX(Instances!I83:Instances!I83)-MIN(Instances!I83:Instances!I83))</f>
        <v>0</v>
      </c>
      <c r="J83" s="1">
        <f>MIN($B83,$D83,$F83,$H83)</f>
        <v>0</v>
      </c>
      <c r="K83" s="1">
        <f>MIN($C83,$E83,$G83,$I83)</f>
        <v>0</v>
      </c>
      <c r="L83" s="1">
        <f>MEDIAN($B83,$D83,$F83,$H83)</f>
        <v>0</v>
      </c>
      <c r="M83" s="1">
        <f>MEDIAN($C83,$E83,$G83,$I83)</f>
        <v>0</v>
      </c>
      <c r="N83" s="1">
        <f>MAX($B83,$D83,$F83,$H83)</f>
        <v>0</v>
      </c>
      <c r="O83" s="1">
        <f>MAX($C83,$E83,$G83,$I83)</f>
        <v>0</v>
      </c>
    </row>
    <row r="84" spans="1:15">
      <c r="A84" s="1" t="s">
        <v>81</v>
      </c>
      <c r="B84" s="1" cm="1">
        <f t="array" ref="B84">_xlfn.SWITCH($A$2,"average", AVERAGE(Instances!B84:Instances!B84),"median", MEDIAN(Instances!B84:Instances!B84),"min", MIN(Instances!B84:Instances!B84),"max", MAX(Instances!B84:Instances!B84),"diff", MAX(Instances!B84:Instances!B84)-MIN(Instances!B84:Instances!B84))</f>
        <v>0</v>
      </c>
      <c r="C84" s="1" cm="1">
        <f t="array" ref="C84">_xlfn.SWITCH($A$2,"average", AVERAGE(Instances!C84:Instances!C84),"median", MEDIAN(Instances!C84:Instances!C84),"min", MIN(Instances!C84:Instances!C84),"max", MAX(Instances!C84:Instances!C84),"diff", MAX(Instances!C84:Instances!C84)-MIN(Instances!C84:Instances!C84))</f>
        <v>0</v>
      </c>
      <c r="D84" s="1" cm="1">
        <f t="array" ref="D84">_xlfn.SWITCH($A$2,"average", AVERAGE(Instances!D84:Instances!D84),"median", MEDIAN(Instances!D84:Instances!D84),"min", MIN(Instances!D84:Instances!D84),"max", MAX(Instances!D84:Instances!D84),"diff", MAX(Instances!D84:Instances!D84)-MIN(Instances!D84:Instances!D84))</f>
        <v>0</v>
      </c>
      <c r="E84" s="1" cm="1">
        <f t="array" ref="E84">_xlfn.SWITCH($A$2,"average", AVERAGE(Instances!E84:Instances!E84),"median", MEDIAN(Instances!E84:Instances!E84),"min", MIN(Instances!E84:Instances!E84),"max", MAX(Instances!E84:Instances!E84),"diff", MAX(Instances!E84:Instances!E84)-MIN(Instances!E84:Instances!E84))</f>
        <v>0</v>
      </c>
      <c r="F84" s="1" cm="1">
        <f t="array" ref="F84">_xlfn.SWITCH($A$2,"average", AVERAGE(Instances!F84:Instances!F84),"median", MEDIAN(Instances!F84:Instances!F84),"min", MIN(Instances!F84:Instances!F84),"max", MAX(Instances!F84:Instances!F84),"diff", MAX(Instances!F84:Instances!F84)-MIN(Instances!F84:Instances!F84))</f>
        <v>0</v>
      </c>
      <c r="G84" s="1" cm="1">
        <f t="array" ref="G84">_xlfn.SWITCH($A$2,"average", AVERAGE(Instances!G84:Instances!G84),"median", MEDIAN(Instances!G84:Instances!G84),"min", MIN(Instances!G84:Instances!G84),"max", MAX(Instances!G84:Instances!G84),"diff", MAX(Instances!G84:Instances!G84)-MIN(Instances!G84:Instances!G84))</f>
        <v>0</v>
      </c>
      <c r="H84" s="1" cm="1">
        <f t="array" ref="H84">_xlfn.SWITCH($A$2,"average", AVERAGE(Instances!H84:Instances!H84),"median", MEDIAN(Instances!H84:Instances!H84),"min", MIN(Instances!H84:Instances!H84),"max", MAX(Instances!H84:Instances!H84),"diff", MAX(Instances!H84:Instances!H84)-MIN(Instances!H84:Instances!H84))</f>
        <v>0</v>
      </c>
      <c r="I84" s="1" cm="1">
        <f t="array" ref="I84">_xlfn.SWITCH($A$2,"average", AVERAGE(Instances!I84:Instances!I84),"median", MEDIAN(Instances!I84:Instances!I84),"min", MIN(Instances!I84:Instances!I84),"max", MAX(Instances!I84:Instances!I84),"diff", MAX(Instances!I84:Instances!I84)-MIN(Instances!I84:Instances!I84))</f>
        <v>0</v>
      </c>
      <c r="J84" s="1">
        <f>MIN($B84,$D84,$F84,$H84)</f>
        <v>0</v>
      </c>
      <c r="K84" s="1">
        <f>MIN($C84,$E84,$G84,$I84)</f>
        <v>0</v>
      </c>
      <c r="L84" s="1">
        <f>MEDIAN($B84,$D84,$F84,$H84)</f>
        <v>0</v>
      </c>
      <c r="M84" s="1">
        <f>MEDIAN($C84,$E84,$G84,$I84)</f>
        <v>0</v>
      </c>
      <c r="N84" s="1">
        <f>MAX($B84,$D84,$F84,$H84)</f>
        <v>0</v>
      </c>
      <c r="O84" s="1">
        <f>MAX($C84,$E84,$G84,$I84)</f>
        <v>0</v>
      </c>
    </row>
    <row r="85" spans="1:15">
      <c r="A85" s="1" t="s">
        <v>82</v>
      </c>
      <c r="B85" s="1" cm="1">
        <f t="array" ref="B85">_xlfn.SWITCH($A$2,"average", AVERAGE(Instances!B85:Instances!B85),"median", MEDIAN(Instances!B85:Instances!B85),"min", MIN(Instances!B85:Instances!B85),"max", MAX(Instances!B85:Instances!B85),"diff", MAX(Instances!B85:Instances!B85)-MIN(Instances!B85:Instances!B85))</f>
        <v>0</v>
      </c>
      <c r="C85" s="1" cm="1">
        <f t="array" ref="C85">_xlfn.SWITCH($A$2,"average", AVERAGE(Instances!C85:Instances!C85),"median", MEDIAN(Instances!C85:Instances!C85),"min", MIN(Instances!C85:Instances!C85),"max", MAX(Instances!C85:Instances!C85),"diff", MAX(Instances!C85:Instances!C85)-MIN(Instances!C85:Instances!C85))</f>
        <v>0</v>
      </c>
      <c r="D85" s="1" cm="1">
        <f t="array" ref="D85">_xlfn.SWITCH($A$2,"average", AVERAGE(Instances!D85:Instances!D85),"median", MEDIAN(Instances!D85:Instances!D85),"min", MIN(Instances!D85:Instances!D85),"max", MAX(Instances!D85:Instances!D85),"diff", MAX(Instances!D85:Instances!D85)-MIN(Instances!D85:Instances!D85))</f>
        <v>0</v>
      </c>
      <c r="E85" s="1" cm="1">
        <f t="array" ref="E85">_xlfn.SWITCH($A$2,"average", AVERAGE(Instances!E85:Instances!E85),"median", MEDIAN(Instances!E85:Instances!E85),"min", MIN(Instances!E85:Instances!E85),"max", MAX(Instances!E85:Instances!E85),"diff", MAX(Instances!E85:Instances!E85)-MIN(Instances!E85:Instances!E85))</f>
        <v>0</v>
      </c>
      <c r="F85" s="1" cm="1">
        <f t="array" ref="F85">_xlfn.SWITCH($A$2,"average", AVERAGE(Instances!F85:Instances!F85),"median", MEDIAN(Instances!F85:Instances!F85),"min", MIN(Instances!F85:Instances!F85),"max", MAX(Instances!F85:Instances!F85),"diff", MAX(Instances!F85:Instances!F85)-MIN(Instances!F85:Instances!F85))</f>
        <v>0</v>
      </c>
      <c r="G85" s="1" cm="1">
        <f t="array" ref="G85">_xlfn.SWITCH($A$2,"average", AVERAGE(Instances!G85:Instances!G85),"median", MEDIAN(Instances!G85:Instances!G85),"min", MIN(Instances!G85:Instances!G85),"max", MAX(Instances!G85:Instances!G85),"diff", MAX(Instances!G85:Instances!G85)-MIN(Instances!G85:Instances!G85))</f>
        <v>0</v>
      </c>
      <c r="H85" s="1" cm="1">
        <f t="array" ref="H85">_xlfn.SWITCH($A$2,"average", AVERAGE(Instances!H85:Instances!H85),"median", MEDIAN(Instances!H85:Instances!H85),"min", MIN(Instances!H85:Instances!H85),"max", MAX(Instances!H85:Instances!H85),"diff", MAX(Instances!H85:Instances!H85)-MIN(Instances!H85:Instances!H85))</f>
        <v>0</v>
      </c>
      <c r="I85" s="1" cm="1">
        <f t="array" ref="I85">_xlfn.SWITCH($A$2,"average", AVERAGE(Instances!I85:Instances!I85),"median", MEDIAN(Instances!I85:Instances!I85),"min", MIN(Instances!I85:Instances!I85),"max", MAX(Instances!I85:Instances!I85),"diff", MAX(Instances!I85:Instances!I85)-MIN(Instances!I85:Instances!I85))</f>
        <v>0</v>
      </c>
      <c r="J85" s="1">
        <f>MIN($B85,$D85,$F85,$H85)</f>
        <v>0</v>
      </c>
      <c r="K85" s="1">
        <f>MIN($C85,$E85,$G85,$I85)</f>
        <v>0</v>
      </c>
      <c r="L85" s="1">
        <f>MEDIAN($B85,$D85,$F85,$H85)</f>
        <v>0</v>
      </c>
      <c r="M85" s="1">
        <f>MEDIAN($C85,$E85,$G85,$I85)</f>
        <v>0</v>
      </c>
      <c r="N85" s="1">
        <f>MAX($B85,$D85,$F85,$H85)</f>
        <v>0</v>
      </c>
      <c r="O85" s="1">
        <f>MAX($C85,$E85,$G85,$I85)</f>
        <v>0</v>
      </c>
    </row>
    <row r="86" spans="1:15">
      <c r="A86" s="1" t="s">
        <v>83</v>
      </c>
      <c r="B86" s="1" cm="1">
        <f t="array" ref="B86">_xlfn.SWITCH($A$2,"average", AVERAGE(Instances!B86:Instances!B86),"median", MEDIAN(Instances!B86:Instances!B86),"min", MIN(Instances!B86:Instances!B86),"max", MAX(Instances!B86:Instances!B86),"diff", MAX(Instances!B86:Instances!B86)-MIN(Instances!B86:Instances!B86))</f>
        <v>0</v>
      </c>
      <c r="C86" s="1" cm="1">
        <f t="array" ref="C86">_xlfn.SWITCH($A$2,"average", AVERAGE(Instances!C86:Instances!C86),"median", MEDIAN(Instances!C86:Instances!C86),"min", MIN(Instances!C86:Instances!C86),"max", MAX(Instances!C86:Instances!C86),"diff", MAX(Instances!C86:Instances!C86)-MIN(Instances!C86:Instances!C86))</f>
        <v>0</v>
      </c>
      <c r="D86" s="1" cm="1">
        <f t="array" ref="D86">_xlfn.SWITCH($A$2,"average", AVERAGE(Instances!D86:Instances!D86),"median", MEDIAN(Instances!D86:Instances!D86),"min", MIN(Instances!D86:Instances!D86),"max", MAX(Instances!D86:Instances!D86),"diff", MAX(Instances!D86:Instances!D86)-MIN(Instances!D86:Instances!D86))</f>
        <v>0</v>
      </c>
      <c r="E86" s="1" cm="1">
        <f t="array" ref="E86">_xlfn.SWITCH($A$2,"average", AVERAGE(Instances!E86:Instances!E86),"median", MEDIAN(Instances!E86:Instances!E86),"min", MIN(Instances!E86:Instances!E86),"max", MAX(Instances!E86:Instances!E86),"diff", MAX(Instances!E86:Instances!E86)-MIN(Instances!E86:Instances!E86))</f>
        <v>0</v>
      </c>
      <c r="F86" s="1" cm="1">
        <f t="array" ref="F86">_xlfn.SWITCH($A$2,"average", AVERAGE(Instances!F86:Instances!F86),"median", MEDIAN(Instances!F86:Instances!F86),"min", MIN(Instances!F86:Instances!F86),"max", MAX(Instances!F86:Instances!F86),"diff", MAX(Instances!F86:Instances!F86)-MIN(Instances!F86:Instances!F86))</f>
        <v>0</v>
      </c>
      <c r="G86" s="1" cm="1">
        <f t="array" ref="G86">_xlfn.SWITCH($A$2,"average", AVERAGE(Instances!G86:Instances!G86),"median", MEDIAN(Instances!G86:Instances!G86),"min", MIN(Instances!G86:Instances!G86),"max", MAX(Instances!G86:Instances!G86),"diff", MAX(Instances!G86:Instances!G86)-MIN(Instances!G86:Instances!G86))</f>
        <v>0</v>
      </c>
      <c r="H86" s="1" cm="1">
        <f t="array" ref="H86">_xlfn.SWITCH($A$2,"average", AVERAGE(Instances!H86:Instances!H86),"median", MEDIAN(Instances!H86:Instances!H86),"min", MIN(Instances!H86:Instances!H86),"max", MAX(Instances!H86:Instances!H86),"diff", MAX(Instances!H86:Instances!H86)-MIN(Instances!H86:Instances!H86))</f>
        <v>0</v>
      </c>
      <c r="I86" s="1" cm="1">
        <f t="array" ref="I86">_xlfn.SWITCH($A$2,"average", AVERAGE(Instances!I86:Instances!I86),"median", MEDIAN(Instances!I86:Instances!I86),"min", MIN(Instances!I86:Instances!I86),"max", MAX(Instances!I86:Instances!I86),"diff", MAX(Instances!I86:Instances!I86)-MIN(Instances!I86:Instances!I86))</f>
        <v>0</v>
      </c>
      <c r="J86" s="1">
        <f>MIN($B86,$D86,$F86,$H86)</f>
        <v>0</v>
      </c>
      <c r="K86" s="1">
        <f>MIN($C86,$E86,$G86,$I86)</f>
        <v>0</v>
      </c>
      <c r="L86" s="1">
        <f>MEDIAN($B86,$D86,$F86,$H86)</f>
        <v>0</v>
      </c>
      <c r="M86" s="1">
        <f>MEDIAN($C86,$E86,$G86,$I86)</f>
        <v>0</v>
      </c>
      <c r="N86" s="1">
        <f>MAX($B86,$D86,$F86,$H86)</f>
        <v>0</v>
      </c>
      <c r="O86" s="1">
        <f>MAX($C86,$E86,$G86,$I86)</f>
        <v>0</v>
      </c>
    </row>
    <row r="87" spans="1:15">
      <c r="A87" s="1" t="s">
        <v>84</v>
      </c>
      <c r="B87" s="1" cm="1">
        <f t="array" ref="B87">_xlfn.SWITCH($A$2,"average", AVERAGE(Instances!B87:Instances!B87),"median", MEDIAN(Instances!B87:Instances!B87),"min", MIN(Instances!B87:Instances!B87),"max", MAX(Instances!B87:Instances!B87),"diff", MAX(Instances!B87:Instances!B87)-MIN(Instances!B87:Instances!B87))</f>
        <v>0</v>
      </c>
      <c r="C87" s="1" cm="1">
        <f t="array" ref="C87">_xlfn.SWITCH($A$2,"average", AVERAGE(Instances!C87:Instances!C87),"median", MEDIAN(Instances!C87:Instances!C87),"min", MIN(Instances!C87:Instances!C87),"max", MAX(Instances!C87:Instances!C87),"diff", MAX(Instances!C87:Instances!C87)-MIN(Instances!C87:Instances!C87))</f>
        <v>0</v>
      </c>
      <c r="D87" s="1" cm="1">
        <f t="array" ref="D87">_xlfn.SWITCH($A$2,"average", AVERAGE(Instances!D87:Instances!D87),"median", MEDIAN(Instances!D87:Instances!D87),"min", MIN(Instances!D87:Instances!D87),"max", MAX(Instances!D87:Instances!D87),"diff", MAX(Instances!D87:Instances!D87)-MIN(Instances!D87:Instances!D87))</f>
        <v>0</v>
      </c>
      <c r="E87" s="1" cm="1">
        <f t="array" ref="E87">_xlfn.SWITCH($A$2,"average", AVERAGE(Instances!E87:Instances!E87),"median", MEDIAN(Instances!E87:Instances!E87),"min", MIN(Instances!E87:Instances!E87),"max", MAX(Instances!E87:Instances!E87),"diff", MAX(Instances!E87:Instances!E87)-MIN(Instances!E87:Instances!E87))</f>
        <v>0</v>
      </c>
      <c r="F87" s="1" cm="1">
        <f t="array" ref="F87">_xlfn.SWITCH($A$2,"average", AVERAGE(Instances!F87:Instances!F87),"median", MEDIAN(Instances!F87:Instances!F87),"min", MIN(Instances!F87:Instances!F87),"max", MAX(Instances!F87:Instances!F87),"diff", MAX(Instances!F87:Instances!F87)-MIN(Instances!F87:Instances!F87))</f>
        <v>0</v>
      </c>
      <c r="G87" s="1" cm="1">
        <f t="array" ref="G87">_xlfn.SWITCH($A$2,"average", AVERAGE(Instances!G87:Instances!G87),"median", MEDIAN(Instances!G87:Instances!G87),"min", MIN(Instances!G87:Instances!G87),"max", MAX(Instances!G87:Instances!G87),"diff", MAX(Instances!G87:Instances!G87)-MIN(Instances!G87:Instances!G87))</f>
        <v>0</v>
      </c>
      <c r="H87" s="1" cm="1">
        <f t="array" ref="H87">_xlfn.SWITCH($A$2,"average", AVERAGE(Instances!H87:Instances!H87),"median", MEDIAN(Instances!H87:Instances!H87),"min", MIN(Instances!H87:Instances!H87),"max", MAX(Instances!H87:Instances!H87),"diff", MAX(Instances!H87:Instances!H87)-MIN(Instances!H87:Instances!H87))</f>
        <v>0</v>
      </c>
      <c r="I87" s="1" cm="1">
        <f t="array" ref="I87">_xlfn.SWITCH($A$2,"average", AVERAGE(Instances!I87:Instances!I87),"median", MEDIAN(Instances!I87:Instances!I87),"min", MIN(Instances!I87:Instances!I87),"max", MAX(Instances!I87:Instances!I87),"diff", MAX(Instances!I87:Instances!I87)-MIN(Instances!I87:Instances!I87))</f>
        <v>0</v>
      </c>
      <c r="J87" s="1">
        <f>MIN($B87,$D87,$F87,$H87)</f>
        <v>0</v>
      </c>
      <c r="K87" s="1">
        <f>MIN($C87,$E87,$G87,$I87)</f>
        <v>0</v>
      </c>
      <c r="L87" s="1">
        <f>MEDIAN($B87,$D87,$F87,$H87)</f>
        <v>0</v>
      </c>
      <c r="M87" s="1">
        <f>MEDIAN($C87,$E87,$G87,$I87)</f>
        <v>0</v>
      </c>
      <c r="N87" s="1">
        <f>MAX($B87,$D87,$F87,$H87)</f>
        <v>0</v>
      </c>
      <c r="O87" s="1">
        <f>MAX($C87,$E87,$G87,$I87)</f>
        <v>0</v>
      </c>
    </row>
    <row r="88" spans="1:15">
      <c r="A88" s="1" t="s">
        <v>85</v>
      </c>
      <c r="B88" s="1" cm="1">
        <f t="array" ref="B88">_xlfn.SWITCH($A$2,"average", AVERAGE(Instances!B88:Instances!B88),"median", MEDIAN(Instances!B88:Instances!B88),"min", MIN(Instances!B88:Instances!B88),"max", MAX(Instances!B88:Instances!B88),"diff", MAX(Instances!B88:Instances!B88)-MIN(Instances!B88:Instances!B88))</f>
        <v>0</v>
      </c>
      <c r="C88" s="1" cm="1">
        <f t="array" ref="C88">_xlfn.SWITCH($A$2,"average", AVERAGE(Instances!C88:Instances!C88),"median", MEDIAN(Instances!C88:Instances!C88),"min", MIN(Instances!C88:Instances!C88),"max", MAX(Instances!C88:Instances!C88),"diff", MAX(Instances!C88:Instances!C88)-MIN(Instances!C88:Instances!C88))</f>
        <v>0</v>
      </c>
      <c r="D88" s="1" cm="1">
        <f t="array" ref="D88">_xlfn.SWITCH($A$2,"average", AVERAGE(Instances!D88:Instances!D88),"median", MEDIAN(Instances!D88:Instances!D88),"min", MIN(Instances!D88:Instances!D88),"max", MAX(Instances!D88:Instances!D88),"diff", MAX(Instances!D88:Instances!D88)-MIN(Instances!D88:Instances!D88))</f>
        <v>0</v>
      </c>
      <c r="E88" s="1" cm="1">
        <f t="array" ref="E88">_xlfn.SWITCH($A$2,"average", AVERAGE(Instances!E88:Instances!E88),"median", MEDIAN(Instances!E88:Instances!E88),"min", MIN(Instances!E88:Instances!E88),"max", MAX(Instances!E88:Instances!E88),"diff", MAX(Instances!E88:Instances!E88)-MIN(Instances!E88:Instances!E88))</f>
        <v>0</v>
      </c>
      <c r="F88" s="1" cm="1">
        <f t="array" ref="F88">_xlfn.SWITCH($A$2,"average", AVERAGE(Instances!F88:Instances!F88),"median", MEDIAN(Instances!F88:Instances!F88),"min", MIN(Instances!F88:Instances!F88),"max", MAX(Instances!F88:Instances!F88),"diff", MAX(Instances!F88:Instances!F88)-MIN(Instances!F88:Instances!F88))</f>
        <v>0</v>
      </c>
      <c r="G88" s="1" cm="1">
        <f t="array" ref="G88">_xlfn.SWITCH($A$2,"average", AVERAGE(Instances!G88:Instances!G88),"median", MEDIAN(Instances!G88:Instances!G88),"min", MIN(Instances!G88:Instances!G88),"max", MAX(Instances!G88:Instances!G88),"diff", MAX(Instances!G88:Instances!G88)-MIN(Instances!G88:Instances!G88))</f>
        <v>0</v>
      </c>
      <c r="H88" s="1" cm="1">
        <f t="array" ref="H88">_xlfn.SWITCH($A$2,"average", AVERAGE(Instances!H88:Instances!H88),"median", MEDIAN(Instances!H88:Instances!H88),"min", MIN(Instances!H88:Instances!H88),"max", MAX(Instances!H88:Instances!H88),"diff", MAX(Instances!H88:Instances!H88)-MIN(Instances!H88:Instances!H88))</f>
        <v>0</v>
      </c>
      <c r="I88" s="1" cm="1">
        <f t="array" ref="I88">_xlfn.SWITCH($A$2,"average", AVERAGE(Instances!I88:Instances!I88),"median", MEDIAN(Instances!I88:Instances!I88),"min", MIN(Instances!I88:Instances!I88),"max", MAX(Instances!I88:Instances!I88),"diff", MAX(Instances!I88:Instances!I88)-MIN(Instances!I88:Instances!I88))</f>
        <v>0</v>
      </c>
      <c r="J88" s="1">
        <f>MIN($B88,$D88,$F88,$H88)</f>
        <v>0</v>
      </c>
      <c r="K88" s="1">
        <f>MIN($C88,$E88,$G88,$I88)</f>
        <v>0</v>
      </c>
      <c r="L88" s="1">
        <f>MEDIAN($B88,$D88,$F88,$H88)</f>
        <v>0</v>
      </c>
      <c r="M88" s="1">
        <f>MEDIAN($C88,$E88,$G88,$I88)</f>
        <v>0</v>
      </c>
      <c r="N88" s="1">
        <f>MAX($B88,$D88,$F88,$H88)</f>
        <v>0</v>
      </c>
      <c r="O88" s="1">
        <f>MAX($C88,$E88,$G88,$I88)</f>
        <v>0</v>
      </c>
    </row>
    <row r="89" spans="1: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 t="s">
        <v>86</v>
      </c>
      <c r="B90" s="1">
        <f>SUM(B$3:B$88)</f>
        <v>0</v>
      </c>
      <c r="C90" s="1">
        <f>SUM(C$3:C$88)</f>
        <v>0</v>
      </c>
      <c r="D90" s="1">
        <f>SUM(D$3:D$88)</f>
        <v>0</v>
      </c>
      <c r="E90" s="1">
        <f>SUM(E$3:E$88)</f>
        <v>0</v>
      </c>
      <c r="F90" s="1">
        <f>SUM(F$3:F$88)</f>
        <v>0</v>
      </c>
      <c r="G90" s="1">
        <f>SUM(G$3:G$88)</f>
        <v>0</v>
      </c>
      <c r="H90" s="1">
        <f>SUM(H$3:H$88)</f>
        <v>0</v>
      </c>
      <c r="I90" s="1">
        <f>SUM(I$3:I$88)</f>
        <v>0</v>
      </c>
      <c r="J90" s="1">
        <f>SUM(J$3:J$88)</f>
        <v>0</v>
      </c>
      <c r="K90" s="1">
        <f>SUM(K$3:K$88)</f>
        <v>0</v>
      </c>
      <c r="L90" s="1">
        <f>SUM(L$3:L$88)</f>
        <v>0</v>
      </c>
      <c r="M90" s="1">
        <f>SUM(M$3:M$88)</f>
        <v>0</v>
      </c>
      <c r="N90" s="1">
        <f>SUM(N$3:N$88)</f>
        <v>0</v>
      </c>
      <c r="O90" s="1">
        <f>SUM(O$3:O$88)</f>
        <v>0</v>
      </c>
    </row>
    <row r="91" spans="1:15">
      <c r="A91" s="1" t="s">
        <v>87</v>
      </c>
      <c r="B91" s="1">
        <f>AVERAGE(B$3:B$88)</f>
        <v>0</v>
      </c>
      <c r="C91" s="1">
        <f>AVERAGE(C$3:C$88)</f>
        <v>0</v>
      </c>
      <c r="D91" s="1">
        <f>AVERAGE(D$3:D$88)</f>
        <v>0</v>
      </c>
      <c r="E91" s="1">
        <f>AVERAGE(E$3:E$88)</f>
        <v>0</v>
      </c>
      <c r="F91" s="1">
        <f>AVERAGE(F$3:F$88)</f>
        <v>0</v>
      </c>
      <c r="G91" s="1">
        <f>AVERAGE(G$3:G$88)</f>
        <v>0</v>
      </c>
      <c r="H91" s="1">
        <f>AVERAGE(H$3:H$88)</f>
        <v>0</v>
      </c>
      <c r="I91" s="1">
        <f>AVERAGE(I$3:I$88)</f>
        <v>0</v>
      </c>
      <c r="J91" s="1">
        <f>AVERAGE(J$3:J$88)</f>
        <v>0</v>
      </c>
      <c r="K91" s="1">
        <f>AVERAGE(K$3:K$88)</f>
        <v>0</v>
      </c>
      <c r="L91" s="1">
        <f>AVERAGE(L$3:L$88)</f>
        <v>0</v>
      </c>
      <c r="M91" s="1">
        <f>AVERAGE(M$3:M$88)</f>
        <v>0</v>
      </c>
      <c r="N91" s="1">
        <f>AVERAGE(N$3:N$88)</f>
        <v>0</v>
      </c>
      <c r="O91" s="1">
        <f>AVERAGE(O$3:O$88)</f>
        <v>0</v>
      </c>
    </row>
    <row r="92" spans="1:15">
      <c r="A92" s="1" t="s">
        <v>88</v>
      </c>
      <c r="B92" s="1">
        <f>STDEV(B$3:B$88)</f>
        <v>0</v>
      </c>
      <c r="C92" s="1">
        <f>STDEV(C$3:C$88)</f>
        <v>0</v>
      </c>
      <c r="D92" s="1">
        <f>STDEV(D$3:D$88)</f>
        <v>0</v>
      </c>
      <c r="E92" s="1">
        <f>STDEV(E$3:E$88)</f>
        <v>0</v>
      </c>
      <c r="F92" s="1">
        <f>STDEV(F$3:F$88)</f>
        <v>0</v>
      </c>
      <c r="G92" s="1">
        <f>STDEV(G$3:G$88)</f>
        <v>0</v>
      </c>
      <c r="H92" s="1">
        <f>STDEV(H$3:H$88)</f>
        <v>0</v>
      </c>
      <c r="I92" s="1">
        <f>STDEV(I$3:I$88)</f>
        <v>0</v>
      </c>
      <c r="J92" s="1">
        <f>STDEV(J$3:J$88)</f>
        <v>0</v>
      </c>
      <c r="K92" s="1">
        <f>STDEV(K$3:K$88)</f>
        <v>0</v>
      </c>
      <c r="L92" s="1">
        <f>STDEV(L$3:L$88)</f>
        <v>0</v>
      </c>
      <c r="M92" s="1">
        <f>STDEV(M$3:M$88)</f>
        <v>0</v>
      </c>
      <c r="N92" s="1">
        <f>STDEV(N$3:N$88)</f>
        <v>0</v>
      </c>
      <c r="O92" s="1">
        <f>STDEV(O$3:O$88)</f>
        <v>0</v>
      </c>
    </row>
    <row r="93" spans="1:15">
      <c r="A93" s="1" t="s">
        <v>89</v>
      </c>
      <c r="B93" s="1">
        <f>SUMPRODUCT(--(B$3:B$88-$J$3:$J$88)^2)^0.5</f>
        <v>0</v>
      </c>
      <c r="C93" s="1">
        <f>SUMPRODUCT(--(C$3:C$88-$K$3:$K$88)^2)^0.5</f>
        <v>0</v>
      </c>
      <c r="D93" s="1">
        <f>SUMPRODUCT(--(D$3:D$88-$J$3:$J$88)^2)^0.5</f>
        <v>0</v>
      </c>
      <c r="E93" s="1">
        <f>SUMPRODUCT(--(E$3:E$88-$K$3:$K$88)^2)^0.5</f>
        <v>0</v>
      </c>
      <c r="F93" s="1">
        <f>SUMPRODUCT(--(F$3:F$88-$J$3:$J$88)^2)^0.5</f>
        <v>0</v>
      </c>
      <c r="G93" s="1">
        <f>SUMPRODUCT(--(G$3:G$88-$K$3:$K$88)^2)^0.5</f>
        <v>0</v>
      </c>
      <c r="H93" s="1">
        <f>SUMPRODUCT(--(H$3:H$88-$J$3:$J$88)^2)^0.5</f>
        <v>0</v>
      </c>
      <c r="I93" s="1">
        <f>SUMPRODUCT(--(I$3:I$88-$K$3:$K$88)^2)^0.5</f>
        <v>0</v>
      </c>
      <c r="J93" s="1"/>
      <c r="K93" s="1"/>
      <c r="L93" s="1"/>
      <c r="M93" s="1"/>
      <c r="N93" s="1"/>
      <c r="O93" s="1"/>
    </row>
    <row r="94" spans="1:15">
      <c r="A94" s="1" t="s">
        <v>90</v>
      </c>
      <c r="B94" s="1">
        <f>SUMPRODUCT(NOT(ISBLANK(B$3:B$88))*(B$3:B$88=$J$3:$J$88))</f>
        <v>0</v>
      </c>
      <c r="C94" s="1">
        <f>SUMPRODUCT(NOT(ISBLANK(C$3:C$88))*(C$3:C$88=$K$3:$K$88))</f>
        <v>0</v>
      </c>
      <c r="D94" s="1">
        <f>SUMPRODUCT(NOT(ISBLANK(D$3:D$88))*(D$3:D$88=$J$3:$J$88))</f>
        <v>0</v>
      </c>
      <c r="E94" s="1">
        <f>SUMPRODUCT(NOT(ISBLANK(E$3:E$88))*(E$3:E$88=$K$3:$K$88))</f>
        <v>0</v>
      </c>
      <c r="F94" s="1">
        <f>SUMPRODUCT(NOT(ISBLANK(F$3:F$88))*(F$3:F$88=$J$3:$J$88))</f>
        <v>0</v>
      </c>
      <c r="G94" s="1">
        <f>SUMPRODUCT(NOT(ISBLANK(G$3:G$88))*(G$3:G$88=$K$3:$K$88))</f>
        <v>0</v>
      </c>
      <c r="H94" s="1">
        <f>SUMPRODUCT(NOT(ISBLANK(H$3:H$88))*(H$3:H$88=$J$3:$J$88))</f>
        <v>0</v>
      </c>
      <c r="I94" s="1">
        <f>SUMPRODUCT(NOT(ISBLANK(I$3:I$88))*(I$3:I$88=$K$3:$K$88))</f>
        <v>0</v>
      </c>
      <c r="J94" s="1"/>
      <c r="K94" s="1"/>
      <c r="L94" s="1"/>
      <c r="M94" s="1"/>
      <c r="N94" s="1"/>
      <c r="O94" s="1"/>
    </row>
    <row r="95" spans="1:15">
      <c r="A95" s="1" t="s">
        <v>91</v>
      </c>
      <c r="B95" s="1">
        <f>SUMPRODUCT(NOT(ISBLANK(B$3:B$88))*(B$3:B$88&lt;$L$3:$L$88))</f>
        <v>0</v>
      </c>
      <c r="C95" s="1">
        <f>SUMPRODUCT(NOT(ISBLANK(C$3:C$88))*(C$3:C$88&lt;$M$3:$M$88))</f>
        <v>0</v>
      </c>
      <c r="D95" s="1">
        <f>SUMPRODUCT(NOT(ISBLANK(D$3:D$88))*(D$3:D$88&lt;$L$3:$L$88))</f>
        <v>0</v>
      </c>
      <c r="E95" s="1">
        <f>SUMPRODUCT(NOT(ISBLANK(E$3:E$88))*(E$3:E$88&lt;$M$3:$M$88))</f>
        <v>0</v>
      </c>
      <c r="F95" s="1">
        <f>SUMPRODUCT(NOT(ISBLANK(F$3:F$88))*(F$3:F$88&lt;$L$3:$L$88))</f>
        <v>0</v>
      </c>
      <c r="G95" s="1">
        <f>SUMPRODUCT(NOT(ISBLANK(G$3:G$88))*(G$3:G$88&lt;$M$3:$M$88))</f>
        <v>0</v>
      </c>
      <c r="H95" s="1">
        <f>SUMPRODUCT(NOT(ISBLANK(H$3:H$88))*(H$3:H$88&lt;$L$3:$L$88))</f>
        <v>0</v>
      </c>
      <c r="I95" s="1">
        <f>SUMPRODUCT(NOT(ISBLANK(I$3:I$88))*(I$3:I$88&lt;$M$3:$M$88))</f>
        <v>0</v>
      </c>
      <c r="J95" s="1"/>
      <c r="K95" s="1"/>
      <c r="L95" s="1"/>
      <c r="M95" s="1"/>
      <c r="N95" s="1"/>
      <c r="O95" s="1"/>
    </row>
    <row r="96" spans="1:15">
      <c r="A96" s="1" t="s">
        <v>92</v>
      </c>
      <c r="B96" s="1">
        <f>SUMPRODUCT((NOT(ISBLANK(B$3:B$88))*(B$3:B$88&gt;$L$3:$L$88))+ISBLANK(B$3:B$88))</f>
        <v>0</v>
      </c>
      <c r="C96" s="1">
        <f>SUMPRODUCT((NOT(ISBLANK(C$3:C$88))*(C$3:C$88&gt;$M$3:$M$88))+ISBLANK(C$3:C$88))</f>
        <v>0</v>
      </c>
      <c r="D96" s="1">
        <f>SUMPRODUCT((NOT(ISBLANK(D$3:D$88))*(D$3:D$88&gt;$L$3:$L$88))+ISBLANK(D$3:D$88))</f>
        <v>0</v>
      </c>
      <c r="E96" s="1">
        <f>SUMPRODUCT((NOT(ISBLANK(E$3:E$88))*(E$3:E$88&gt;$M$3:$M$88))+ISBLANK(E$3:E$88))</f>
        <v>0</v>
      </c>
      <c r="F96" s="1">
        <f>SUMPRODUCT((NOT(ISBLANK(F$3:F$88))*(F$3:F$88&gt;$L$3:$L$88))+ISBLANK(F$3:F$88))</f>
        <v>0</v>
      </c>
      <c r="G96" s="1">
        <f>SUMPRODUCT((NOT(ISBLANK(G$3:G$88))*(G$3:G$88&gt;$M$3:$M$88))+ISBLANK(G$3:G$88))</f>
        <v>0</v>
      </c>
      <c r="H96" s="1">
        <f>SUMPRODUCT((NOT(ISBLANK(H$3:H$88))*(H$3:H$88&gt;$L$3:$L$88))+ISBLANK(H$3:H$88))</f>
        <v>0</v>
      </c>
      <c r="I96" s="1">
        <f>SUMPRODUCT((NOT(ISBLANK(I$3:I$88))*(I$3:I$88&gt;$M$3:$M$88))+ISBLANK(I$3:I$88))</f>
        <v>0</v>
      </c>
      <c r="J96" s="1"/>
      <c r="K96" s="1"/>
      <c r="L96" s="1"/>
      <c r="M96" s="1"/>
      <c r="N96" s="1"/>
      <c r="O96" s="1"/>
    </row>
    <row r="97" spans="1:15">
      <c r="A97" s="1" t="s">
        <v>93</v>
      </c>
      <c r="B97" s="1">
        <f>SUMPRODUCT((NOT(ISBLANK(B$3:B$88))*(B$3:B$88=$N$3:$N$88))+ISBLANK(B$3:B$88))</f>
        <v>0</v>
      </c>
      <c r="C97" s="1">
        <f>SUMPRODUCT((NOT(ISBLANK(C$3:C$88))*(C$3:C$88=$O$3:$O$88))+ISBLANK(C$3:C$88))</f>
        <v>0</v>
      </c>
      <c r="D97" s="1">
        <f>SUMPRODUCT((NOT(ISBLANK(D$3:D$88))*(D$3:D$88=$N$3:$N$88))+ISBLANK(D$3:D$88))</f>
        <v>0</v>
      </c>
      <c r="E97" s="1">
        <f>SUMPRODUCT((NOT(ISBLANK(E$3:E$88))*(E$3:E$88=$O$3:$O$88))+ISBLANK(E$3:E$88))</f>
        <v>0</v>
      </c>
      <c r="F97" s="1">
        <f>SUMPRODUCT((NOT(ISBLANK(F$3:F$88))*(F$3:F$88=$N$3:$N$88))+ISBLANK(F$3:F$88))</f>
        <v>0</v>
      </c>
      <c r="G97" s="1">
        <f>SUMPRODUCT((NOT(ISBLANK(G$3:G$88))*(G$3:G$88=$O$3:$O$88))+ISBLANK(G$3:G$88))</f>
        <v>0</v>
      </c>
      <c r="H97" s="1">
        <f>SUMPRODUCT((NOT(ISBLANK(H$3:H$88))*(H$3:H$88=$N$3:$N$88))+ISBLANK(H$3:H$88))</f>
        <v>0</v>
      </c>
      <c r="I97" s="1">
        <f>SUMPRODUCT((NOT(ISBLANK(I$3:I$88))*(I$3:I$88=$O$3:$O$88))+ISBLANK(I$3:I$88))</f>
        <v>0</v>
      </c>
      <c r="J97" s="1"/>
      <c r="K97" s="1"/>
      <c r="L97" s="1"/>
      <c r="M97" s="1"/>
      <c r="N97" s="1"/>
      <c r="O97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1.42578125" customWidth="1"/>
    <col min="2" max="3" width="13" customWidth="1"/>
    <col min="4" max="5" width="13.42578125" customWidth="1"/>
    <col min="6" max="7" width="14.7109375" customWidth="1"/>
    <col min="8" max="9" width="13" customWidth="1"/>
    <col min="10" max="15" width="11.42578125" customWidth="1"/>
  </cols>
  <sheetData>
    <row r="1" spans="1:15">
      <c r="A1" s="1"/>
      <c r="B1" s="1" t="s">
        <v>94</v>
      </c>
      <c r="C1" s="2"/>
      <c r="D1" s="1" t="s">
        <v>97</v>
      </c>
      <c r="E1" s="2"/>
      <c r="F1" s="1" t="s">
        <v>98</v>
      </c>
      <c r="G1" s="2"/>
      <c r="H1" s="1" t="s">
        <v>99</v>
      </c>
      <c r="I1" s="2"/>
      <c r="J1" s="1" t="s">
        <v>100</v>
      </c>
      <c r="K1" s="1"/>
      <c r="L1" s="1" t="s">
        <v>101</v>
      </c>
      <c r="M1" s="1"/>
      <c r="N1" s="1" t="s">
        <v>102</v>
      </c>
      <c r="O1" s="1"/>
    </row>
    <row r="2" spans="1:15">
      <c r="A2" s="1"/>
      <c r="B2" s="1" t="s">
        <v>95</v>
      </c>
      <c r="C2" s="2" t="s">
        <v>96</v>
      </c>
      <c r="D2" s="1" t="s">
        <v>95</v>
      </c>
      <c r="E2" s="2" t="s">
        <v>96</v>
      </c>
      <c r="F2" s="1" t="s">
        <v>95</v>
      </c>
      <c r="G2" s="2" t="s">
        <v>96</v>
      </c>
      <c r="H2" s="1" t="s">
        <v>95</v>
      </c>
      <c r="I2" s="2" t="s">
        <v>96</v>
      </c>
      <c r="J2" s="1" t="s">
        <v>95</v>
      </c>
      <c r="K2" s="1" t="s">
        <v>96</v>
      </c>
      <c r="L2" s="1" t="s">
        <v>95</v>
      </c>
      <c r="M2" s="1" t="s">
        <v>96</v>
      </c>
      <c r="N2" s="1" t="s">
        <v>95</v>
      </c>
      <c r="O2" s="1" t="s">
        <v>96</v>
      </c>
    </row>
    <row r="3" spans="1:15">
      <c r="A3" s="1" t="s">
        <v>104</v>
      </c>
      <c r="B3" s="1">
        <f>AVERAGE(Instances!B3:Instances!B88)</f>
        <v>0</v>
      </c>
      <c r="C3" s="1">
        <f>SUM(Instances!C3:Instances!C88)</f>
        <v>0</v>
      </c>
      <c r="D3" s="4">
        <f>AVERAGE(Instances!D3:Instances!D88)</f>
        <v>0</v>
      </c>
      <c r="E3" s="4">
        <f>SUM(Instances!E3:Instances!E88)</f>
        <v>0</v>
      </c>
      <c r="F3" s="1">
        <f>AVERAGE(Instances!F3:Instances!F88)</f>
        <v>0</v>
      </c>
      <c r="G3" s="1">
        <f>SUM(Instances!G3:Instances!G88)</f>
        <v>0</v>
      </c>
      <c r="H3" s="3">
        <f>AVERAGE(Instances!H3:Instances!H88)</f>
        <v>0</v>
      </c>
      <c r="I3" s="3">
        <f>SUM(Instances!I3:Instances!I88)</f>
        <v>0</v>
      </c>
      <c r="J3" s="1">
        <f>MIN($B3,$D3,$F3,$H3)</f>
        <v>0</v>
      </c>
      <c r="K3" s="1">
        <f>MIN($C3,$E3,$G3,$I3)</f>
        <v>0</v>
      </c>
      <c r="L3" s="1">
        <f>MEDIAN($B3,$D3,$F3,$H3)</f>
        <v>0</v>
      </c>
      <c r="M3" s="1">
        <f>MEDIAN($C3,$E3,$G3,$I3)</f>
        <v>0</v>
      </c>
      <c r="N3" s="1">
        <f>MAX($B3,$D3,$F3,$H3)</f>
        <v>0</v>
      </c>
      <c r="O3" s="1">
        <f>MAX($C3,$E3,$G3,$I3)</f>
        <v>0</v>
      </c>
    </row>
    <row r="4" spans="1:1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>
      <c r="A5" s="1" t="s">
        <v>86</v>
      </c>
      <c r="B5" s="1">
        <f>SUM(B$3:B$3)</f>
        <v>0</v>
      </c>
      <c r="C5" s="1">
        <f>SUM(C$3:C$3)</f>
        <v>0</v>
      </c>
      <c r="D5" s="4">
        <f>SUM(D$3:D$3)</f>
        <v>0</v>
      </c>
      <c r="E5" s="4">
        <f>SUM(E$3:E$3)</f>
        <v>0</v>
      </c>
      <c r="F5" s="1">
        <f>SUM(F$3:F$3)</f>
        <v>0</v>
      </c>
      <c r="G5" s="1">
        <f>SUM(G$3:G$3)</f>
        <v>0</v>
      </c>
      <c r="H5" s="3">
        <f>SUM(H$3:H$3)</f>
        <v>0</v>
      </c>
      <c r="I5" s="3">
        <f>SUM(I$3:I$3)</f>
        <v>0</v>
      </c>
      <c r="J5" s="1">
        <f>SUM(J$3:J$3)</f>
        <v>0</v>
      </c>
      <c r="K5" s="1">
        <f>SUM(K$3:K$3)</f>
        <v>0</v>
      </c>
      <c r="L5" s="1">
        <f>SUM(L$3:L$3)</f>
        <v>0</v>
      </c>
      <c r="M5" s="1">
        <f>SUM(M$3:M$3)</f>
        <v>0</v>
      </c>
      <c r="N5" s="1">
        <f>SUM(N$3:N$3)</f>
        <v>0</v>
      </c>
      <c r="O5" s="1">
        <f>SUM(O$3:O$3)</f>
        <v>0</v>
      </c>
    </row>
    <row r="6" spans="1:15">
      <c r="A6" s="1" t="s">
        <v>87</v>
      </c>
      <c r="B6" s="1">
        <f>AVERAGE(B$3:B$3)</f>
        <v>0</v>
      </c>
      <c r="C6" s="1">
        <f>AVERAGE(C$3:C$3)</f>
        <v>0</v>
      </c>
      <c r="D6" s="4">
        <f>AVERAGE(D$3:D$3)</f>
        <v>0</v>
      </c>
      <c r="E6" s="4">
        <f>AVERAGE(E$3:E$3)</f>
        <v>0</v>
      </c>
      <c r="F6" s="1">
        <f>AVERAGE(F$3:F$3)</f>
        <v>0</v>
      </c>
      <c r="G6" s="1">
        <f>AVERAGE(G$3:G$3)</f>
        <v>0</v>
      </c>
      <c r="H6" s="3">
        <f>AVERAGE(H$3:H$3)</f>
        <v>0</v>
      </c>
      <c r="I6" s="3">
        <f>AVERAGE(I$3:I$3)</f>
        <v>0</v>
      </c>
      <c r="J6" s="1">
        <f>AVERAGE(J$3:J$3)</f>
        <v>0</v>
      </c>
      <c r="K6" s="1">
        <f>AVERAGE(K$3:K$3)</f>
        <v>0</v>
      </c>
      <c r="L6" s="1">
        <f>AVERAGE(L$3:L$3)</f>
        <v>0</v>
      </c>
      <c r="M6" s="1">
        <f>AVERAGE(M$3:M$3)</f>
        <v>0</v>
      </c>
      <c r="N6" s="1">
        <f>AVERAGE(N$3:N$3)</f>
        <v>0</v>
      </c>
      <c r="O6" s="1">
        <f>AVERAGE(O$3:O$3)</f>
        <v>0</v>
      </c>
    </row>
    <row r="7" spans="1:15">
      <c r="A7" s="1" t="s">
        <v>88</v>
      </c>
      <c r="B7" s="1">
        <f>STDEV(B$3:B$3)</f>
        <v>0</v>
      </c>
      <c r="C7" s="1">
        <f>STDEV(C$3:C$3)</f>
        <v>0</v>
      </c>
      <c r="D7" s="1">
        <f>STDEV(D$3:D$3)</f>
        <v>0</v>
      </c>
      <c r="E7" s="1">
        <f>STDEV(E$3:E$3)</f>
        <v>0</v>
      </c>
      <c r="F7" s="1">
        <f>STDEV(F$3:F$3)</f>
        <v>0</v>
      </c>
      <c r="G7" s="1">
        <f>STDEV(G$3:G$3)</f>
        <v>0</v>
      </c>
      <c r="H7" s="1">
        <f>STDEV(H$3:H$3)</f>
        <v>0</v>
      </c>
      <c r="I7" s="1">
        <f>STDEV(I$3:I$3)</f>
        <v>0</v>
      </c>
      <c r="J7" s="1">
        <f>STDEV(J$3:J$3)</f>
        <v>0</v>
      </c>
      <c r="K7" s="1">
        <f>STDEV(K$3:K$3)</f>
        <v>0</v>
      </c>
      <c r="L7" s="1">
        <f>STDEV(L$3:L$3)</f>
        <v>0</v>
      </c>
      <c r="M7" s="1">
        <f>STDEV(M$3:M$3)</f>
        <v>0</v>
      </c>
      <c r="N7" s="1">
        <f>STDEV(N$3:N$3)</f>
        <v>0</v>
      </c>
      <c r="O7" s="1">
        <f>STDEV(O$3:O$3)</f>
        <v>0</v>
      </c>
    </row>
    <row r="8" spans="1:15">
      <c r="A8" s="1" t="s">
        <v>89</v>
      </c>
      <c r="B8" s="1">
        <f>SUMPRODUCT(--(B$3:B$3-$J$3:$J$3)^2)^0.5</f>
        <v>0</v>
      </c>
      <c r="C8" s="1">
        <f>SUMPRODUCT(--(C$3:C$3-$K$3:$K$3)^2)^0.5</f>
        <v>0</v>
      </c>
      <c r="D8" s="4">
        <f>SUMPRODUCT(--(D$3:D$3-$J$3:$J$3)^2)^0.5</f>
        <v>0</v>
      </c>
      <c r="E8" s="4">
        <f>SUMPRODUCT(--(E$3:E$3-$K$3:$K$3)^2)^0.5</f>
        <v>0</v>
      </c>
      <c r="F8" s="1">
        <f>SUMPRODUCT(--(F$3:F$3-$J$3:$J$3)^2)^0.5</f>
        <v>0</v>
      </c>
      <c r="G8" s="1">
        <f>SUMPRODUCT(--(G$3:G$3-$K$3:$K$3)^2)^0.5</f>
        <v>0</v>
      </c>
      <c r="H8" s="3">
        <f>SUMPRODUCT(--(H$3:H$3-$J$3:$J$3)^2)^0.5</f>
        <v>0</v>
      </c>
      <c r="I8" s="3">
        <f>SUMPRODUCT(--(I$3:I$3-$K$3:$K$3)^2)^0.5</f>
        <v>0</v>
      </c>
      <c r="J8" s="1"/>
      <c r="K8" s="1"/>
      <c r="L8" s="1"/>
      <c r="M8" s="1"/>
      <c r="N8" s="1"/>
      <c r="O8" s="1"/>
    </row>
    <row r="9" spans="1:15">
      <c r="A9" s="1" t="s">
        <v>90</v>
      </c>
      <c r="B9" s="1">
        <f>SUMPRODUCT(NOT(ISBLANK(B$3:B$3))*(B$3:B$3=$J$3:$J$3))</f>
        <v>0</v>
      </c>
      <c r="C9" s="1">
        <f>SUMPRODUCT(NOT(ISBLANK(C$3:C$3))*(C$3:C$3=$K$3:$K$3))</f>
        <v>0</v>
      </c>
      <c r="D9" s="1">
        <f>SUMPRODUCT(NOT(ISBLANK(D$3:D$3))*(D$3:D$3=$J$3:$J$3))</f>
        <v>0</v>
      </c>
      <c r="E9" s="1">
        <f>SUMPRODUCT(NOT(ISBLANK(E$3:E$3))*(E$3:E$3=$K$3:$K$3))</f>
        <v>0</v>
      </c>
      <c r="F9" s="1">
        <f>SUMPRODUCT(NOT(ISBLANK(F$3:F$3))*(F$3:F$3=$J$3:$J$3))</f>
        <v>0</v>
      </c>
      <c r="G9" s="1">
        <f>SUMPRODUCT(NOT(ISBLANK(G$3:G$3))*(G$3:G$3=$K$3:$K$3))</f>
        <v>0</v>
      </c>
      <c r="H9" s="1">
        <f>SUMPRODUCT(NOT(ISBLANK(H$3:H$3))*(H$3:H$3=$J$3:$J$3))</f>
        <v>0</v>
      </c>
      <c r="I9" s="3">
        <f>SUMPRODUCT(NOT(ISBLANK(I$3:I$3))*(I$3:I$3=$K$3:$K$3))</f>
        <v>0</v>
      </c>
      <c r="J9" s="1"/>
      <c r="K9" s="1"/>
      <c r="L9" s="1"/>
      <c r="M9" s="1"/>
      <c r="N9" s="1"/>
      <c r="O9" s="1"/>
    </row>
    <row r="10" spans="1:15">
      <c r="A10" s="1" t="s">
        <v>91</v>
      </c>
      <c r="B10" s="1">
        <f>SUMPRODUCT(NOT(ISBLANK(B$3:B$3))*(B$3:B$3&lt;$L$3:$L$3))</f>
        <v>0</v>
      </c>
      <c r="C10" s="3">
        <f>SUMPRODUCT(NOT(ISBLANK(C$3:C$3))*(C$3:C$3&lt;$M$3:$M$3))</f>
        <v>0</v>
      </c>
      <c r="D10" s="1">
        <f>SUMPRODUCT(NOT(ISBLANK(D$3:D$3))*(D$3:D$3&lt;$L$3:$L$3))</f>
        <v>0</v>
      </c>
      <c r="E10" s="4">
        <f>SUMPRODUCT(NOT(ISBLANK(E$3:E$3))*(E$3:E$3&lt;$M$3:$M$3))</f>
        <v>0</v>
      </c>
      <c r="F10" s="1">
        <f>SUMPRODUCT(NOT(ISBLANK(F$3:F$3))*(F$3:F$3&lt;$L$3:$L$3))</f>
        <v>0</v>
      </c>
      <c r="G10" s="4">
        <f>SUMPRODUCT(NOT(ISBLANK(G$3:G$3))*(G$3:G$3&lt;$M$3:$M$3))</f>
        <v>0</v>
      </c>
      <c r="H10" s="1">
        <f>SUMPRODUCT(NOT(ISBLANK(H$3:H$3))*(H$3:H$3&lt;$L$3:$L$3))</f>
        <v>0</v>
      </c>
      <c r="I10" s="3">
        <f>SUMPRODUCT(NOT(ISBLANK(I$3:I$3))*(I$3:I$3&lt;$M$3:$M$3))</f>
        <v>0</v>
      </c>
      <c r="J10" s="1"/>
      <c r="K10" s="1"/>
      <c r="L10" s="1"/>
      <c r="M10" s="1"/>
      <c r="N10" s="1"/>
      <c r="O10" s="1"/>
    </row>
    <row r="11" spans="1:15">
      <c r="A11" s="1" t="s">
        <v>92</v>
      </c>
      <c r="B11" s="1">
        <f>SUMPRODUCT((NOT(ISBLANK(B$3:B$3))*(B$3:B$3&gt;$L$3:$L$3))+ISBLANK(B$3:B$3))</f>
        <v>0</v>
      </c>
      <c r="C11" s="3">
        <f>SUMPRODUCT((NOT(ISBLANK(C$3:C$3))*(C$3:C$3&gt;$M$3:$M$3))+ISBLANK(C$3:C$3))</f>
        <v>0</v>
      </c>
      <c r="D11" s="1">
        <f>SUMPRODUCT((NOT(ISBLANK(D$3:D$3))*(D$3:D$3&gt;$L$3:$L$3))+ISBLANK(D$3:D$3))</f>
        <v>0</v>
      </c>
      <c r="E11" s="4">
        <f>SUMPRODUCT((NOT(ISBLANK(E$3:E$3))*(E$3:E$3&gt;$M$3:$M$3))+ISBLANK(E$3:E$3))</f>
        <v>0</v>
      </c>
      <c r="F11" s="1">
        <f>SUMPRODUCT((NOT(ISBLANK(F$3:F$3))*(F$3:F$3&gt;$L$3:$L$3))+ISBLANK(F$3:F$3))</f>
        <v>0</v>
      </c>
      <c r="G11" s="4">
        <f>SUMPRODUCT((NOT(ISBLANK(G$3:G$3))*(G$3:G$3&gt;$M$3:$M$3))+ISBLANK(G$3:G$3))</f>
        <v>0</v>
      </c>
      <c r="H11" s="1">
        <f>SUMPRODUCT((NOT(ISBLANK(H$3:H$3))*(H$3:H$3&gt;$L$3:$L$3))+ISBLANK(H$3:H$3))</f>
        <v>0</v>
      </c>
      <c r="I11" s="3">
        <f>SUMPRODUCT((NOT(ISBLANK(I$3:I$3))*(I$3:I$3&gt;$M$3:$M$3))+ISBLANK(I$3:I$3))</f>
        <v>0</v>
      </c>
      <c r="J11" s="1"/>
      <c r="K11" s="1"/>
      <c r="L11" s="1"/>
      <c r="M11" s="1"/>
      <c r="N11" s="1"/>
      <c r="O11" s="1"/>
    </row>
    <row r="12" spans="1:15">
      <c r="A12" s="1" t="s">
        <v>93</v>
      </c>
      <c r="B12" s="1">
        <f>SUMPRODUCT((NOT(ISBLANK(B$3:B$3))*(B$3:B$3=$N$3:$N$3))+ISBLANK(B$3:B$3))</f>
        <v>0</v>
      </c>
      <c r="C12" s="1">
        <f>SUMPRODUCT((NOT(ISBLANK(C$3:C$3))*(C$3:C$3=$O$3:$O$3))+ISBLANK(C$3:C$3))</f>
        <v>0</v>
      </c>
      <c r="D12" s="1">
        <f>SUMPRODUCT((NOT(ISBLANK(D$3:D$3))*(D$3:D$3=$N$3:$N$3))+ISBLANK(D$3:D$3))</f>
        <v>0</v>
      </c>
      <c r="E12" s="4">
        <f>SUMPRODUCT((NOT(ISBLANK(E$3:E$3))*(E$3:E$3=$O$3:$O$3))+ISBLANK(E$3:E$3))</f>
        <v>0</v>
      </c>
      <c r="F12" s="1">
        <f>SUMPRODUCT((NOT(ISBLANK(F$3:F$3))*(F$3:F$3=$N$3:$N$3))+ISBLANK(F$3:F$3))</f>
        <v>0</v>
      </c>
      <c r="G12" s="1">
        <f>SUMPRODUCT((NOT(ISBLANK(G$3:G$3))*(G$3:G$3=$O$3:$O$3))+ISBLANK(G$3:G$3))</f>
        <v>0</v>
      </c>
      <c r="H12" s="1">
        <f>SUMPRODUCT((NOT(ISBLANK(H$3:H$3))*(H$3:H$3=$N$3:$N$3))+ISBLANK(H$3:H$3))</f>
        <v>0</v>
      </c>
      <c r="I12" s="1">
        <f>SUMPRODUCT((NOT(ISBLANK(I$3:I$3))*(I$3:I$3=$O$3:$O$3))+ISBLANK(I$3:I$3))</f>
        <v>0</v>
      </c>
      <c r="J12" s="1"/>
      <c r="K12" s="1"/>
      <c r="L12" s="1"/>
      <c r="M12" s="1"/>
      <c r="N12" s="1"/>
      <c r="O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Instances</vt:lpstr>
      <vt:lpstr>Merged Runs</vt:lpstr>
      <vt:lpstr>Classes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2026-02-24T12:33:20Z</dcterms:created>
  <dcterms:modified xsi:type="dcterms:W3CDTF">2026-02-24T12:33:20Z</dcterms:modified>
</cp:coreProperties>
</file>